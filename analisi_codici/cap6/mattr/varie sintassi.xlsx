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troncone/Desktop/"/>
    </mc:Choice>
  </mc:AlternateContent>
  <xr:revisionPtr revIDLastSave="0" documentId="8_{C14FE6BB-07EF-6440-8450-06E84ABDAD38}" xr6:coauthVersionLast="47" xr6:coauthVersionMax="47" xr10:uidLastSave="{00000000-0000-0000-0000-000000000000}"/>
  <bookViews>
    <workbookView xWindow="0" yWindow="0" windowWidth="28800" windowHeight="18000" firstSheet="2" activeTab="13" xr2:uid="{E612D472-D005-864E-8349-5D08C239D846}"/>
  </bookViews>
  <sheets>
    <sheet name="Foglio1" sheetId="1" r:id="rId1"/>
    <sheet name="Foglio2" sheetId="2" r:id="rId2"/>
    <sheet name="Foglio3" sheetId="3" r:id="rId3"/>
    <sheet name="Foglio5" sheetId="5" r:id="rId4"/>
    <sheet name="Foglio4" sheetId="4" r:id="rId5"/>
    <sheet name="Foglio7" sheetId="7" r:id="rId6"/>
    <sheet name="Foglio6" sheetId="6" r:id="rId7"/>
    <sheet name="Foglio8" sheetId="8" r:id="rId8"/>
    <sheet name="Foglio9" sheetId="9" r:id="rId9"/>
    <sheet name="Foglio11" sheetId="11" r:id="rId10"/>
    <sheet name="Foglio12" sheetId="12" r:id="rId11"/>
    <sheet name="Foglio13" sheetId="13" r:id="rId12"/>
    <sheet name="Foglio14" sheetId="14" r:id="rId13"/>
    <sheet name="Foglio15" sheetId="15" r:id="rId14"/>
    <sheet name="Foglio10" sheetId="10" r:id="rId15"/>
  </sheets>
  <definedNames>
    <definedName name="_xlnm._FilterDatabase" localSheetId="0" hidden="1">Foglio1!$A$1:$DO$2385</definedName>
  </definedNames>
  <calcPr calcId="181029"/>
  <pivotCaches>
    <pivotCache cacheId="5" r:id="rId16"/>
    <pivotCache cacheId="10" r:id="rId17"/>
    <pivotCache cacheId="1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8" i="15" l="1"/>
  <c r="G27" i="15"/>
  <c r="G26" i="15"/>
  <c r="G25" i="15"/>
  <c r="G24" i="15"/>
  <c r="G23" i="15"/>
  <c r="G22" i="15"/>
  <c r="D23" i="15"/>
  <c r="D24" i="15"/>
  <c r="D25" i="15"/>
  <c r="D26" i="15"/>
  <c r="D27" i="15"/>
  <c r="D28" i="15"/>
  <c r="D22" i="15"/>
  <c r="E61" i="14"/>
  <c r="E62" i="14"/>
  <c r="F62" i="14"/>
  <c r="E63" i="14"/>
  <c r="F63" i="14"/>
  <c r="E64" i="14"/>
  <c r="F64" i="14"/>
  <c r="E65" i="14"/>
  <c r="F65" i="14"/>
  <c r="E66" i="14"/>
  <c r="F66" i="14"/>
  <c r="E67" i="14"/>
  <c r="F67" i="14"/>
  <c r="E68" i="14"/>
  <c r="F68" i="14"/>
  <c r="E69" i="14"/>
  <c r="F69" i="14"/>
  <c r="E70" i="14"/>
  <c r="F70" i="14"/>
  <c r="E71" i="14"/>
  <c r="F71" i="14"/>
  <c r="E72" i="14"/>
  <c r="F72" i="14"/>
  <c r="E73" i="14"/>
  <c r="F73" i="14"/>
  <c r="E74" i="14"/>
  <c r="F74" i="14"/>
  <c r="E75" i="14"/>
  <c r="F75" i="14"/>
  <c r="F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C61" i="14"/>
  <c r="B61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42" i="14"/>
  <c r="B55" i="11"/>
  <c r="C55" i="11"/>
  <c r="G55" i="11"/>
  <c r="H55" i="11"/>
  <c r="B56" i="11"/>
  <c r="C56" i="11"/>
  <c r="G56" i="11"/>
  <c r="H56" i="11"/>
  <c r="B57" i="11"/>
  <c r="C57" i="11"/>
  <c r="G57" i="11"/>
  <c r="H57" i="11"/>
  <c r="B58" i="11"/>
  <c r="C58" i="11"/>
  <c r="G58" i="11"/>
  <c r="H58" i="11"/>
  <c r="B59" i="11"/>
  <c r="C59" i="11"/>
  <c r="C54" i="11"/>
  <c r="G54" i="11"/>
  <c r="H54" i="11"/>
  <c r="B54" i="11"/>
  <c r="J37" i="11"/>
  <c r="J36" i="11"/>
  <c r="J35" i="11"/>
  <c r="J34" i="11"/>
  <c r="J33" i="11"/>
  <c r="J32" i="11"/>
  <c r="H32" i="11"/>
  <c r="H37" i="11"/>
  <c r="H36" i="11"/>
  <c r="H35" i="11"/>
  <c r="H34" i="11"/>
  <c r="H33" i="11"/>
  <c r="E37" i="11"/>
  <c r="E36" i="11"/>
  <c r="E35" i="11"/>
  <c r="E34" i="11"/>
  <c r="E33" i="11"/>
  <c r="E32" i="11"/>
  <c r="C37" i="11"/>
  <c r="C36" i="11"/>
  <c r="C35" i="11"/>
  <c r="C34" i="11"/>
  <c r="C33" i="11"/>
  <c r="C32" i="11"/>
  <c r="J29" i="11"/>
  <c r="J28" i="11"/>
  <c r="J27" i="11"/>
  <c r="J26" i="11"/>
  <c r="J25" i="11"/>
  <c r="J24" i="11"/>
  <c r="E25" i="11"/>
  <c r="E26" i="11"/>
  <c r="E27" i="11"/>
  <c r="E28" i="11"/>
  <c r="E29" i="11"/>
  <c r="E24" i="11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H2" i="9"/>
  <c r="G2" i="9"/>
  <c r="B69" i="3"/>
  <c r="C69" i="3"/>
  <c r="B70" i="3"/>
  <c r="C70" i="3" s="1"/>
  <c r="B71" i="3"/>
  <c r="C71" i="3"/>
  <c r="B72" i="3"/>
  <c r="C72" i="3"/>
  <c r="C68" i="3"/>
  <c r="B68" i="3"/>
  <c r="C20" i="3"/>
  <c r="D20" i="3"/>
  <c r="E20" i="3"/>
  <c r="G20" i="3"/>
  <c r="H20" i="3"/>
  <c r="A20" i="3"/>
  <c r="B19" i="3"/>
  <c r="B20" i="3" s="1"/>
  <c r="F19" i="3"/>
  <c r="F20" i="3" s="1"/>
  <c r="E47" i="7"/>
  <c r="C42" i="2"/>
  <c r="D42" i="2"/>
  <c r="E42" i="2"/>
  <c r="F42" i="2"/>
  <c r="G42" i="2"/>
  <c r="B42" i="2"/>
  <c r="H41" i="2"/>
</calcChain>
</file>

<file path=xl/sharedStrings.xml><?xml version="1.0" encoding="utf-8"?>
<sst xmlns="http://schemas.openxmlformats.org/spreadsheetml/2006/main" count="48735" uniqueCount="5706">
  <si>
    <t>corpus</t>
  </si>
  <si>
    <t>conllu_file</t>
  </si>
  <si>
    <t>sent_id</t>
  </si>
  <si>
    <t>verb_id</t>
  </si>
  <si>
    <t>verb_form</t>
  </si>
  <si>
    <t>verb_lemma</t>
  </si>
  <si>
    <t>verb_upos</t>
  </si>
  <si>
    <t>verb_xpos</t>
  </si>
  <si>
    <t>verb_head</t>
  </si>
  <si>
    <t>verb_deprel</t>
  </si>
  <si>
    <t>verb_deps</t>
  </si>
  <si>
    <t>verb_misc</t>
  </si>
  <si>
    <t>verb_Aspect</t>
  </si>
  <si>
    <t>verb_Case</t>
  </si>
  <si>
    <t>verb_Clitic</t>
  </si>
  <si>
    <t>verb_Definite</t>
  </si>
  <si>
    <t>verb_Degree</t>
  </si>
  <si>
    <t>verb_ExtPos</t>
  </si>
  <si>
    <t>verb_Foreign</t>
  </si>
  <si>
    <t>verb_Gender</t>
  </si>
  <si>
    <t>verb_Mood</t>
  </si>
  <si>
    <t>verb_NumType</t>
  </si>
  <si>
    <t>verb_Number</t>
  </si>
  <si>
    <t>verb_Person</t>
  </si>
  <si>
    <t>verb_Polarity</t>
  </si>
  <si>
    <t>verb_Poss</t>
  </si>
  <si>
    <t>verb_PronNumber</t>
  </si>
  <si>
    <t>verb_PronType</t>
  </si>
  <si>
    <t>verb_Tense</t>
  </si>
  <si>
    <t>verb_Typo</t>
  </si>
  <si>
    <t>verb_VerbForm</t>
  </si>
  <si>
    <t>verb_Voice</t>
  </si>
  <si>
    <t>aux1_id</t>
  </si>
  <si>
    <t>aux1_form</t>
  </si>
  <si>
    <t>aux1_lemma</t>
  </si>
  <si>
    <t>aux1_upos</t>
  </si>
  <si>
    <t>aux1_xpos</t>
  </si>
  <si>
    <t>aux1_head</t>
  </si>
  <si>
    <t>aux1_deprel</t>
  </si>
  <si>
    <t>aux1_deps</t>
  </si>
  <si>
    <t>aux1_misc</t>
  </si>
  <si>
    <t>aux2_id</t>
  </si>
  <si>
    <t>aux2_form</t>
  </si>
  <si>
    <t>aux2_lemma</t>
  </si>
  <si>
    <t>aux2_upos</t>
  </si>
  <si>
    <t>aux2_xpos</t>
  </si>
  <si>
    <t>aux2_head</t>
  </si>
  <si>
    <t>aux2_deprel</t>
  </si>
  <si>
    <t>aux2_deps</t>
  </si>
  <si>
    <t>aux2_misc</t>
  </si>
  <si>
    <t>aux3_id</t>
  </si>
  <si>
    <t>aux3_form</t>
  </si>
  <si>
    <t>aux3_lemma</t>
  </si>
  <si>
    <t>aux3_upos</t>
  </si>
  <si>
    <t>aux3_xpos</t>
  </si>
  <si>
    <t>aux3_head</t>
  </si>
  <si>
    <t>aux3_deprel</t>
  </si>
  <si>
    <t>aux3_deps</t>
  </si>
  <si>
    <t>aux3_misc</t>
  </si>
  <si>
    <t>aux1_Aspect</t>
  </si>
  <si>
    <t>aux1_Case</t>
  </si>
  <si>
    <t>aux1_Clitic</t>
  </si>
  <si>
    <t>aux1_Definite</t>
  </si>
  <si>
    <t>aux1_Degree</t>
  </si>
  <si>
    <t>aux1_ExtPos</t>
  </si>
  <si>
    <t>aux1_Foreign</t>
  </si>
  <si>
    <t>aux1_Gender</t>
  </si>
  <si>
    <t>aux1_Mood</t>
  </si>
  <si>
    <t>aux1_NumType</t>
  </si>
  <si>
    <t>aux1_Number</t>
  </si>
  <si>
    <t>aux1_Person</t>
  </si>
  <si>
    <t>aux1_Polarity</t>
  </si>
  <si>
    <t>aux1_Poss</t>
  </si>
  <si>
    <t>aux1_PronNumber</t>
  </si>
  <si>
    <t>aux1_PronType</t>
  </si>
  <si>
    <t>aux1_Tense</t>
  </si>
  <si>
    <t>aux1_Typo</t>
  </si>
  <si>
    <t>aux1_VerbForm</t>
  </si>
  <si>
    <t>aux1_Voice</t>
  </si>
  <si>
    <t>aux2_Aspect</t>
  </si>
  <si>
    <t>aux2_Case</t>
  </si>
  <si>
    <t>aux2_Clitic</t>
  </si>
  <si>
    <t>aux2_Definite</t>
  </si>
  <si>
    <t>aux2_Degree</t>
  </si>
  <si>
    <t>aux2_ExtPos</t>
  </si>
  <si>
    <t>aux2_Foreign</t>
  </si>
  <si>
    <t>aux2_Gender</t>
  </si>
  <si>
    <t>aux2_Mood</t>
  </si>
  <si>
    <t>aux2_NumType</t>
  </si>
  <si>
    <t>aux2_Number</t>
  </si>
  <si>
    <t>aux2_Person</t>
  </si>
  <si>
    <t>aux2_Polarity</t>
  </si>
  <si>
    <t>aux2_Poss</t>
  </si>
  <si>
    <t>aux2_PronNumber</t>
  </si>
  <si>
    <t>aux2_PronType</t>
  </si>
  <si>
    <t>aux2_Tense</t>
  </si>
  <si>
    <t>aux2_Typo</t>
  </si>
  <si>
    <t>aux2_VerbForm</t>
  </si>
  <si>
    <t>aux2_Voice</t>
  </si>
  <si>
    <t>aux3_Aspect</t>
  </si>
  <si>
    <t>aux3_Case</t>
  </si>
  <si>
    <t>aux3_Clitic</t>
  </si>
  <si>
    <t>aux3_Definite</t>
  </si>
  <si>
    <t>aux3_Degree</t>
  </si>
  <si>
    <t>aux3_ExtPos</t>
  </si>
  <si>
    <t>aux3_Foreign</t>
  </si>
  <si>
    <t>aux3_Gender</t>
  </si>
  <si>
    <t>aux3_Mood</t>
  </si>
  <si>
    <t>aux3_NumType</t>
  </si>
  <si>
    <t>aux3_Number</t>
  </si>
  <si>
    <t>aux3_Person</t>
  </si>
  <si>
    <t>aux3_Polarity</t>
  </si>
  <si>
    <t>aux3_Poss</t>
  </si>
  <si>
    <t>aux3_PronNumber</t>
  </si>
  <si>
    <t>aux3_PronType</t>
  </si>
  <si>
    <t>aux3_Tense</t>
  </si>
  <si>
    <t>aux3_Typo</t>
  </si>
  <si>
    <t>aux3_VerbForm</t>
  </si>
  <si>
    <t>aux3_Voice</t>
  </si>
  <si>
    <t>kiparla2.18</t>
  </si>
  <si>
    <t>it_kiparlaforest-ud-test.conllu</t>
  </si>
  <si>
    <t>BOD2018_0_1</t>
  </si>
  <si>
    <t>parlar</t>
  </si>
  <si>
    <t>parlare</t>
  </si>
  <si>
    <t>VERB</t>
  </si>
  <si>
    <t>_</t>
  </si>
  <si>
    <t>root</t>
  </si>
  <si>
    <t>KID=0-1a</t>
  </si>
  <si>
    <t>Inf</t>
  </si>
  <si>
    <t>dovresti</t>
  </si>
  <si>
    <t>dovere</t>
  </si>
  <si>
    <t>AUX</t>
  </si>
  <si>
    <t>aux</t>
  </si>
  <si>
    <t>Begin=0.96|KID=0-0</t>
  </si>
  <si>
    <t>Cnd</t>
  </si>
  <si>
    <t>Sing</t>
  </si>
  <si>
    <t>Pres</t>
  </si>
  <si>
    <t>Fin</t>
  </si>
  <si>
    <t>BOD2018_3a</t>
  </si>
  <si>
    <t>fatta</t>
  </si>
  <si>
    <t>fare</t>
  </si>
  <si>
    <t>KID=3-2|Prolonged=Yes</t>
  </si>
  <si>
    <t>Fem</t>
  </si>
  <si>
    <t>Past</t>
  </si>
  <si>
    <t>Part</t>
  </si>
  <si>
    <t>è</t>
  </si>
  <si>
    <t>essere</t>
  </si>
  <si>
    <t>aux:pass</t>
  </si>
  <si>
    <t>KID=3-1</t>
  </si>
  <si>
    <t>Ind</t>
  </si>
  <si>
    <t>BOD2018_3b</t>
  </si>
  <si>
    <t>vivi</t>
  </si>
  <si>
    <t>vivo</t>
  </si>
  <si>
    <t>End=8.61|Intonation=WeaklyRising|KID=3-8</t>
  </si>
  <si>
    <t>Masc</t>
  </si>
  <si>
    <t>Plur</t>
  </si>
  <si>
    <t>BOD2018_6_7_9_10</t>
  </si>
  <si>
    <t>viviamo</t>
  </si>
  <si>
    <t>vivere</t>
  </si>
  <si>
    <t>KID=6-1|Prolonged=Yes</t>
  </si>
  <si>
    <t>sono</t>
  </si>
  <si>
    <t>conj</t>
  </si>
  <si>
    <t>KID=10-15</t>
  </si>
  <si>
    <t>BOD2018_11</t>
  </si>
  <si>
    <t>KID=11-3</t>
  </si>
  <si>
    <t>KID=11-2</t>
  </si>
  <si>
    <t>BOD2018_12_14</t>
  </si>
  <si>
    <t>KID=12-2|Prolonged=Yes</t>
  </si>
  <si>
    <t>abitata</t>
  </si>
  <si>
    <t>abitare</t>
  </si>
  <si>
    <t>acl:relcl</t>
  </si>
  <si>
    <t>KID=14-11|Prolonged=Yes</t>
  </si>
  <si>
    <t>KID=14-10</t>
  </si>
  <si>
    <t>BOD2018_16a</t>
  </si>
  <si>
    <t>KID=16-1</t>
  </si>
  <si>
    <t>Begin=42.508|KID=16-0</t>
  </si>
  <si>
    <t>BOD2018_16b</t>
  </si>
  <si>
    <t>costruita</t>
  </si>
  <si>
    <t>costruire</t>
  </si>
  <si>
    <t>KID=16-8|Prolonged=Yes</t>
  </si>
  <si>
    <t>credo</t>
  </si>
  <si>
    <t>credere</t>
  </si>
  <si>
    <t>discourse</t>
  </si>
  <si>
    <t>End=49.35|ExtPos=DM|KID=16-13</t>
  </si>
  <si>
    <t>BOD2018_17_18</t>
  </si>
  <si>
    <t>trova</t>
  </si>
  <si>
    <t>trovare</t>
  </si>
  <si>
    <t>KID=18-2</t>
  </si>
  <si>
    <t>BOD2018_19</t>
  </si>
  <si>
    <t>KID=19-2</t>
  </si>
  <si>
    <t>BOD2018_20</t>
  </si>
  <si>
    <t>abito</t>
  </si>
  <si>
    <t>KID=20-1</t>
  </si>
  <si>
    <t>metto</t>
  </si>
  <si>
    <t>mettere</t>
  </si>
  <si>
    <t>End=62.86|KID=20-12</t>
  </si>
  <si>
    <t>BOD2018_23_24a</t>
  </si>
  <si>
    <t>so</t>
  </si>
  <si>
    <t>sapere</t>
  </si>
  <si>
    <t>parataxis</t>
  </si>
  <si>
    <t>KID=23-9</t>
  </si>
  <si>
    <t>visto</t>
  </si>
  <si>
    <t>vedere</t>
  </si>
  <si>
    <t>KID=23-12</t>
  </si>
  <si>
    <t>ho</t>
  </si>
  <si>
    <t>avere</t>
  </si>
  <si>
    <t>KID=23-11</t>
  </si>
  <si>
    <t>era</t>
  </si>
  <si>
    <t>KID=24-5</t>
  </si>
  <si>
    <t>Imp</t>
  </si>
  <si>
    <t>reparandum</t>
  </si>
  <si>
    <t>KID=24-1|Prolonged=Yes</t>
  </si>
  <si>
    <t>immersa</t>
  </si>
  <si>
    <t>immergere</t>
  </si>
  <si>
    <t>KID=24-10</t>
  </si>
  <si>
    <t>BOD2018_24b_25</t>
  </si>
  <si>
    <t>costruito</t>
  </si>
  <si>
    <t>KID=24-17</t>
  </si>
  <si>
    <t>hanno</t>
  </si>
  <si>
    <t>KID=24-16</t>
  </si>
  <si>
    <t>persa</t>
  </si>
  <si>
    <t>perdere</t>
  </si>
  <si>
    <t>KID=24-27</t>
  </si>
  <si>
    <t>KID=24-26</t>
  </si>
  <si>
    <t>collega</t>
  </si>
  <si>
    <t>collegare</t>
  </si>
  <si>
    <t>KID=25-3</t>
  </si>
  <si>
    <t>BOD2018_26_27</t>
  </si>
  <si>
    <t>KID=27-8</t>
  </si>
  <si>
    <t>avete</t>
  </si>
  <si>
    <t>KID=27-10</t>
  </si>
  <si>
    <t>BOD2018_28_29_30_31_32_34a</t>
  </si>
  <si>
    <t>abbiamo</t>
  </si>
  <si>
    <t>Begin=94.64|KID=28-0|Prolonged=Yes</t>
  </si>
  <si>
    <t>KID=28-6</t>
  </si>
  <si>
    <t>son</t>
  </si>
  <si>
    <t>KID=29-5</t>
  </si>
  <si>
    <t>divisi</t>
  </si>
  <si>
    <t>dividere</t>
  </si>
  <si>
    <t>KID=30-2</t>
  </si>
  <si>
    <t>KID=30-1</t>
  </si>
  <si>
    <t>porta</t>
  </si>
  <si>
    <t>portare</t>
  </si>
  <si>
    <t>KID=30-7</t>
  </si>
  <si>
    <t>KID=31-3</t>
  </si>
  <si>
    <t>gestito</t>
  </si>
  <si>
    <t>gestire</t>
  </si>
  <si>
    <t>KID=31-11</t>
  </si>
  <si>
    <t>KID=31-10</t>
  </si>
  <si>
    <t>KID=32-4</t>
  </si>
  <si>
    <t>BOD2018_34b_35</t>
  </si>
  <si>
    <t>vedono</t>
  </si>
  <si>
    <t>KID=34-13</t>
  </si>
  <si>
    <t>BOD2018_36a</t>
  </si>
  <si>
    <t>KID=36-3</t>
  </si>
  <si>
    <t>BOD2018_36b</t>
  </si>
  <si>
    <t>conoscete</t>
  </si>
  <si>
    <t>conoscere</t>
  </si>
  <si>
    <t>KID=36-8</t>
  </si>
  <si>
    <t>BOD2018_37a</t>
  </si>
  <si>
    <t>diciamo</t>
  </si>
  <si>
    <t>dire</t>
  </si>
  <si>
    <t>KID=37-2</t>
  </si>
  <si>
    <t>vissuto</t>
  </si>
  <si>
    <t>ccomp</t>
  </si>
  <si>
    <t>KID=37-7|Prolonged=Yes</t>
  </si>
  <si>
    <t>KID=37-5</t>
  </si>
  <si>
    <t>fan</t>
  </si>
  <si>
    <t>advcl</t>
  </si>
  <si>
    <t>KID=37-14</t>
  </si>
  <si>
    <t>BOD2018_37b_38</t>
  </si>
  <si>
    <t>Begin=148.34|KID=38-0</t>
  </si>
  <si>
    <t>giocato</t>
  </si>
  <si>
    <t>giocare</t>
  </si>
  <si>
    <t>KID=38-12</t>
  </si>
  <si>
    <t>KID=38-10</t>
  </si>
  <si>
    <t>BOD2018_39_40</t>
  </si>
  <si>
    <t>KID=39-4|Prolonged=Yes</t>
  </si>
  <si>
    <t>BOD2018_44</t>
  </si>
  <si>
    <t>festeggiamo</t>
  </si>
  <si>
    <t>festeggiare</t>
  </si>
  <si>
    <t>KID=44-5|Prolonged=Yes</t>
  </si>
  <si>
    <t>stiamo</t>
  </si>
  <si>
    <t>stare</t>
  </si>
  <si>
    <t>KID=44-9</t>
  </si>
  <si>
    <t>incontriamo</t>
  </si>
  <si>
    <t>incontrare</t>
  </si>
  <si>
    <t>KID=44-17|Prolonged=Yes</t>
  </si>
  <si>
    <t>salutiamo</t>
  </si>
  <si>
    <t>salutare</t>
  </si>
  <si>
    <t>KID=44-22|Prolonged=Yes</t>
  </si>
  <si>
    <t>chiediamo</t>
  </si>
  <si>
    <t>chiedere</t>
  </si>
  <si>
    <t>KID=44-24</t>
  </si>
  <si>
    <t>xcomp</t>
  </si>
  <si>
    <t>KID=44-26|Prolonged=Yes</t>
  </si>
  <si>
    <t>BOD2018_47</t>
  </si>
  <si>
    <t>portiamo</t>
  </si>
  <si>
    <t>KID=47-3|Prolonged=Yes</t>
  </si>
  <si>
    <t>BOD2018_48</t>
  </si>
  <si>
    <t>preferita</t>
  </si>
  <si>
    <t>preferito</t>
  </si>
  <si>
    <t>amod</t>
  </si>
  <si>
    <t>KID=48-7</t>
  </si>
  <si>
    <t>BOD2018_49_50_51_52</t>
  </si>
  <si>
    <t>KID=49-3|Prolonged=Yes|ProsodicLink=Yes</t>
  </si>
  <si>
    <t>riscalda</t>
  </si>
  <si>
    <t>riscaldare</t>
  </si>
  <si>
    <t>KID=50-11</t>
  </si>
  <si>
    <t>Sub</t>
  </si>
  <si>
    <t>pensato</t>
  </si>
  <si>
    <t>pensare</t>
  </si>
  <si>
    <t>End=208.52|Intonation=WeaklyRising|KID=51-6</t>
  </si>
  <si>
    <t>KID=51-4</t>
  </si>
  <si>
    <t>BOD2018_53_54a</t>
  </si>
  <si>
    <t>KID=53-10</t>
  </si>
  <si>
    <t>KID=54-3|OverlappingGroup=7</t>
  </si>
  <si>
    <t>BOD2018_54c</t>
  </si>
  <si>
    <t>KID=54-7</t>
  </si>
  <si>
    <t>BOD2018_55</t>
  </si>
  <si>
    <t>state</t>
  </si>
  <si>
    <t>Begin=219.85|Coconstruct=conj::BOD2018_53_54a::17|KID=55-0|OverlappingGroup=7</t>
  </si>
  <si>
    <t>BOD2018_56_57</t>
  </si>
  <si>
    <t>sto</t>
  </si>
  <si>
    <t>KID=56-6</t>
  </si>
  <si>
    <t>KID=57-1</t>
  </si>
  <si>
    <t>BOD2018_58_59_60</t>
  </si>
  <si>
    <t>sa</t>
  </si>
  <si>
    <t>KID=58-3|Volume=Low</t>
  </si>
  <si>
    <t>End=233.66|Intonation=Falling|KID=58-7|Volume=Low</t>
  </si>
  <si>
    <t>dà</t>
  </si>
  <si>
    <t>dare</t>
  </si>
  <si>
    <t>KID=59-8</t>
  </si>
  <si>
    <t>rifatta</t>
  </si>
  <si>
    <t>rifare</t>
  </si>
  <si>
    <t>KID=60-3</t>
  </si>
  <si>
    <t>KID=60-2</t>
  </si>
  <si>
    <t>KID=60-14</t>
  </si>
  <si>
    <t>cop</t>
  </si>
  <si>
    <t>KID=60-12</t>
  </si>
  <si>
    <t>KID=60-19</t>
  </si>
  <si>
    <t>KID=60-26</t>
  </si>
  <si>
    <t>BOD2018_61_62_64</t>
  </si>
  <si>
    <t>penso</t>
  </si>
  <si>
    <t>KID=61-6</t>
  </si>
  <si>
    <t>KID=62-5</t>
  </si>
  <si>
    <t>KID=62-9</t>
  </si>
  <si>
    <t>End=253.81|KID=64-5</t>
  </si>
  <si>
    <t>BOD2018_65_66</t>
  </si>
  <si>
    <t>vai</t>
  </si>
  <si>
    <t>andare</t>
  </si>
  <si>
    <t>KID=66-7</t>
  </si>
  <si>
    <t>resti</t>
  </si>
  <si>
    <t>restare</t>
  </si>
  <si>
    <t>KID=66-13</t>
  </si>
  <si>
    <t>abiti</t>
  </si>
  <si>
    <t>End=266.05|Intonation=Rising|KID=66-19</t>
  </si>
  <si>
    <t>BOD2018_67_68</t>
  </si>
  <si>
    <t>KID=68-2|Prolonged=Yes</t>
  </si>
  <si>
    <t>KID=68-3|Prolonged=Yes</t>
  </si>
  <si>
    <t>sposti</t>
  </si>
  <si>
    <t>spostare</t>
  </si>
  <si>
    <t>KID=69-3</t>
  </si>
  <si>
    <t>entri</t>
  </si>
  <si>
    <t>entrare</t>
  </si>
  <si>
    <t>KID=69-19</t>
  </si>
  <si>
    <t>BOD2018_69_70</t>
  </si>
  <si>
    <t>csubj</t>
  </si>
  <si>
    <t>KID=69-25</t>
  </si>
  <si>
    <t>BOD2018_71</t>
  </si>
  <si>
    <t>fa</t>
  </si>
  <si>
    <t>KID=71-2</t>
  </si>
  <si>
    <t>BOD2018_72_73</t>
  </si>
  <si>
    <t>prendere</t>
  </si>
  <si>
    <t>KID=73-6</t>
  </si>
  <si>
    <t>devi</t>
  </si>
  <si>
    <t>KID=73-5</t>
  </si>
  <si>
    <t>anda'</t>
  </si>
  <si>
    <t>KID=73-10|Truncated=Yes</t>
  </si>
  <si>
    <t>BOD2018_74_75</t>
  </si>
  <si>
    <t>sia</t>
  </si>
  <si>
    <t>fixed</t>
  </si>
  <si>
    <t>KID=74-5|Prolonged=Yes</t>
  </si>
  <si>
    <t>KID=75-2</t>
  </si>
  <si>
    <t>KID=75-9</t>
  </si>
  <si>
    <t>prender</t>
  </si>
  <si>
    <t>acl</t>
  </si>
  <si>
    <t>KID=75-12|Truncated=Yes</t>
  </si>
  <si>
    <t>KID=75-17</t>
  </si>
  <si>
    <t>BOD2018_76_77</t>
  </si>
  <si>
    <t>tornare</t>
  </si>
  <si>
    <t>KID=76-2</t>
  </si>
  <si>
    <t>prendo</t>
  </si>
  <si>
    <t>KID=77-3</t>
  </si>
  <si>
    <t>Ger</t>
  </si>
  <si>
    <t>BOD2018_78_79</t>
  </si>
  <si>
    <t>KID=78-5</t>
  </si>
  <si>
    <t>BOD2018_80</t>
  </si>
  <si>
    <t>KID=80-3</t>
  </si>
  <si>
    <t>BOD2018_81</t>
  </si>
  <si>
    <t>KID=81-3</t>
  </si>
  <si>
    <t>passano</t>
  </si>
  <si>
    <t>passire</t>
  </si>
  <si>
    <t>KID=81-6</t>
  </si>
  <si>
    <t>spostar</t>
  </si>
  <si>
    <t>KID=81-22a</t>
  </si>
  <si>
    <t>BOD2018_82</t>
  </si>
  <si>
    <t>fatto</t>
  </si>
  <si>
    <t>KID=82-3</t>
  </si>
  <si>
    <t>KID=82-2</t>
  </si>
  <si>
    <t>preferisco</t>
  </si>
  <si>
    <t>preferire</t>
  </si>
  <si>
    <t>KID=82-14</t>
  </si>
  <si>
    <t>BOD2018_83</t>
  </si>
  <si>
    <t>ricordo</t>
  </si>
  <si>
    <t>ricordare</t>
  </si>
  <si>
    <t>KID=83-4</t>
  </si>
  <si>
    <t>KID=83-6</t>
  </si>
  <si>
    <t>lavoravano</t>
  </si>
  <si>
    <t>lavorare</t>
  </si>
  <si>
    <t>KID=83-16</t>
  </si>
  <si>
    <t>avevo</t>
  </si>
  <si>
    <t>KID=83-31</t>
  </si>
  <si>
    <t>uscivo</t>
  </si>
  <si>
    <t>uscire</t>
  </si>
  <si>
    <t>KID=83-33</t>
  </si>
  <si>
    <t>BOD2018_84</t>
  </si>
  <si>
    <t>legata</t>
  </si>
  <si>
    <t>legato</t>
  </si>
  <si>
    <t>KID=84-4</t>
  </si>
  <si>
    <t>KID=84-2</t>
  </si>
  <si>
    <t>BOD2018_85_86_87_89a</t>
  </si>
  <si>
    <t>KID=86-3</t>
  </si>
  <si>
    <t>KID=86-11</t>
  </si>
  <si>
    <t>arrivare</t>
  </si>
  <si>
    <t>KID=86-19</t>
  </si>
  <si>
    <t>KID=87-2|Truncated=Yes</t>
  </si>
  <si>
    <t>dovessi</t>
  </si>
  <si>
    <t>KID=87-1</t>
  </si>
  <si>
    <t>metterei</t>
  </si>
  <si>
    <t>KID=87-6</t>
  </si>
  <si>
    <t>KID=89-2</t>
  </si>
  <si>
    <t>BOD2018_89b</t>
  </si>
  <si>
    <t>vedevo</t>
  </si>
  <si>
    <t>KID=89-8</t>
  </si>
  <si>
    <t>KID=89-12|Truncated=Yes</t>
  </si>
  <si>
    <t>KID=89-17</t>
  </si>
  <si>
    <t>BOD2018_90</t>
  </si>
  <si>
    <t>usato</t>
  </si>
  <si>
    <t>usare</t>
  </si>
  <si>
    <t>KID=90-6</t>
  </si>
  <si>
    <t>KID=90-4</t>
  </si>
  <si>
    <t>ero</t>
  </si>
  <si>
    <t>KID=90-10|Prolonged=Yes</t>
  </si>
  <si>
    <t>legare</t>
  </si>
  <si>
    <t>KID=90-20</t>
  </si>
  <si>
    <t>KID=90-17</t>
  </si>
  <si>
    <t>piace</t>
  </si>
  <si>
    <t>piacere</t>
  </si>
  <si>
    <t>KID=90-27</t>
  </si>
  <si>
    <t>BOD2018_92_93</t>
  </si>
  <si>
    <t>KID=93-1|Prolonged=Yes</t>
  </si>
  <si>
    <t>KID=93-2a</t>
  </si>
  <si>
    <t>KID=93-8</t>
  </si>
  <si>
    <t>BOD2018_94</t>
  </si>
  <si>
    <t>preso</t>
  </si>
  <si>
    <t>KID=94-2|OverlappingGroup=15</t>
  </si>
  <si>
    <t>KID=94-1|OverlappingGroup=15</t>
  </si>
  <si>
    <t>KID=94-9</t>
  </si>
  <si>
    <t>KID=94-7</t>
  </si>
  <si>
    <t>KID=94-13</t>
  </si>
  <si>
    <t>BOD2018_95</t>
  </si>
  <si>
    <t>vedi</t>
  </si>
  <si>
    <t>End=388.52|Intonation=Rising|KID=95-2</t>
  </si>
  <si>
    <t>BOD2018_96</t>
  </si>
  <si>
    <t>prendevo</t>
  </si>
  <si>
    <t>KID=96-3</t>
  </si>
  <si>
    <t>nevicava</t>
  </si>
  <si>
    <t>nevicare</t>
  </si>
  <si>
    <t>End=390.36|KID=96-6</t>
  </si>
  <si>
    <t>BOD2018_98</t>
  </si>
  <si>
    <t>KID=98-4</t>
  </si>
  <si>
    <t>KID=98-3</t>
  </si>
  <si>
    <t>BOD2018_100_101</t>
  </si>
  <si>
    <t>KID=100-3</t>
  </si>
  <si>
    <t>End=408.62|Intonation=Falling|KID=101-11</t>
  </si>
  <si>
    <t>BOD2018_103_104_105</t>
  </si>
  <si>
    <t>KID=103-2</t>
  </si>
  <si>
    <t>KID=104-9|Truncated=Yes</t>
  </si>
  <si>
    <t>BOD2018_106</t>
  </si>
  <si>
    <t>stai</t>
  </si>
  <si>
    <t>KID=106-3</t>
  </si>
  <si>
    <t>BOD2018_108</t>
  </si>
  <si>
    <t>cambiato</t>
  </si>
  <si>
    <t>cambiare</t>
  </si>
  <si>
    <t>KID=108-4</t>
  </si>
  <si>
    <t>hai</t>
  </si>
  <si>
    <t>KID=108-3</t>
  </si>
  <si>
    <t>End=426.29|KID=108-9|OverlappingGroup=18</t>
  </si>
  <si>
    <t>BOD2018_112_114_115_116</t>
  </si>
  <si>
    <t>KID=115-3</t>
  </si>
  <si>
    <t>KID=115-2</t>
  </si>
  <si>
    <t>BOD2018_117</t>
  </si>
  <si>
    <t>End=443.51|Intonation=Rising|KID=117-4|OverlappingGroup=19</t>
  </si>
  <si>
    <t>KID=117-3</t>
  </si>
  <si>
    <t>BOD2018_119_120_121_122_123a</t>
  </si>
  <si>
    <t>KID=119-6</t>
  </si>
  <si>
    <t>KID=119-5</t>
  </si>
  <si>
    <t>trovata</t>
  </si>
  <si>
    <t>KID=120-9</t>
  </si>
  <si>
    <t>KID=120-7</t>
  </si>
  <si>
    <t>KID=120-13|Prolonged=Yes</t>
  </si>
  <si>
    <t>erano</t>
  </si>
  <si>
    <t>KID=122-15</t>
  </si>
  <si>
    <t>BOD2018_123b</t>
  </si>
  <si>
    <t>stavam</t>
  </si>
  <si>
    <t>KID=123-9|Truncated=Yes</t>
  </si>
  <si>
    <t>BOD2018_125</t>
  </si>
  <si>
    <t>eran</t>
  </si>
  <si>
    <t>KID=125-4|Truncated=Yes</t>
  </si>
  <si>
    <t>affacciavano</t>
  </si>
  <si>
    <t>affacciare</t>
  </si>
  <si>
    <t>KID=125-10</t>
  </si>
  <si>
    <t>BOD2018_126</t>
  </si>
  <si>
    <t>ristrutturata</t>
  </si>
  <si>
    <t>ristrutturare</t>
  </si>
  <si>
    <t>KID=126-7</t>
  </si>
  <si>
    <t>KID=126-6|Prolonged=Yes</t>
  </si>
  <si>
    <t>KID=126-31</t>
  </si>
  <si>
    <t>KID=126-30</t>
  </si>
  <si>
    <t>BOD2018_128_129_130_132</t>
  </si>
  <si>
    <t>KID=129-2</t>
  </si>
  <si>
    <t>KID=129-1</t>
  </si>
  <si>
    <t>cercavo</t>
  </si>
  <si>
    <t>cercare</t>
  </si>
  <si>
    <t>KID=129-6</t>
  </si>
  <si>
    <t>BOD2018_131</t>
  </si>
  <si>
    <t>dici</t>
  </si>
  <si>
    <t>End=513.0|Intonation=Rising|KID=131-3|OverlappingGroup=20</t>
  </si>
  <si>
    <t>BOD2018_134</t>
  </si>
  <si>
    <t>KID=134-17</t>
  </si>
  <si>
    <t>KID=134-15</t>
  </si>
  <si>
    <t>BOD2018_135_136</t>
  </si>
  <si>
    <t>dai</t>
  </si>
  <si>
    <t>ExtPos=DM|KID=136-0</t>
  </si>
  <si>
    <t>BOD2018_138_139</t>
  </si>
  <si>
    <t>sta</t>
  </si>
  <si>
    <t>KID=138-3</t>
  </si>
  <si>
    <t>KID=138-5</t>
  </si>
  <si>
    <t>End=539.39|Intonation=Falling|KID=138-21</t>
  </si>
  <si>
    <t>End=540.26|Intonation=Falling|KID=139-2|OverlappingGroup=23</t>
  </si>
  <si>
    <t>BOD2018_140</t>
  </si>
  <si>
    <t>KID=140-2</t>
  </si>
  <si>
    <t>BOD2018_141_142</t>
  </si>
  <si>
    <t>KID=142-3</t>
  </si>
  <si>
    <t>KID=142-2</t>
  </si>
  <si>
    <t>BOD2018_143_144</t>
  </si>
  <si>
    <t>stato</t>
  </si>
  <si>
    <t>KID=144-6</t>
  </si>
  <si>
    <t>KID=144-5</t>
  </si>
  <si>
    <t>abitato</t>
  </si>
  <si>
    <t>KID=144-12</t>
  </si>
  <si>
    <t>KID=144-11</t>
  </si>
  <si>
    <t>BOD2018_145_147_148</t>
  </si>
  <si>
    <t>siano</t>
  </si>
  <si>
    <t>Coconstruct=acl::BOD2018_145_147_148::12|KID=147-3</t>
  </si>
  <si>
    <t>dormire</t>
  </si>
  <si>
    <t>KID=148-5|Prolonged=Yes</t>
  </si>
  <si>
    <t>KID=148-9</t>
  </si>
  <si>
    <t>creare</t>
  </si>
  <si>
    <t>KID=148-22</t>
  </si>
  <si>
    <t>possono</t>
  </si>
  <si>
    <t>potere</t>
  </si>
  <si>
    <t>KID=148-21</t>
  </si>
  <si>
    <t>BOD2018_153_154</t>
  </si>
  <si>
    <t>amato</t>
  </si>
  <si>
    <t>amare</t>
  </si>
  <si>
    <t>KID=153-6</t>
  </si>
  <si>
    <t>KID=153-4</t>
  </si>
  <si>
    <t>fosse</t>
  </si>
  <si>
    <t>KID=153-12</t>
  </si>
  <si>
    <t>ritrasferirei</t>
  </si>
  <si>
    <t>ritrasferire</t>
  </si>
  <si>
    <t>KID=153-19</t>
  </si>
  <si>
    <t>KID=154-9</t>
  </si>
  <si>
    <t>muovi</t>
  </si>
  <si>
    <t>muovere</t>
  </si>
  <si>
    <t>KID=154-13</t>
  </si>
  <si>
    <t>KID=154-18</t>
  </si>
  <si>
    <t>KID=154-17</t>
  </si>
  <si>
    <t>BOD2018_155</t>
  </si>
  <si>
    <t>capita</t>
  </si>
  <si>
    <t>capitare</t>
  </si>
  <si>
    <t>KID=155-2</t>
  </si>
  <si>
    <t>KID=155-11</t>
  </si>
  <si>
    <t>KID=155-15</t>
  </si>
  <si>
    <t>KID=155-19</t>
  </si>
  <si>
    <t>passi</t>
  </si>
  <si>
    <t>passare</t>
  </si>
  <si>
    <t>KID=155-25</t>
  </si>
  <si>
    <t>BOD2018_156_157a</t>
  </si>
  <si>
    <t>studiando</t>
  </si>
  <si>
    <t>studiare</t>
  </si>
  <si>
    <t>KID=156-3</t>
  </si>
  <si>
    <t>tornavo</t>
  </si>
  <si>
    <t>KID=157-3</t>
  </si>
  <si>
    <t>passavo</t>
  </si>
  <si>
    <t>KID=157-9</t>
  </si>
  <si>
    <t>BOD2018_157b</t>
  </si>
  <si>
    <t>KID=157-19|Prolonged=Yes</t>
  </si>
  <si>
    <t>metteva</t>
  </si>
  <si>
    <t>KID=157-29</t>
  </si>
  <si>
    <t>BOD2018_158_159_160</t>
  </si>
  <si>
    <t>KID=159-7|Truncated=Yes</t>
  </si>
  <si>
    <t>ha</t>
  </si>
  <si>
    <t>KID=159-15</t>
  </si>
  <si>
    <t>apprezzo</t>
  </si>
  <si>
    <t>apprezzare</t>
  </si>
  <si>
    <t>KID=160-5</t>
  </si>
  <si>
    <t>BOD2018_161</t>
  </si>
  <si>
    <t>KID=161-1</t>
  </si>
  <si>
    <t>preferivo</t>
  </si>
  <si>
    <t>KID=161-5</t>
  </si>
  <si>
    <t>BOD2018_162_163_164</t>
  </si>
  <si>
    <t>KID=162-10</t>
  </si>
  <si>
    <t>KID=162-8</t>
  </si>
  <si>
    <t>KID=164-4</t>
  </si>
  <si>
    <t>BOD2018_167_168_169a</t>
  </si>
  <si>
    <t>KID=167-8</t>
  </si>
  <si>
    <t>KID=168-6</t>
  </si>
  <si>
    <t>KID=168-5</t>
  </si>
  <si>
    <t>sentito</t>
  </si>
  <si>
    <t>sentire</t>
  </si>
  <si>
    <t>KID=169-2</t>
  </si>
  <si>
    <t>KID=169-1</t>
  </si>
  <si>
    <t>BOD2018_169b_170</t>
  </si>
  <si>
    <t>avessi</t>
  </si>
  <si>
    <t>KID=170-4</t>
  </si>
  <si>
    <t>parla'</t>
  </si>
  <si>
    <t>KID=170-8|Truncated=Yes</t>
  </si>
  <si>
    <t>addormentam</t>
  </si>
  <si>
    <t>addormentare</t>
  </si>
  <si>
    <t>obl</t>
  </si>
  <si>
    <t>KID=170-11a|Variation=Yes</t>
  </si>
  <si>
    <t>faceva</t>
  </si>
  <si>
    <t>KID=170-15</t>
  </si>
  <si>
    <t>BOD2018_171</t>
  </si>
  <si>
    <t>nsubj</t>
  </si>
  <si>
    <t>KID=171-2</t>
  </si>
  <si>
    <t>BOD2018_172_173</t>
  </si>
  <si>
    <t>KID=172-1</t>
  </si>
  <si>
    <t>KID=172-12|Prolonged=Yes</t>
  </si>
  <si>
    <t>End=701.81|Intonation=WeaklyRising|KID=172-29</t>
  </si>
  <si>
    <t>sentita</t>
  </si>
  <si>
    <t>KID=173-4|Prolonged=Yes</t>
  </si>
  <si>
    <t>KID=173-2</t>
  </si>
  <si>
    <t>KID=173-8</t>
  </si>
  <si>
    <t>KID=173-6</t>
  </si>
  <si>
    <t>KID=173-12</t>
  </si>
  <si>
    <t>BOD2018_174</t>
  </si>
  <si>
    <t>tornava</t>
  </si>
  <si>
    <t>KID=174-24</t>
  </si>
  <si>
    <t>KID=174-36</t>
  </si>
  <si>
    <t>BOD2018_176</t>
  </si>
  <si>
    <t>ritagliar</t>
  </si>
  <si>
    <t>KID=176-3a</t>
  </si>
  <si>
    <t>volevo</t>
  </si>
  <si>
    <t>volere</t>
  </si>
  <si>
    <t>KID=176-2</t>
  </si>
  <si>
    <t>facevo</t>
  </si>
  <si>
    <t>KID=176-9|Prolonged=Yes</t>
  </si>
  <si>
    <t>BOD2018_177</t>
  </si>
  <si>
    <t>KID=177-2</t>
  </si>
  <si>
    <t>crescendo</t>
  </si>
  <si>
    <t>crescere</t>
  </si>
  <si>
    <t>KID=177-4|Prolonged=Yes</t>
  </si>
  <si>
    <t>KID=177-5</t>
  </si>
  <si>
    <t>KID=177-8|Prolonged=Yes</t>
  </si>
  <si>
    <t>BOD2018_178</t>
  </si>
  <si>
    <t>condivide</t>
  </si>
  <si>
    <t>condividere</t>
  </si>
  <si>
    <t>KID=178-7</t>
  </si>
  <si>
    <t>BOD2018_183</t>
  </si>
  <si>
    <t>KID=183-1|Prolonged=Yes</t>
  </si>
  <si>
    <t>KID=183-4</t>
  </si>
  <si>
    <t>KID=183-8</t>
  </si>
  <si>
    <t>rinchiuder</t>
  </si>
  <si>
    <t>rinchiudere</t>
  </si>
  <si>
    <t>KID=183-14a</t>
  </si>
  <si>
    <t>BOD2018_185</t>
  </si>
  <si>
    <t>KID=185-1|PaceFast=Yes</t>
  </si>
  <si>
    <t>detto</t>
  </si>
  <si>
    <t>KID=185-6|PaceFast=Yes</t>
  </si>
  <si>
    <t>KID=185-5|PaceFast=Yes</t>
  </si>
  <si>
    <t>arrivata</t>
  </si>
  <si>
    <t>KID=185-13</t>
  </si>
  <si>
    <t>KID=185-12</t>
  </si>
  <si>
    <t>KID=185-20</t>
  </si>
  <si>
    <t>impazzendo</t>
  </si>
  <si>
    <t>impazzire</t>
  </si>
  <si>
    <t>End=756.39|Intonation=WeaklyRising|KID=185-23</t>
  </si>
  <si>
    <t>stavo</t>
  </si>
  <si>
    <t>KID=185-22</t>
  </si>
  <si>
    <t>BOD2018_186_187a</t>
  </si>
  <si>
    <t>avevamo</t>
  </si>
  <si>
    <t>KID=186-4|Prolonged=Yes</t>
  </si>
  <si>
    <t>avevano</t>
  </si>
  <si>
    <t>KID=187-4</t>
  </si>
  <si>
    <t>KID=187-10</t>
  </si>
  <si>
    <t>BOD2018_187b_188</t>
  </si>
  <si>
    <t>stavi</t>
  </si>
  <si>
    <t>KID=188-2</t>
  </si>
  <si>
    <t>KID=188-6</t>
  </si>
  <si>
    <t>BOD2018_189_190</t>
  </si>
  <si>
    <t>KID=189-7</t>
  </si>
  <si>
    <t>sta'</t>
  </si>
  <si>
    <t>KID=189-12|Truncated=Yes</t>
  </si>
  <si>
    <t>potevo</t>
  </si>
  <si>
    <t>KID=189-10</t>
  </si>
  <si>
    <t>apprezzavo</t>
  </si>
  <si>
    <t>KID=190-1</t>
  </si>
  <si>
    <t>KID=190-4</t>
  </si>
  <si>
    <t>riuscivo</t>
  </si>
  <si>
    <t>riuscire</t>
  </si>
  <si>
    <t>KID=190-9</t>
  </si>
  <si>
    <t>KID=190-13|Truncated=Yes</t>
  </si>
  <si>
    <t>BOD2018_191_192</t>
  </si>
  <si>
    <t>capisco</t>
  </si>
  <si>
    <t>capire</t>
  </si>
  <si>
    <t>End=783.48|Intonation=Falling|KID=191-4</t>
  </si>
  <si>
    <t>KID=192-2</t>
  </si>
  <si>
    <t>BOD2018_193</t>
  </si>
  <si>
    <t>KID=193-9</t>
  </si>
  <si>
    <t>KID=193-8</t>
  </si>
  <si>
    <t>lasciavano</t>
  </si>
  <si>
    <t>lasciare</t>
  </si>
  <si>
    <t>KID=193-17</t>
  </si>
  <si>
    <t>BOD2018_194</t>
  </si>
  <si>
    <t>KID=194-11|OverlappingGroup=31|Truncated=Yes</t>
  </si>
  <si>
    <t>BOD2018_195</t>
  </si>
  <si>
    <t>Coconstruct=advcl::BOD2018_194::10|KID=195-2|OverlappingGroup=31</t>
  </si>
  <si>
    <t>KID=195-10</t>
  </si>
  <si>
    <t>KID=195-16</t>
  </si>
  <si>
    <t>BOD2018_199_200</t>
  </si>
  <si>
    <t>KID=199-12</t>
  </si>
  <si>
    <t>KID=199-17</t>
  </si>
  <si>
    <t>KID=199-19</t>
  </si>
  <si>
    <t>KID=200-3</t>
  </si>
  <si>
    <t>KID=200-9</t>
  </si>
  <si>
    <t>KID=200-15</t>
  </si>
  <si>
    <t>BOD2018_201</t>
  </si>
  <si>
    <t>End=814.85|Intonation=Rising|KID=201-4</t>
  </si>
  <si>
    <t>BOD2018_205</t>
  </si>
  <si>
    <t>KID=205-1</t>
  </si>
  <si>
    <t>trovi</t>
  </si>
  <si>
    <t>KID=205-7</t>
  </si>
  <si>
    <t>KID=205-13</t>
  </si>
  <si>
    <t>BOD2018_209_210</t>
  </si>
  <si>
    <t>KID=209-3|OverlappingGroup=35</t>
  </si>
  <si>
    <t>KID=209-9</t>
  </si>
  <si>
    <t>KID=209-15</t>
  </si>
  <si>
    <t>scoperto</t>
  </si>
  <si>
    <t>scoprire</t>
  </si>
  <si>
    <t>KID=210-2</t>
  </si>
  <si>
    <t>KID=210-1</t>
  </si>
  <si>
    <t>KID=210-8</t>
  </si>
  <si>
    <t>KID=210-15</t>
  </si>
  <si>
    <t>BOD2018_211</t>
  </si>
  <si>
    <t>End=842.11|Intonation=Rising|KID=211-2|OverlappingGroup=36</t>
  </si>
  <si>
    <t>BOD2018_212_213</t>
  </si>
  <si>
    <t>KID=213-5|OverlappingGroup=37</t>
  </si>
  <si>
    <t>KID=213-14</t>
  </si>
  <si>
    <t>chiami</t>
  </si>
  <si>
    <t>chiamare</t>
  </si>
  <si>
    <t>KID=213-17</t>
  </si>
  <si>
    <t>BOD2018_215_216a</t>
  </si>
  <si>
    <t>racchiuso</t>
  </si>
  <si>
    <t>racchiudere</t>
  </si>
  <si>
    <t>KID=215-5|Prolonged=Yes</t>
  </si>
  <si>
    <t>KID=215-4</t>
  </si>
  <si>
    <t>portano</t>
  </si>
  <si>
    <t>KID=216-6</t>
  </si>
  <si>
    <t>KID=216-14</t>
  </si>
  <si>
    <t>BOD2018_216b_217</t>
  </si>
  <si>
    <t>KID=216-24</t>
  </si>
  <si>
    <t>KID=217-3</t>
  </si>
  <si>
    <t>BOD2018_218b</t>
  </si>
  <si>
    <t>KID=218-2</t>
  </si>
  <si>
    <t>BOD2018_220_221_223</t>
  </si>
  <si>
    <t>uscendo</t>
  </si>
  <si>
    <t>KID=220-4</t>
  </si>
  <si>
    <t>cambia</t>
  </si>
  <si>
    <t>KID=221-5</t>
  </si>
  <si>
    <t>BOD2018_225_227</t>
  </si>
  <si>
    <t>abita</t>
  </si>
  <si>
    <t>KID=225-4|OverlappingGroup=40</t>
  </si>
  <si>
    <t>BOD2018_228</t>
  </si>
  <si>
    <t>senti</t>
  </si>
  <si>
    <t>KID=228-5|OverlappingGroup=42</t>
  </si>
  <si>
    <t>KID=228-7</t>
  </si>
  <si>
    <t>BOD2018_230a</t>
  </si>
  <si>
    <t>vuoi</t>
  </si>
  <si>
    <t>KID=230-2</t>
  </si>
  <si>
    <t>KID=230-7</t>
  </si>
  <si>
    <t>BOD2018_230b</t>
  </si>
  <si>
    <t>conosco</t>
  </si>
  <si>
    <t>KID=230-12</t>
  </si>
  <si>
    <t>abitano</t>
  </si>
  <si>
    <t>KID=230-18</t>
  </si>
  <si>
    <t>BOD2018_232</t>
  </si>
  <si>
    <t>rimaste</t>
  </si>
  <si>
    <t>rimanere</t>
  </si>
  <si>
    <t>KID=232-4</t>
  </si>
  <si>
    <t>KID=232-3|Truncated=Yes</t>
  </si>
  <si>
    <t>BOD2018_236_237</t>
  </si>
  <si>
    <t>KID=236-4</t>
  </si>
  <si>
    <t>KID=237-4|Prolonged=Yes</t>
  </si>
  <si>
    <t>BOD2018_238a</t>
  </si>
  <si>
    <t>offre</t>
  </si>
  <si>
    <t>offrire</t>
  </si>
  <si>
    <t>KID=238-4</t>
  </si>
  <si>
    <t>BOD2018_238b</t>
  </si>
  <si>
    <t>dipende</t>
  </si>
  <si>
    <t>dipendere</t>
  </si>
  <si>
    <t>KID=238-12</t>
  </si>
  <si>
    <t>KID=238-18</t>
  </si>
  <si>
    <t>vuole</t>
  </si>
  <si>
    <t>KID=238-17</t>
  </si>
  <si>
    <t>KID=238-21</t>
  </si>
  <si>
    <t>avendo</t>
  </si>
  <si>
    <t>KID=238-20</t>
  </si>
  <si>
    <t>aspiri</t>
  </si>
  <si>
    <t>aspirare</t>
  </si>
  <si>
    <t>KID=238-28</t>
  </si>
  <si>
    <t>End=926.17|KID=238-40</t>
  </si>
  <si>
    <t>BOD2018_239_240_242</t>
  </si>
  <si>
    <t>KID=239-2</t>
  </si>
  <si>
    <t>abiterei</t>
  </si>
  <si>
    <t>KID=239-4</t>
  </si>
  <si>
    <t>KID=240-3</t>
  </si>
  <si>
    <t>BOD2018_241</t>
  </si>
  <si>
    <t>parli</t>
  </si>
  <si>
    <t>KID=241-3</t>
  </si>
  <si>
    <t>BOD2018_244</t>
  </si>
  <si>
    <t>KID=244-2</t>
  </si>
  <si>
    <t>vorresti</t>
  </si>
  <si>
    <t>KID=244-1</t>
  </si>
  <si>
    <t>BOD2018_248_249_250a</t>
  </si>
  <si>
    <t>piaccia</t>
  </si>
  <si>
    <t>piacciare</t>
  </si>
  <si>
    <t>KID=248-6</t>
  </si>
  <si>
    <t>piacerebbe</t>
  </si>
  <si>
    <t>KID=248-14</t>
  </si>
  <si>
    <t>KID=248-15</t>
  </si>
  <si>
    <t>KID=250-3</t>
  </si>
  <si>
    <t>KID=250-4</t>
  </si>
  <si>
    <t>BOD2018_250b</t>
  </si>
  <si>
    <t>KID=250-9</t>
  </si>
  <si>
    <t>BOD2018_251_252</t>
  </si>
  <si>
    <t>KID=251-2</t>
  </si>
  <si>
    <t>KID=251-4</t>
  </si>
  <si>
    <t>far</t>
  </si>
  <si>
    <t>KID=251-6</t>
  </si>
  <si>
    <t>KID=251-10</t>
  </si>
  <si>
    <t>KID=252-1a</t>
  </si>
  <si>
    <t>BOD2018_253</t>
  </si>
  <si>
    <t>ritaglio</t>
  </si>
  <si>
    <t>ritagliare</t>
  </si>
  <si>
    <t>KID=253-7|Prolonged=Yes</t>
  </si>
  <si>
    <t>BOD2018_254</t>
  </si>
  <si>
    <t>KID=254-5</t>
  </si>
  <si>
    <t>KID=254-6|Prolonged=Yes</t>
  </si>
  <si>
    <t>BOD2018_255b_256_257</t>
  </si>
  <si>
    <t>ospitato</t>
  </si>
  <si>
    <t>ospitare</t>
  </si>
  <si>
    <t>KID=256-3</t>
  </si>
  <si>
    <t>KID=256-2</t>
  </si>
  <si>
    <t>abitava</t>
  </si>
  <si>
    <t>KID=256-9|Prolonged=Yes</t>
  </si>
  <si>
    <t>messo</t>
  </si>
  <si>
    <t>End=995.13|Intonation=WeaklyRising|KID=256-19|Prolonged=Yes</t>
  </si>
  <si>
    <t>KID=256-18|PaceFast=Yes</t>
  </si>
  <si>
    <t>KID=257-6</t>
  </si>
  <si>
    <t>KID=257-5</t>
  </si>
  <si>
    <t>BOD2018_258_259</t>
  </si>
  <si>
    <t>KID=258-2</t>
  </si>
  <si>
    <t>KID=258-9</t>
  </si>
  <si>
    <t>KID=258-18</t>
  </si>
  <si>
    <t>fa'</t>
  </si>
  <si>
    <t>KID=258-21|Truncated=Yes</t>
  </si>
  <si>
    <t>Begin=1008.742|KID=259-0</t>
  </si>
  <si>
    <t>BOD2018_261</t>
  </si>
  <si>
    <t>KID=261-3</t>
  </si>
  <si>
    <t>KID=261-18</t>
  </si>
  <si>
    <t>BOD2018_262_263</t>
  </si>
  <si>
    <t>KID=263-1</t>
  </si>
  <si>
    <t>resta</t>
  </si>
  <si>
    <t>KID=263-3</t>
  </si>
  <si>
    <t>KID=263-8|Truncated=Yes</t>
  </si>
  <si>
    <t>BOD2018_266</t>
  </si>
  <si>
    <t>KID=266-2</t>
  </si>
  <si>
    <t>avrò</t>
  </si>
  <si>
    <t>KID=266-6</t>
  </si>
  <si>
    <t>Fut</t>
  </si>
  <si>
    <t>KID=266-10</t>
  </si>
  <si>
    <t>vorrò</t>
  </si>
  <si>
    <t>KID=266-9</t>
  </si>
  <si>
    <t>BOD2018_267a</t>
  </si>
  <si>
    <t>KID=267-5</t>
  </si>
  <si>
    <t>BOD2018_267b_268_269</t>
  </si>
  <si>
    <t>End=1036.74|Intonation=WeaklyRising|KID=267-17</t>
  </si>
  <si>
    <t>KID=268-16</t>
  </si>
  <si>
    <t>KID=268-21</t>
  </si>
  <si>
    <t>KID=268-20</t>
  </si>
  <si>
    <t>comincia</t>
  </si>
  <si>
    <t>cominciare</t>
  </si>
  <si>
    <t>KID=269-4</t>
  </si>
  <si>
    <t>BOD2018_270</t>
  </si>
  <si>
    <t>KID=270-7</t>
  </si>
  <si>
    <t>KID=270-8|Prolonged=Yes</t>
  </si>
  <si>
    <t>metti</t>
  </si>
  <si>
    <t>KID=270-12</t>
  </si>
  <si>
    <t>BOD2018_271</t>
  </si>
  <si>
    <t>KID=271-7</t>
  </si>
  <si>
    <t>vorrei</t>
  </si>
  <si>
    <t>KID=271-6</t>
  </si>
  <si>
    <t>diventi</t>
  </si>
  <si>
    <t>diventare</t>
  </si>
  <si>
    <t>KID=271-17</t>
  </si>
  <si>
    <t>KID=271-20</t>
  </si>
  <si>
    <t>KID=271-24</t>
  </si>
  <si>
    <t>BOD2018_275_278_279a</t>
  </si>
  <si>
    <t>immagino</t>
  </si>
  <si>
    <t>immaginare</t>
  </si>
  <si>
    <t>KID=275-5</t>
  </si>
  <si>
    <t>KID=275-11|OverlappingGroup=53</t>
  </si>
  <si>
    <t>KID=275-20</t>
  </si>
  <si>
    <t>KID=275-21</t>
  </si>
  <si>
    <t>KID=275-26</t>
  </si>
  <si>
    <t>KID=275-27</t>
  </si>
  <si>
    <t>BOD2018_279b</t>
  </si>
  <si>
    <t>stanno</t>
  </si>
  <si>
    <t>KID=279-8</t>
  </si>
  <si>
    <t>KID=279-18</t>
  </si>
  <si>
    <t>vista</t>
  </si>
  <si>
    <t>KID=279-28</t>
  </si>
  <si>
    <t>KID=279-26</t>
  </si>
  <si>
    <t>BOD2018_281_283</t>
  </si>
  <si>
    <t>KID=281-2</t>
  </si>
  <si>
    <t>KID=281-8</t>
  </si>
  <si>
    <t>BOD2018_284a</t>
  </si>
  <si>
    <t>KID=284-5</t>
  </si>
  <si>
    <t>BOD2018_284b_285_286a</t>
  </si>
  <si>
    <t>continuano</t>
  </si>
  <si>
    <t>continuare</t>
  </si>
  <si>
    <t>KID=284-12</t>
  </si>
  <si>
    <t>lavorar</t>
  </si>
  <si>
    <t>KID=284-14a</t>
  </si>
  <si>
    <t>lavorato</t>
  </si>
  <si>
    <t>KID=284-20</t>
  </si>
  <si>
    <t>KID=284-19</t>
  </si>
  <si>
    <t>KID=284-30</t>
  </si>
  <si>
    <t>accontenti</t>
  </si>
  <si>
    <t>accontentare</t>
  </si>
  <si>
    <t>KID=284-38</t>
  </si>
  <si>
    <t>KID=284-41</t>
  </si>
  <si>
    <t>riesci</t>
  </si>
  <si>
    <t>KID=285-7</t>
  </si>
  <si>
    <t>reinventar</t>
  </si>
  <si>
    <t>reinventare</t>
  </si>
  <si>
    <t>KID=285-9|Prolonged=Yes</t>
  </si>
  <si>
    <t>costruisci</t>
  </si>
  <si>
    <t>KID=285-11</t>
  </si>
  <si>
    <t>BOD2018_286b_287_288</t>
  </si>
  <si>
    <t>vado</t>
  </si>
  <si>
    <t>KID=286-12</t>
  </si>
  <si>
    <t>KID=286-14</t>
  </si>
  <si>
    <t>KID=287-2</t>
  </si>
  <si>
    <t>vorere</t>
  </si>
  <si>
    <t>KID=287-12</t>
  </si>
  <si>
    <t>KID=287-14</t>
  </si>
  <si>
    <t>KID=288-3</t>
  </si>
  <si>
    <t>KID=288-9</t>
  </si>
  <si>
    <t>BOD2018_289_291</t>
  </si>
  <si>
    <t>KID=289-3</t>
  </si>
  <si>
    <t>KID=289-10</t>
  </si>
  <si>
    <t>BOD2018_292_293_294</t>
  </si>
  <si>
    <t>KID=293-2</t>
  </si>
  <si>
    <t>uscissi</t>
  </si>
  <si>
    <t>KID=293-5</t>
  </si>
  <si>
    <t>BOD2018_296</t>
  </si>
  <si>
    <t>KID=296-5</t>
  </si>
  <si>
    <t>KID=296-24</t>
  </si>
  <si>
    <t>organizzano</t>
  </si>
  <si>
    <t>organizzare</t>
  </si>
  <si>
    <t>KID=296-31</t>
  </si>
  <si>
    <t>KID=296-39|Prolonged=Yes</t>
  </si>
  <si>
    <t>BOD2018_297</t>
  </si>
  <si>
    <t>KID=297-12</t>
  </si>
  <si>
    <t>BOD2018_298_300</t>
  </si>
  <si>
    <t>viene</t>
  </si>
  <si>
    <t>venire</t>
  </si>
  <si>
    <t>KID=300-2</t>
  </si>
  <si>
    <t>BOD2018_301_302</t>
  </si>
  <si>
    <t>KID=301-2|OverlappingGroup=59</t>
  </si>
  <si>
    <t>accorgendo</t>
  </si>
  <si>
    <t>accorgere</t>
  </si>
  <si>
    <t>KID=302-13</t>
  </si>
  <si>
    <t>KID=302-12</t>
  </si>
  <si>
    <t>cercando</t>
  </si>
  <si>
    <t>KID=302-16</t>
  </si>
  <si>
    <t>stan</t>
  </si>
  <si>
    <t>KID=302-15|Truncated=Yes</t>
  </si>
  <si>
    <t>KID=302-18</t>
  </si>
  <si>
    <t>BOD2018_303_304_305_306a</t>
  </si>
  <si>
    <t>KID=303-6</t>
  </si>
  <si>
    <t>cominciato</t>
  </si>
  <si>
    <t>KID=303-12</t>
  </si>
  <si>
    <t>KID=303-11</t>
  </si>
  <si>
    <t>KID=303-14|Prolonged=Yes</t>
  </si>
  <si>
    <t>KID=304-2</t>
  </si>
  <si>
    <t>trovo</t>
  </si>
  <si>
    <t>KID=305-2</t>
  </si>
  <si>
    <t>trovato</t>
  </si>
  <si>
    <t>KID=305-7</t>
  </si>
  <si>
    <t>KID=305-5</t>
  </si>
  <si>
    <t>divertir</t>
  </si>
  <si>
    <t>divertire</t>
  </si>
  <si>
    <t>KID=306-3a</t>
  </si>
  <si>
    <t>BOD2018_306b</t>
  </si>
  <si>
    <t>KID=306-6</t>
  </si>
  <si>
    <t>KID=306-11</t>
  </si>
  <si>
    <t>organizzavano</t>
  </si>
  <si>
    <t>KID=306-15</t>
  </si>
  <si>
    <t>BOD2018_308_310_311</t>
  </si>
  <si>
    <t>organizzava</t>
  </si>
  <si>
    <t>KID=308-3</t>
  </si>
  <si>
    <t>KID=308-7</t>
  </si>
  <si>
    <t>esprimer</t>
  </si>
  <si>
    <t>esprimere</t>
  </si>
  <si>
    <t>KID=308-14a</t>
  </si>
  <si>
    <t>tagliando</t>
  </si>
  <si>
    <t>tagliare</t>
  </si>
  <si>
    <t>KID=310-4</t>
  </si>
  <si>
    <t>KID=310-3</t>
  </si>
  <si>
    <t>KID=310-13</t>
  </si>
  <si>
    <t>BOD2018_312</t>
  </si>
  <si>
    <t>KID=312-6</t>
  </si>
  <si>
    <t>KID=312-8|Truncated=Yes</t>
  </si>
  <si>
    <t>BOD2018_313_314_315</t>
  </si>
  <si>
    <t>KID=313-9</t>
  </si>
  <si>
    <t>risente</t>
  </si>
  <si>
    <t>risentire</t>
  </si>
  <si>
    <t>KID=313-16</t>
  </si>
  <si>
    <t>KID=314-10</t>
  </si>
  <si>
    <t>KID=314-15|Prolonged=Yes</t>
  </si>
  <si>
    <t>KID=314-27</t>
  </si>
  <si>
    <t>KID=315-3</t>
  </si>
  <si>
    <t>KID=315-2</t>
  </si>
  <si>
    <t>BOD2018_316</t>
  </si>
  <si>
    <t>KID=316-23</t>
  </si>
  <si>
    <t>BOD2018_318</t>
  </si>
  <si>
    <t>KID=318-2|Prolonged=Yes</t>
  </si>
  <si>
    <t>prendi</t>
  </si>
  <si>
    <t>KID=318-3</t>
  </si>
  <si>
    <t>KID=318-7</t>
  </si>
  <si>
    <t>KID=318-11</t>
  </si>
  <si>
    <t>BOD2018_319</t>
  </si>
  <si>
    <t>passa</t>
  </si>
  <si>
    <t>KID=319-3</t>
  </si>
  <si>
    <t>KID=319-8</t>
  </si>
  <si>
    <t>KID=319-10</t>
  </si>
  <si>
    <t>BOD2018_320</t>
  </si>
  <si>
    <t>pensavo</t>
  </si>
  <si>
    <t>Begin=1288.382|KID=320-0|OverlappingGroup=63</t>
  </si>
  <si>
    <t>KID=320-1|Prolonged=Yes</t>
  </si>
  <si>
    <t>BOD2018_321_322a</t>
  </si>
  <si>
    <t>KID=321-9|Prolonged=Yes|ProsodicLink=Yes</t>
  </si>
  <si>
    <t>KID=322-3</t>
  </si>
  <si>
    <t>BOD2018_322b_323_324</t>
  </si>
  <si>
    <t>KID=322-12|Prolonged=Yes</t>
  </si>
  <si>
    <t>KID=323-2|Prolonged=Yes</t>
  </si>
  <si>
    <t>End=1305.95|KID=323-6</t>
  </si>
  <si>
    <t>KID=324-2</t>
  </si>
  <si>
    <t>KID=324-1</t>
  </si>
  <si>
    <t>KID=324-7</t>
  </si>
  <si>
    <t>BOD2018_328b</t>
  </si>
  <si>
    <t>KID=328-5</t>
  </si>
  <si>
    <t>KID=328-4</t>
  </si>
  <si>
    <t>BOD2018_329_330_331</t>
  </si>
  <si>
    <t>vive</t>
  </si>
  <si>
    <t>KID=329-6</t>
  </si>
  <si>
    <t>dato</t>
  </si>
  <si>
    <t>KID=330-4</t>
  </si>
  <si>
    <t>KID=330-2</t>
  </si>
  <si>
    <t>KID=330-8</t>
  </si>
  <si>
    <t>BOD2018_333_334_335</t>
  </si>
  <si>
    <t>investono</t>
  </si>
  <si>
    <t>investire</t>
  </si>
  <si>
    <t>KID=334-1</t>
  </si>
  <si>
    <t>KID=334-10</t>
  </si>
  <si>
    <t>KID=334-17</t>
  </si>
  <si>
    <t>passava</t>
  </si>
  <si>
    <t>KID=335-3|Prolonged=Yes</t>
  </si>
  <si>
    <t>BOD2018_336</t>
  </si>
  <si>
    <t>KID=336-4</t>
  </si>
  <si>
    <t>BOD2018_337_339_341</t>
  </si>
  <si>
    <t>KID=337-3</t>
  </si>
  <si>
    <t>KID=339-5</t>
  </si>
  <si>
    <t>accoglie</t>
  </si>
  <si>
    <t>accogliere</t>
  </si>
  <si>
    <t>Begin=1358.337|KID=341-0|OverlappingGroup=66</t>
  </si>
  <si>
    <t>BOD2018_344</t>
  </si>
  <si>
    <t>abiteresti</t>
  </si>
  <si>
    <t>End=1364.63|Intonation=Rising|KID=344-5</t>
  </si>
  <si>
    <t>BOD2018_345_346_347_348_349</t>
  </si>
  <si>
    <t>KID=347-3</t>
  </si>
  <si>
    <t>KID=347-1</t>
  </si>
  <si>
    <t>riavvicinare</t>
  </si>
  <si>
    <t>KID=347-5a</t>
  </si>
  <si>
    <t>ritornare</t>
  </si>
  <si>
    <t>KID=348-3</t>
  </si>
  <si>
    <t>KID=349-8</t>
  </si>
  <si>
    <t>KID=349-12</t>
  </si>
  <si>
    <t>KID=349-13</t>
  </si>
  <si>
    <t>BOD2018_351_353</t>
  </si>
  <si>
    <t>KID=351-2</t>
  </si>
  <si>
    <t>KID=351-17</t>
  </si>
  <si>
    <t>KID=351-33</t>
  </si>
  <si>
    <t>conoscono</t>
  </si>
  <si>
    <t>KID=353-4</t>
  </si>
  <si>
    <t>BOD2018_354_356</t>
  </si>
  <si>
    <t>KID=354-2</t>
  </si>
  <si>
    <t>KID=354-6|Prolonged=Yes</t>
  </si>
  <si>
    <t>BOD2018_355a</t>
  </si>
  <si>
    <t>KID=355-2</t>
  </si>
  <si>
    <t>BOD2018_355b</t>
  </si>
  <si>
    <t>KID=355-5|OverlappingGroup=68</t>
  </si>
  <si>
    <t>BOD2018_357</t>
  </si>
  <si>
    <t>KID=357-5</t>
  </si>
  <si>
    <t>KID=357-3|OverlappingGroup=69</t>
  </si>
  <si>
    <t>BOD2018_360</t>
  </si>
  <si>
    <t>KID=360-3|OverlappingGroup=70</t>
  </si>
  <si>
    <t>BOD2018_361_363_365a</t>
  </si>
  <si>
    <t>conta</t>
  </si>
  <si>
    <t>contare</t>
  </si>
  <si>
    <t>KID=361-7|Prolonged=Yes</t>
  </si>
  <si>
    <t>KID=363-3</t>
  </si>
  <si>
    <t>sembra</t>
  </si>
  <si>
    <t>sembrare</t>
  </si>
  <si>
    <t>KID=365-2|Prolonged=Yes</t>
  </si>
  <si>
    <t>BOD2018_365b</t>
  </si>
  <si>
    <t>KID=365-17</t>
  </si>
  <si>
    <t>scappan</t>
  </si>
  <si>
    <t>scappare</t>
  </si>
  <si>
    <t>KID=365-20|Truncated=Yes</t>
  </si>
  <si>
    <t>KID=365-27</t>
  </si>
  <si>
    <t>BOD2018_365c_366_367</t>
  </si>
  <si>
    <t>continua</t>
  </si>
  <si>
    <t>KID=366-4</t>
  </si>
  <si>
    <t>torna</t>
  </si>
  <si>
    <t>End=1429.96|KID=366-7|Prolonged=Yes</t>
  </si>
  <si>
    <t>KID=367-6</t>
  </si>
  <si>
    <t>BOD2018_369</t>
  </si>
  <si>
    <t>KID=369-3</t>
  </si>
  <si>
    <t>BOD2018_370</t>
  </si>
  <si>
    <t>KID=370-1|OverlappingGroup=73</t>
  </si>
  <si>
    <t>BOD2018_371_372a</t>
  </si>
  <si>
    <t>pensando</t>
  </si>
  <si>
    <t>KID=371-4</t>
  </si>
  <si>
    <t>KID=371-3|OverlappingGroup=73</t>
  </si>
  <si>
    <t>BOD2018_372b</t>
  </si>
  <si>
    <t>KID=372-4</t>
  </si>
  <si>
    <t>BOD2018_373</t>
  </si>
  <si>
    <t>KID=373-2</t>
  </si>
  <si>
    <t>stata</t>
  </si>
  <si>
    <t>KID=373-11</t>
  </si>
  <si>
    <t>KID=373-9</t>
  </si>
  <si>
    <t>BOD2018_374_375a</t>
  </si>
  <si>
    <t>KID=375-11</t>
  </si>
  <si>
    <t>BOD2018_375b</t>
  </si>
  <si>
    <t>KID=375-24</t>
  </si>
  <si>
    <t>KID=375-31</t>
  </si>
  <si>
    <t>KID=375-34</t>
  </si>
  <si>
    <t>BOD2018_377a</t>
  </si>
  <si>
    <t>KID=377-4</t>
  </si>
  <si>
    <t>BOD2018_377b_378</t>
  </si>
  <si>
    <t>KID=377-8</t>
  </si>
  <si>
    <t>BOD2018_382</t>
  </si>
  <si>
    <t>KID=382-2</t>
  </si>
  <si>
    <t>End=1482.93|Intonation=Falling|KID=382-12</t>
  </si>
  <si>
    <t>BOD2018_383</t>
  </si>
  <si>
    <t>KID=383-1</t>
  </si>
  <si>
    <t>Begin=1483.121|KID=383-0|Truncated=Yes</t>
  </si>
  <si>
    <t>BOD2018_385b</t>
  </si>
  <si>
    <t>KID=385-15</t>
  </si>
  <si>
    <t>BOD2018_387</t>
  </si>
  <si>
    <t>KID=387-1</t>
  </si>
  <si>
    <t>BOD2018_388_389</t>
  </si>
  <si>
    <t>KID=388-5</t>
  </si>
  <si>
    <t>BOD2018_390a</t>
  </si>
  <si>
    <t>esser~</t>
  </si>
  <si>
    <t>Interrupted=Yes|KID=390-4|OverlappingGroup=76</t>
  </si>
  <si>
    <t>dovrebbe</t>
  </si>
  <si>
    <t>KID=390-3|OverlappingGroup=76</t>
  </si>
  <si>
    <t>BOD2018_390b</t>
  </si>
  <si>
    <t>KID=390-11</t>
  </si>
  <si>
    <t>BOD2018_390c</t>
  </si>
  <si>
    <t>End=1507.6|KID=390-16</t>
  </si>
  <si>
    <t>BOD2018_391_392</t>
  </si>
  <si>
    <t>KID=391-3</t>
  </si>
  <si>
    <t>KID=392-5</t>
  </si>
  <si>
    <t>KID=392-4</t>
  </si>
  <si>
    <t>BOD2018_393</t>
  </si>
  <si>
    <t>KID=393-3|Prolonged=Yes</t>
  </si>
  <si>
    <t>BOD2018_395</t>
  </si>
  <si>
    <t>KID=395-2</t>
  </si>
  <si>
    <t>BOD2018_396</t>
  </si>
  <si>
    <t>so~</t>
  </si>
  <si>
    <t>Interrupted=Yes|KID=396-1</t>
  </si>
  <si>
    <t>KID=396-2</t>
  </si>
  <si>
    <t>BOD2018_399</t>
  </si>
  <si>
    <t>KID=399-4</t>
  </si>
  <si>
    <t>BOD2018_400</t>
  </si>
  <si>
    <t>KID=400-1</t>
  </si>
  <si>
    <t>KID=400-4|Prolonged=Yes</t>
  </si>
  <si>
    <t>BOD2018_403_405_split1</t>
  </si>
  <si>
    <t>End=1534.62|Intonation=WeaklyRising|KID=403-1|OverlappingGroup=78</t>
  </si>
  <si>
    <t>scegliere</t>
  </si>
  <si>
    <t>KID=405-2</t>
  </si>
  <si>
    <t>dovevo</t>
  </si>
  <si>
    <t>KID=405-1</t>
  </si>
  <si>
    <t>KID=405-4</t>
  </si>
  <si>
    <t>BOD2018_405b_406_407</t>
  </si>
  <si>
    <t>scelto</t>
  </si>
  <si>
    <t>KID=405-17</t>
  </si>
  <si>
    <t>KID=405-16</t>
  </si>
  <si>
    <t>parlavano</t>
  </si>
  <si>
    <t>KID=406-2</t>
  </si>
  <si>
    <t>BOD2018_408b_409</t>
  </si>
  <si>
    <t>KID=408-18</t>
  </si>
  <si>
    <t>KID=409-1|Truncated=Yes</t>
  </si>
  <si>
    <t>Begin=1552.688|KID=409-0</t>
  </si>
  <si>
    <t>BOD2018_410</t>
  </si>
  <si>
    <t>dicevano</t>
  </si>
  <si>
    <t>KID=410-3</t>
  </si>
  <si>
    <t>sceglie</t>
  </si>
  <si>
    <t>KID=410-6|Truncated=Yes</t>
  </si>
  <si>
    <t>KID=410-5</t>
  </si>
  <si>
    <t>ccomp:reported</t>
  </si>
  <si>
    <t>KID=410-17|Truncated=Yes</t>
  </si>
  <si>
    <t>KID=410-23</t>
  </si>
  <si>
    <t>KID=410-27</t>
  </si>
  <si>
    <t>BOD2018_411a</t>
  </si>
  <si>
    <t>KID=411-6</t>
  </si>
  <si>
    <t>KID=411-5</t>
  </si>
  <si>
    <t>BOD2018_411b_412</t>
  </si>
  <si>
    <t>andata</t>
  </si>
  <si>
    <t>KID=411-12</t>
  </si>
  <si>
    <t>KID=411-11|Truncated=Yes</t>
  </si>
  <si>
    <t>KID=412-6|Truncated=Yes</t>
  </si>
  <si>
    <t>dovevamo</t>
  </si>
  <si>
    <t>KID=412-5</t>
  </si>
  <si>
    <t>KID=412-9|Truncated=Yes</t>
  </si>
  <si>
    <t>doveva</t>
  </si>
  <si>
    <t>KID=412-8</t>
  </si>
  <si>
    <t>BOD2018_413b</t>
  </si>
  <si>
    <t>sarà</t>
  </si>
  <si>
    <t>KID=413-5</t>
  </si>
  <si>
    <t>KID=413-8</t>
  </si>
  <si>
    <t>BOD2018_413c</t>
  </si>
  <si>
    <t>piaciuta</t>
  </si>
  <si>
    <t>End=1576.5|Intonation=Falling|KID=413-15</t>
  </si>
  <si>
    <t>KID=413-14</t>
  </si>
  <si>
    <t>BOD2018_414</t>
  </si>
  <si>
    <t>KID=414-3</t>
  </si>
  <si>
    <t>vivrei</t>
  </si>
  <si>
    <t>KID=414-6</t>
  </si>
  <si>
    <t>BOD2018_415</t>
  </si>
  <si>
    <t>KID=415-5</t>
  </si>
  <si>
    <t>KID=415-9</t>
  </si>
  <si>
    <t>BOD2018_417</t>
  </si>
  <si>
    <t>KID=417-4</t>
  </si>
  <si>
    <t>parlato</t>
  </si>
  <si>
    <t>KID=417-12</t>
  </si>
  <si>
    <t>KID=417-11</t>
  </si>
  <si>
    <t>End=1597.32|KID=417-24|OverlappingGroup=81|Prolonged=Yes</t>
  </si>
  <si>
    <t>BOD2018_418_420</t>
  </si>
  <si>
    <t>KID=418-2|OverlappingGroup=81</t>
  </si>
  <si>
    <t>KID=420-1|Prolonged=Yes</t>
  </si>
  <si>
    <t>BOD2018_421</t>
  </si>
  <si>
    <t>KID=421-3|OverlappingGroup=83</t>
  </si>
  <si>
    <t>BOD2018_422a</t>
  </si>
  <si>
    <t>KID=422-4|Prolonged=Yes</t>
  </si>
  <si>
    <t>BOD2018_422b</t>
  </si>
  <si>
    <t>KID=422-11</t>
  </si>
  <si>
    <t>KID=422-9</t>
  </si>
  <si>
    <t>KID=422-12</t>
  </si>
  <si>
    <t>BOD2018_422c</t>
  </si>
  <si>
    <t>KID=422-19</t>
  </si>
  <si>
    <t>BOD2018_423_424</t>
  </si>
  <si>
    <t>End=1609.33|KID=423-2|OverlappingGroup=84</t>
  </si>
  <si>
    <t>End=1611.28|Intonation=Falling|KID=424-4</t>
  </si>
  <si>
    <t>BOD2018_425</t>
  </si>
  <si>
    <t>Begin=1611.38|KID=425-0</t>
  </si>
  <si>
    <t>notato</t>
  </si>
  <si>
    <t>notare</t>
  </si>
  <si>
    <t>KID=425-5</t>
  </si>
  <si>
    <t>KID=425-2|Prolonged=Yes</t>
  </si>
  <si>
    <t>capito</t>
  </si>
  <si>
    <t>KID=425-7</t>
  </si>
  <si>
    <t>KID=425-12</t>
  </si>
  <si>
    <t>BOD2018_427a</t>
  </si>
  <si>
    <t>KID=427-5|Prolonged=Yes</t>
  </si>
  <si>
    <t>lasciato</t>
  </si>
  <si>
    <t>KID=427-10</t>
  </si>
  <si>
    <t>KID=427-9</t>
  </si>
  <si>
    <t>BOD2018_427b_428</t>
  </si>
  <si>
    <t>KID=428-7</t>
  </si>
  <si>
    <t>BOD2018_430</t>
  </si>
  <si>
    <t>KID=430-1</t>
  </si>
  <si>
    <t>BOD2018_431</t>
  </si>
  <si>
    <t>KID=431-9</t>
  </si>
  <si>
    <t>KID=431-11|Prolonged=Yes</t>
  </si>
  <si>
    <t>BOD2018_432</t>
  </si>
  <si>
    <t>KID=432-10</t>
  </si>
  <si>
    <t>KID=432-17</t>
  </si>
  <si>
    <t>KID=432-16</t>
  </si>
  <si>
    <t>BOD2018_434</t>
  </si>
  <si>
    <t>Begin=1651.225|KID=434-0</t>
  </si>
  <si>
    <t>BOD2018_436</t>
  </si>
  <si>
    <t>End=1658.04|KID=436-4</t>
  </si>
  <si>
    <t>BOD2018_437</t>
  </si>
  <si>
    <t>KID=437-4|Prolonged=Yes</t>
  </si>
  <si>
    <t>BOD2018_438</t>
  </si>
  <si>
    <t>andrò</t>
  </si>
  <si>
    <t>KID=438-3</t>
  </si>
  <si>
    <t>BOD2018_439</t>
  </si>
  <si>
    <t>KID=439-2|Prolonged=Yes</t>
  </si>
  <si>
    <t>devo</t>
  </si>
  <si>
    <t>KID=439-1</t>
  </si>
  <si>
    <t>BOD2018_440</t>
  </si>
  <si>
    <t>End=1664.48|KID=440-5</t>
  </si>
  <si>
    <t>BOD2018_441_442a</t>
  </si>
  <si>
    <t>aspettando</t>
  </si>
  <si>
    <t>aspettare</t>
  </si>
  <si>
    <t>KID=441-1</t>
  </si>
  <si>
    <t>Begin=1664.731|KID=441-0</t>
  </si>
  <si>
    <t>BOD2018_442b</t>
  </si>
  <si>
    <t>KID=442-10</t>
  </si>
  <si>
    <t>dovrò</t>
  </si>
  <si>
    <t>KID=442-9</t>
  </si>
  <si>
    <t>visiterò</t>
  </si>
  <si>
    <t>visitare</t>
  </si>
  <si>
    <t>KID=442-14</t>
  </si>
  <si>
    <t>BOD2018_444</t>
  </si>
  <si>
    <t>Begin=1673.521|KID=444-0</t>
  </si>
  <si>
    <t>BOD2018_445</t>
  </si>
  <si>
    <t>KID=445-1</t>
  </si>
  <si>
    <t>BOD2018_450</t>
  </si>
  <si>
    <t>va</t>
  </si>
  <si>
    <t>Begin=1681.555|KID=450-0</t>
  </si>
  <si>
    <t>ricorderò</t>
  </si>
  <si>
    <t>End=1682.8|Intonation=Falling|KID=450-4</t>
  </si>
  <si>
    <t>BOD2018_451</t>
  </si>
  <si>
    <t>KID=451-1</t>
  </si>
  <si>
    <t>Begin=1685.078|KID=451-0</t>
  </si>
  <si>
    <t>BOA3017_0b_2</t>
  </si>
  <si>
    <t>parla</t>
  </si>
  <si>
    <t>KID=2-2</t>
  </si>
  <si>
    <t>BOA3017_4</t>
  </si>
  <si>
    <t>KID=4-3|Truncated=Yes</t>
  </si>
  <si>
    <t>KID=4-2</t>
  </si>
  <si>
    <t>BOA3017_6</t>
  </si>
  <si>
    <t>emozionato</t>
  </si>
  <si>
    <t>emozionare</t>
  </si>
  <si>
    <t>End=9.33|KID=6-4|OverlappingGroup=0</t>
  </si>
  <si>
    <t>KID=6-3</t>
  </si>
  <si>
    <t>BOA3017_8</t>
  </si>
  <si>
    <t>autotrascrivere</t>
  </si>
  <si>
    <t>End=12.7|Intonation=Rising|KID=8-6</t>
  </si>
  <si>
    <t>KID=8-2|OverlappingGroup=1</t>
  </si>
  <si>
    <t>BOA3017_12</t>
  </si>
  <si>
    <t>inculando</t>
  </si>
  <si>
    <t>inculare</t>
  </si>
  <si>
    <t>KID=12-2</t>
  </si>
  <si>
    <t>KID=12-1</t>
  </si>
  <si>
    <t>KID=12-7|OverlappingGroup=2</t>
  </si>
  <si>
    <t>facendo</t>
  </si>
  <si>
    <t>KID=12-10|OverlappingGroup=2</t>
  </si>
  <si>
    <t>KID=12-9|OverlappingGroup=2</t>
  </si>
  <si>
    <t>BOA3017_15</t>
  </si>
  <si>
    <t>arriva</t>
  </si>
  <si>
    <t>KID=15-2</t>
  </si>
  <si>
    <t>BOA3017_20</t>
  </si>
  <si>
    <t>KID=20-2</t>
  </si>
  <si>
    <t>BOA3017_22_24</t>
  </si>
  <si>
    <t>saprei</t>
  </si>
  <si>
    <t>KID=22-1</t>
  </si>
  <si>
    <t>scrivere</t>
  </si>
  <si>
    <t>KID=22-3</t>
  </si>
  <si>
    <t>BOA3017_27</t>
  </si>
  <si>
    <t>KID=27-1</t>
  </si>
  <si>
    <t>BOA3017_31</t>
  </si>
  <si>
    <t>End=42.057|Intonation=Rising|KID=31-6</t>
  </si>
  <si>
    <t>dobbiamo</t>
  </si>
  <si>
    <t>KID=31-4</t>
  </si>
  <si>
    <t>BOA3017_32</t>
  </si>
  <si>
    <t>Coconstruct=conj:reform:BOA3017_31::6|KID=32-5</t>
  </si>
  <si>
    <t>BOA3017_33_35</t>
  </si>
  <si>
    <t>KID=33-3|OverlappingGroup=3</t>
  </si>
  <si>
    <t>KID=33-2|OverlappingGroup=3</t>
  </si>
  <si>
    <t>fai</t>
  </si>
  <si>
    <t>KID=33-5</t>
  </si>
  <si>
    <t>BOA3017_38</t>
  </si>
  <si>
    <t>piglio</t>
  </si>
  <si>
    <t>pigliare</t>
  </si>
  <si>
    <t>KID=38-6</t>
  </si>
  <si>
    <t>KID=38-11|OverlappingGroup=4|Prolonged=Yes|ProsodicLink=Yes</t>
  </si>
  <si>
    <t>BOA3017_41_43</t>
  </si>
  <si>
    <t>KID=41-1ter</t>
  </si>
  <si>
    <t>KID=43-5</t>
  </si>
  <si>
    <t>BOA3017_46</t>
  </si>
  <si>
    <t>pigli</t>
  </si>
  <si>
    <t>KID=46-1|OverlappingGroup=9</t>
  </si>
  <si>
    <t>chiedi</t>
  </si>
  <si>
    <t>KID=46-7</t>
  </si>
  <si>
    <t>dislocated</t>
  </si>
  <si>
    <t>KID=46-10</t>
  </si>
  <si>
    <t>End=64.268|KID=46-17</t>
  </si>
  <si>
    <t>BOA3017_49_51_52</t>
  </si>
  <si>
    <t>BOA3017_50</t>
  </si>
  <si>
    <t>scivola</t>
  </si>
  <si>
    <t>scivolare</t>
  </si>
  <si>
    <t>End=66.488|KID=50-2</t>
  </si>
  <si>
    <t>BOA3017_53</t>
  </si>
  <si>
    <t>KID=53-2|Volume=Low</t>
  </si>
  <si>
    <t>Intonation=Falling|KID=53-5|Volume=Low</t>
  </si>
  <si>
    <t>BOA3017_54</t>
  </si>
  <si>
    <t>Coconstruct=conj::BOA3017_53::7|KID=54-1</t>
  </si>
  <si>
    <t>costa</t>
  </si>
  <si>
    <t>costare</t>
  </si>
  <si>
    <t>End=74.108|KID=54-3</t>
  </si>
  <si>
    <t>BOA3017_57_59</t>
  </si>
  <si>
    <t>andati</t>
  </si>
  <si>
    <t>KID=57-5</t>
  </si>
  <si>
    <t>siamo</t>
  </si>
  <si>
    <t>KID=57-4</t>
  </si>
  <si>
    <t>KID=57-9</t>
  </si>
  <si>
    <t>pare</t>
  </si>
  <si>
    <t>parere</t>
  </si>
  <si>
    <t>End=81.0|KID=57-13</t>
  </si>
  <si>
    <t>KID=59-2</t>
  </si>
  <si>
    <t>BOA3017_60</t>
  </si>
  <si>
    <t>Coconstruct=conj::BOA3017_57_59::18|End=83.39|KID=60-3</t>
  </si>
  <si>
    <t>BOA3017_64</t>
  </si>
  <si>
    <t>End=92.214|Intonation=Rising|KID=64-1</t>
  </si>
  <si>
    <t>BOA3017_66a</t>
  </si>
  <si>
    <t>trascrivo</t>
  </si>
  <si>
    <t>trascrivere</t>
  </si>
  <si>
    <t>Coconstruct=conj:reform:BOA3017_64::2|KID=66-3</t>
  </si>
  <si>
    <t>BOA3017_66b</t>
  </si>
  <si>
    <t>KID=66-6</t>
  </si>
  <si>
    <t>BOA3017_67_68_69_70</t>
  </si>
  <si>
    <t>controllavo</t>
  </si>
  <si>
    <t>controllare</t>
  </si>
  <si>
    <t>Begin=99.104|KID=68-0</t>
  </si>
  <si>
    <t>avviato</t>
  </si>
  <si>
    <t>avviare</t>
  </si>
  <si>
    <t>KID=68-3</t>
  </si>
  <si>
    <t>aver</t>
  </si>
  <si>
    <t>KID=68-2a</t>
  </si>
  <si>
    <t>esser</t>
  </si>
  <si>
    <t>KID=69-2a</t>
  </si>
  <si>
    <t>KID=69-1</t>
  </si>
  <si>
    <t>End=105.55|KID=69-9</t>
  </si>
  <si>
    <t>poteva</t>
  </si>
  <si>
    <t>KID=69-8</t>
  </si>
  <si>
    <t>registrare</t>
  </si>
  <si>
    <t>KID=70-2</t>
  </si>
  <si>
    <t>KID=70-1</t>
  </si>
  <si>
    <t>BOA3017_72_73_74_75</t>
  </si>
  <si>
    <t>schiacciato</t>
  </si>
  <si>
    <t>schiacciare</t>
  </si>
  <si>
    <t>KID=74-1</t>
  </si>
  <si>
    <t>Begin=110.189|KID=74-0</t>
  </si>
  <si>
    <t>vede</t>
  </si>
  <si>
    <t>KID=74-3</t>
  </si>
  <si>
    <t>registrato</t>
  </si>
  <si>
    <t>KID=75-6</t>
  </si>
  <si>
    <t>KID=75-4</t>
  </si>
  <si>
    <t>BOA3017_78_79</t>
  </si>
  <si>
    <t>sentiva</t>
  </si>
  <si>
    <t>KID=78-1|PaceFast=Yes</t>
  </si>
  <si>
    <t>siedo</t>
  </si>
  <si>
    <t>sedere</t>
  </si>
  <si>
    <t>KID=79-3</t>
  </si>
  <si>
    <t>basta</t>
  </si>
  <si>
    <t>bastare</t>
  </si>
  <si>
    <t>End=120.63|KID=79-7</t>
  </si>
  <si>
    <t>BOA3017_82</t>
  </si>
  <si>
    <t>KID=82-7</t>
  </si>
  <si>
    <t>BOA3017_85</t>
  </si>
  <si>
    <t>End=129.181|Intonation=Rising|KID=85-4</t>
  </si>
  <si>
    <t>devono</t>
  </si>
  <si>
    <t>KID=85-3</t>
  </si>
  <si>
    <t>BOA3017_86_87</t>
  </si>
  <si>
    <t>End=131.512|KID=87-2</t>
  </si>
  <si>
    <t>BOA3017_88</t>
  </si>
  <si>
    <t>KID=88-5</t>
  </si>
  <si>
    <t>KID=88-4</t>
  </si>
  <si>
    <t>BOA3017_89</t>
  </si>
  <si>
    <t>KID=89-3|OverlappingGroup=12</t>
  </si>
  <si>
    <t>KID=89-2|OverlappingGroup=12</t>
  </si>
  <si>
    <t>KID=89-7a</t>
  </si>
  <si>
    <t>puoi</t>
  </si>
  <si>
    <t>KID=89-6</t>
  </si>
  <si>
    <t>BOA3017_91</t>
  </si>
  <si>
    <t>KID=91-1</t>
  </si>
  <si>
    <t>volete</t>
  </si>
  <si>
    <t>Begin=138.117|KID=91-0</t>
  </si>
  <si>
    <t>BOA3017_94_95</t>
  </si>
  <si>
    <t>End=142.237|KID=94-1</t>
  </si>
  <si>
    <t>BOA3017_97_99</t>
  </si>
  <si>
    <t>Begin=146.572|KID=97-0</t>
  </si>
  <si>
    <t>End=152.654|KID=99-8|Modality=Laugh</t>
  </si>
  <si>
    <t>voglio</t>
  </si>
  <si>
    <t>KID=99-7|Modality=Laugh</t>
  </si>
  <si>
    <t>BOA3017_107_109</t>
  </si>
  <si>
    <t>KID=107-2</t>
  </si>
  <si>
    <t>controlla</t>
  </si>
  <si>
    <t>KID=107-6</t>
  </si>
  <si>
    <t>ascolta</t>
  </si>
  <si>
    <t>ascoltare</t>
  </si>
  <si>
    <t>KID=109-1</t>
  </si>
  <si>
    <t>KID=109-6</t>
  </si>
  <si>
    <t>BOA3017_110_111_112_115_116_119</t>
  </si>
  <si>
    <t>guarda</t>
  </si>
  <si>
    <t>guardare</t>
  </si>
  <si>
    <t>Coconstruct=conj:reform::BOA3017_107_109::16|KID=110-2</t>
  </si>
  <si>
    <t>Begin=168.925|End=169.375|KID=111-0</t>
  </si>
  <si>
    <t>KID=112-3</t>
  </si>
  <si>
    <t>KID=112-9|OverlappingGroup=15|PaceFast=Yes</t>
  </si>
  <si>
    <t>KID=112-11|PaceFast=Yes</t>
  </si>
  <si>
    <t>crei</t>
  </si>
  <si>
    <t>KID=115-9</t>
  </si>
  <si>
    <t>sincronizzare</t>
  </si>
  <si>
    <t>Begin=175.962|KID=116-0|PauseAfter=Yes</t>
  </si>
  <si>
    <t>scritto</t>
  </si>
  <si>
    <t>KID=116-4|OverlappingGroup=16</t>
  </si>
  <si>
    <t>corrisponde</t>
  </si>
  <si>
    <t>corrispondere</t>
  </si>
  <si>
    <t>End=180.057|KID=119-3</t>
  </si>
  <si>
    <t>BOA3017_120_121_123_125</t>
  </si>
  <si>
    <t>KID=120-6</t>
  </si>
  <si>
    <t>segnare</t>
  </si>
  <si>
    <t>KID=120-12</t>
  </si>
  <si>
    <t>KID=120-11</t>
  </si>
  <si>
    <t>parlano</t>
  </si>
  <si>
    <t>KID=121-2</t>
  </si>
  <si>
    <t>KID=123-1</t>
  </si>
  <si>
    <t>Begin=184.972|KID=123-0</t>
  </si>
  <si>
    <t>sovrappongono</t>
  </si>
  <si>
    <t>sovrapponere</t>
  </si>
  <si>
    <t>End=190.033|KID=125-2</t>
  </si>
  <si>
    <t>BOA3017_128</t>
  </si>
  <si>
    <t>End=194.363|KID=128-3|OverlappingGroup=17|Promotion=aux|Scrap=Yes</t>
  </si>
  <si>
    <t>BOA3017_129</t>
  </si>
  <si>
    <t>Coconstruct=conj::BOA3017_128::3|KID=129-3</t>
  </si>
  <si>
    <t>potresti</t>
  </si>
  <si>
    <t>KID=129-2|OverlappingGroup=17</t>
  </si>
  <si>
    <t>KID=129-8</t>
  </si>
  <si>
    <t>BOA3017_133</t>
  </si>
  <si>
    <t>vedendo</t>
  </si>
  <si>
    <t>KID=133-1|OverlappingGroup=18|Volume=Low</t>
  </si>
  <si>
    <t>KID=133-2|OverlappingGroup=18</t>
  </si>
  <si>
    <t>BOA3017_135_137_138</t>
  </si>
  <si>
    <t>KID=135-2|OverlappingGroup=19</t>
  </si>
  <si>
    <t>Begin=204.873|KID=137-0</t>
  </si>
  <si>
    <t>BOA3017_139_140_141</t>
  </si>
  <si>
    <t>uso</t>
  </si>
  <si>
    <t>KID=141-7</t>
  </si>
  <si>
    <t>KID=141-10</t>
  </si>
  <si>
    <t>KID=141-9</t>
  </si>
  <si>
    <t>BOA3017_142_144_147_148_149_150_153</t>
  </si>
  <si>
    <t>KID=142-5</t>
  </si>
  <si>
    <t>KID=147-3</t>
  </si>
  <si>
    <t>KID=149-7</t>
  </si>
  <si>
    <t>KID=149-1</t>
  </si>
  <si>
    <t>KID=150-1a</t>
  </si>
  <si>
    <t>comparire</t>
  </si>
  <si>
    <t>End=233.908|KID=150-2|OverlappingGroup=22</t>
  </si>
  <si>
    <t>KID=153-1a</t>
  </si>
  <si>
    <t>scorrere</t>
  </si>
  <si>
    <t>Intonation=WeaklyRising|KID=153-2</t>
  </si>
  <si>
    <t>BOA3017_154_159_160</t>
  </si>
  <si>
    <t>tradur</t>
  </si>
  <si>
    <t>tradurre</t>
  </si>
  <si>
    <t>KID=154-2a</t>
  </si>
  <si>
    <t>KID=159-1a</t>
  </si>
  <si>
    <t>KID=159-6</t>
  </si>
  <si>
    <t>KID=160-2|OverlappingGroup=25</t>
  </si>
  <si>
    <t>KID=160-1</t>
  </si>
  <si>
    <t>BOA3017_143_145</t>
  </si>
  <si>
    <t>KID=143-5</t>
  </si>
  <si>
    <t>scherzavo</t>
  </si>
  <si>
    <t>scherzare</t>
  </si>
  <si>
    <t>KID=143-10</t>
  </si>
  <si>
    <t>BOA3017_155_157</t>
  </si>
  <si>
    <t>KID=155-2|OverlappingGroup=24</t>
  </si>
  <si>
    <t>acchiappano</t>
  </si>
  <si>
    <t>acchiappare</t>
  </si>
  <si>
    <t>Intonation=Falling|KID=155-8</t>
  </si>
  <si>
    <t>BOA3017_163_165</t>
  </si>
  <si>
    <t>KID=163-2|OverlappingGroup=26</t>
  </si>
  <si>
    <t>End=254.026|KID=165-3</t>
  </si>
  <si>
    <t>BOA3017_166_167_169</t>
  </si>
  <si>
    <t>rendere</t>
  </si>
  <si>
    <t>KID=166-1</t>
  </si>
  <si>
    <t>BOA3017_168_170</t>
  </si>
  <si>
    <t>KID=168-8</t>
  </si>
  <si>
    <t>KID=170-3</t>
  </si>
  <si>
    <t>KID=170-13|OverlappingGroup=29</t>
  </si>
  <si>
    <t>KID=170-12|OverlappingGroup=29</t>
  </si>
  <si>
    <t>BOA3017_172_173_174_175_176</t>
  </si>
  <si>
    <t>dicono</t>
  </si>
  <si>
    <t>KID=175-1</t>
  </si>
  <si>
    <t>dicessi</t>
  </si>
  <si>
    <t>KID=176-10|PaceFast=Yes</t>
  </si>
  <si>
    <t>KID=176-13</t>
  </si>
  <si>
    <t>KID=176-19</t>
  </si>
  <si>
    <t>BOA3017_177</t>
  </si>
  <si>
    <t>fotti</t>
  </si>
  <si>
    <t>fottere</t>
  </si>
  <si>
    <t>Begin=286.561|Coconstruct=conj::BOA3017_172_173_174_175_176::19|KID=177-0a</t>
  </si>
  <si>
    <t>BOA3017_180_181_182_183_184</t>
  </si>
  <si>
    <t>temevo</t>
  </si>
  <si>
    <t>temere</t>
  </si>
  <si>
    <t>KID=181-1</t>
  </si>
  <si>
    <t>KID=181-5</t>
  </si>
  <si>
    <t>volessero</t>
  </si>
  <si>
    <t>KID=181-4</t>
  </si>
  <si>
    <t>doppiare</t>
  </si>
  <si>
    <t>KID=181-6</t>
  </si>
  <si>
    <t>BOA3017_185</t>
  </si>
  <si>
    <t>KID=185-1</t>
  </si>
  <si>
    <t>prego</t>
  </si>
  <si>
    <t>pregare</t>
  </si>
  <si>
    <t>End=308.005|KID=185-4</t>
  </si>
  <si>
    <t>BOA3017_187</t>
  </si>
  <si>
    <t>finirà</t>
  </si>
  <si>
    <t>finire</t>
  </si>
  <si>
    <t>KID=187-2</t>
  </si>
  <si>
    <t>BOA3017_188_190_191</t>
  </si>
  <si>
    <t>Coconstruct=conj:reform:BOA3017_187::5|KID=188-2</t>
  </si>
  <si>
    <t>BOA3017_192</t>
  </si>
  <si>
    <t>KID=192-2|OverlappingGroup=30</t>
  </si>
  <si>
    <t>BOA3017_193_194_196_197</t>
  </si>
  <si>
    <t>prepara</t>
  </si>
  <si>
    <t>preparare</t>
  </si>
  <si>
    <t>End=324.617|KID=193-3a</t>
  </si>
  <si>
    <t>Begin=326.762|KID=196-0</t>
  </si>
  <si>
    <t>Begin=329.327|KID=197-0</t>
  </si>
  <si>
    <t>BOA3017_198</t>
  </si>
  <si>
    <t>End=332.627|KID=198-3</t>
  </si>
  <si>
    <t>KID=198-2</t>
  </si>
  <si>
    <t>BOA3017_200</t>
  </si>
  <si>
    <t>avrà</t>
  </si>
  <si>
    <t>KID=200-2</t>
  </si>
  <si>
    <t>End=335.027|KID=200-6</t>
  </si>
  <si>
    <t>BOA3017_202</t>
  </si>
  <si>
    <t>End=338.207|KID=202-3</t>
  </si>
  <si>
    <t>KID=202-2</t>
  </si>
  <si>
    <t>BOA3017_206</t>
  </si>
  <si>
    <t>dico</t>
  </si>
  <si>
    <t>Coconstruct=conj:reform:BOA3017_202::4|KID=206-1</t>
  </si>
  <si>
    <t>BOA3017_207</t>
  </si>
  <si>
    <t>KID=207-2</t>
  </si>
  <si>
    <t>KID=207-1</t>
  </si>
  <si>
    <t>BOA3017_208</t>
  </si>
  <si>
    <t>Coconstruct=conj:reform:BOA3017_207::5|KID=208-2</t>
  </si>
  <si>
    <t>KID=208-1</t>
  </si>
  <si>
    <t>BOA3017_210</t>
  </si>
  <si>
    <t>End=347.372|KID=210-4</t>
  </si>
  <si>
    <t>KID=210-3</t>
  </si>
  <si>
    <t>BOA3017_214</t>
  </si>
  <si>
    <t>tirare</t>
  </si>
  <si>
    <t>KID=214-1</t>
  </si>
  <si>
    <t>Begin=348.839|KID=214-0</t>
  </si>
  <si>
    <t>BOA3017_217_218_219</t>
  </si>
  <si>
    <t>KID=217-5</t>
  </si>
  <si>
    <t>KID=217-4</t>
  </si>
  <si>
    <t>End=354.617|KID=217-8</t>
  </si>
  <si>
    <t>KID=217-7</t>
  </si>
  <si>
    <t>KID=219-2</t>
  </si>
  <si>
    <t>KID=219-1</t>
  </si>
  <si>
    <t>metter</t>
  </si>
  <si>
    <t>KID=219-7a</t>
  </si>
  <si>
    <t>KID=219-6</t>
  </si>
  <si>
    <t>KID=219-9</t>
  </si>
  <si>
    <t>End=358.817|KID=219-14</t>
  </si>
  <si>
    <t>BOA3017_221_222</t>
  </si>
  <si>
    <t>messa</t>
  </si>
  <si>
    <t>KID=221-3</t>
  </si>
  <si>
    <t>KID=221-2</t>
  </si>
  <si>
    <t>seduta</t>
  </si>
  <si>
    <t>KID=222-5</t>
  </si>
  <si>
    <t>BOA3017_225</t>
  </si>
  <si>
    <t>chiama</t>
  </si>
  <si>
    <t>End=369.17|Intonation=Rising|KID=225-7</t>
  </si>
  <si>
    <t>BOA3017_233_234</t>
  </si>
  <si>
    <t>End=377.697|KID=233-3|Prolonged=Yes</t>
  </si>
  <si>
    <t>KID=233-2</t>
  </si>
  <si>
    <t>KID=234-3</t>
  </si>
  <si>
    <t>KID=234-2</t>
  </si>
  <si>
    <t>KID=234-7</t>
  </si>
  <si>
    <t>KID=234-6</t>
  </si>
  <si>
    <t>diventerà</t>
  </si>
  <si>
    <t>KID=234-10</t>
  </si>
  <si>
    <t>BOA3017_244_247</t>
  </si>
  <si>
    <t>KID=247-4</t>
  </si>
  <si>
    <t>KID=247-3</t>
  </si>
  <si>
    <t>KID=247-9</t>
  </si>
  <si>
    <t>BOA3017_250_253_254</t>
  </si>
  <si>
    <t>scusa</t>
  </si>
  <si>
    <t>scusare</t>
  </si>
  <si>
    <t>KID=250-1|OverlappingGroup=34</t>
  </si>
  <si>
    <t>BOA3017_259</t>
  </si>
  <si>
    <t>End=406.143|KID=259-1|OverlappingGroup=206</t>
  </si>
  <si>
    <t>BOA3017_260</t>
  </si>
  <si>
    <t>sputtanata</t>
  </si>
  <si>
    <t>sputtanare</t>
  </si>
  <si>
    <t>KID=260-4|OverlappingGroup=</t>
  </si>
  <si>
    <t>KID=260-2|OverlappingGroup=</t>
  </si>
  <si>
    <t>BOA3017_261_263</t>
  </si>
  <si>
    <t>sputtanavi</t>
  </si>
  <si>
    <t>KID=261-5</t>
  </si>
  <si>
    <t>End=410.968|KID=263-3|OverlappingGroup=41</t>
  </si>
  <si>
    <t>KID=263-2|OverlappingGroup=41</t>
  </si>
  <si>
    <t>BOA3017_262a</t>
  </si>
  <si>
    <t>KID=262-6|OverlappingGroup=</t>
  </si>
  <si>
    <t>KID=262-10|OverlappingGroup=</t>
  </si>
  <si>
    <t>KID=262-12</t>
  </si>
  <si>
    <t>BOA3017_262b</t>
  </si>
  <si>
    <t>KID=262-18</t>
  </si>
  <si>
    <t>KID=262-17</t>
  </si>
  <si>
    <t>KID=262-24</t>
  </si>
  <si>
    <t>può</t>
  </si>
  <si>
    <t>KID=262-23</t>
  </si>
  <si>
    <t>BOA3017_262c_267</t>
  </si>
  <si>
    <t>KID=262-31|OverlappingGroup=</t>
  </si>
  <si>
    <t>KID=267-3|OverlappingGroup=42</t>
  </si>
  <si>
    <t>End=416.928|KID=267-9</t>
  </si>
  <si>
    <t>BOA3017_268_270</t>
  </si>
  <si>
    <t>KID=268-4</t>
  </si>
  <si>
    <t>BOA3017_271</t>
  </si>
  <si>
    <t>frega</t>
  </si>
  <si>
    <t>fregare</t>
  </si>
  <si>
    <t>Intonation=Falling|KID=271-3|OverlappingGroup=43</t>
  </si>
  <si>
    <t>KID=271-6|OverlappingGroup=43</t>
  </si>
  <si>
    <t>BOA3017_274</t>
  </si>
  <si>
    <t>KID=274-2</t>
  </si>
  <si>
    <t>KID=274-1</t>
  </si>
  <si>
    <t>BOA3017_275_277_278_280_281a</t>
  </si>
  <si>
    <t>dice</t>
  </si>
  <si>
    <t>KID=277-1|OverlappingGroup=44</t>
  </si>
  <si>
    <t>KID=278-2</t>
  </si>
  <si>
    <t>KID=278-8</t>
  </si>
  <si>
    <t>Begin=432.733|End=433.343|KID=280-0|OverlappingGroup=45</t>
  </si>
  <si>
    <t>BOA3017_276</t>
  </si>
  <si>
    <t>sapran</t>
  </si>
  <si>
    <t>KID=276-5|Truncated=Yes</t>
  </si>
  <si>
    <t>BOA3017_281b</t>
  </si>
  <si>
    <t>KID=281-10|OverlappingGroup=46</t>
  </si>
  <si>
    <t>BOA3017_284</t>
  </si>
  <si>
    <t>aspettava</t>
  </si>
  <si>
    <t>KID=284-6</t>
  </si>
  <si>
    <t>KID=284-10</t>
  </si>
  <si>
    <t>BOA3017_285_286_287</t>
  </si>
  <si>
    <t>KID=285-1</t>
  </si>
  <si>
    <t>End=440.688|KID=285-3</t>
  </si>
  <si>
    <t>KID=286-3</t>
  </si>
  <si>
    <t>KID=286-7</t>
  </si>
  <si>
    <t>aveva</t>
  </si>
  <si>
    <t>KID=286-6</t>
  </si>
  <si>
    <t>stavamo</t>
  </si>
  <si>
    <t>KID=286-17</t>
  </si>
  <si>
    <t>KID=286-19</t>
  </si>
  <si>
    <t>End=446.243|KID=286-23</t>
  </si>
  <si>
    <t>BOA3017_289_291</t>
  </si>
  <si>
    <t>veniva</t>
  </si>
  <si>
    <t>KID=291-1|OverlappingGroup=48</t>
  </si>
  <si>
    <t>BOA3017_293</t>
  </si>
  <si>
    <t>KID=293-3|OverlappingGroup=49</t>
  </si>
  <si>
    <t>KID=293-2|OverlappingGroup=49</t>
  </si>
  <si>
    <t>End=453.659|KID=293-10</t>
  </si>
  <si>
    <t>KID=293-9</t>
  </si>
  <si>
    <t>BOA3017_297_298</t>
  </si>
  <si>
    <t>KID=297-3</t>
  </si>
  <si>
    <t>KID=297-5</t>
  </si>
  <si>
    <t>End=456.959|KID=297-8</t>
  </si>
  <si>
    <t>KID=297-7</t>
  </si>
  <si>
    <t>End=458.44|KID=298-2|Relation=conj:reform</t>
  </si>
  <si>
    <t>KID=298-1</t>
  </si>
  <si>
    <t>BOA3017_305</t>
  </si>
  <si>
    <t>facciamo</t>
  </si>
  <si>
    <t>Begin=473.254|KID=305-0</t>
  </si>
  <si>
    <t>KID=305-6</t>
  </si>
  <si>
    <t>BOA3017_308</t>
  </si>
  <si>
    <t>End=480.62|KID=308-2|Prolonged=Yes</t>
  </si>
  <si>
    <t>BOA3017_320</t>
  </si>
  <si>
    <t>trascrivi</t>
  </si>
  <si>
    <t>KID=320-1</t>
  </si>
  <si>
    <t>End=494.584|KID=320-2</t>
  </si>
  <si>
    <t>BOA3017_324</t>
  </si>
  <si>
    <t>KID=324-5</t>
  </si>
  <si>
    <t>BOA3017_325</t>
  </si>
  <si>
    <t>KID=325-2</t>
  </si>
  <si>
    <t>BOA3017_329_333</t>
  </si>
  <si>
    <t>KID=333-1|OverlappingGroup=55</t>
  </si>
  <si>
    <t>BOA3017_334</t>
  </si>
  <si>
    <t>oscurato</t>
  </si>
  <si>
    <t>oscurare</t>
  </si>
  <si>
    <t>KID=334-2</t>
  </si>
  <si>
    <t>BOA3017_335</t>
  </si>
  <si>
    <t>sai</t>
  </si>
  <si>
    <t>KID=335-1</t>
  </si>
  <si>
    <t>aspetta</t>
  </si>
  <si>
    <t>KID=335-4</t>
  </si>
  <si>
    <t>bippato</t>
  </si>
  <si>
    <t>bippare</t>
  </si>
  <si>
    <t>End=516.287|KID=335-10</t>
  </si>
  <si>
    <t>KID=335-9</t>
  </si>
  <si>
    <t>BOA3017_336</t>
  </si>
  <si>
    <t>cercano</t>
  </si>
  <si>
    <t>KID=336-3</t>
  </si>
  <si>
    <t>risalire</t>
  </si>
  <si>
    <t>KID=336-5</t>
  </si>
  <si>
    <t>BOA3017_338</t>
  </si>
  <si>
    <t>sgamato</t>
  </si>
  <si>
    <t>sgamare</t>
  </si>
  <si>
    <t>KID=338-6</t>
  </si>
  <si>
    <t>KID=338-5bis</t>
  </si>
  <si>
    <t>BOA3017_340_342_343_345_349</t>
  </si>
  <si>
    <t>KID=340-4</t>
  </si>
  <si>
    <t>KID=342-1</t>
  </si>
  <si>
    <t>Begin=528.581|KID=342-0</t>
  </si>
  <si>
    <t>ava~</t>
  </si>
  <si>
    <t>End=533.79|KID=345-6|OverlappingGroup=59</t>
  </si>
  <si>
    <t>BOA3017_346</t>
  </si>
  <si>
    <t>strozzi</t>
  </si>
  <si>
    <t>strozzare</t>
  </si>
  <si>
    <t>End=533.666|KID=346-1|OverlappingGroup=59</t>
  </si>
  <si>
    <t>BOA3017_350_353</t>
  </si>
  <si>
    <t>Begin=536.368|End=538.178|KID=350-0|OverlappingGroup=60</t>
  </si>
  <si>
    <t>BOA3017_354</t>
  </si>
  <si>
    <t>tossisce</t>
  </si>
  <si>
    <t>tossire</t>
  </si>
  <si>
    <t>Begin=539.353|Coconstruct=conj::BOA3017_350_353::2|End=540.23|KID=354-0|OverlappingGroup=61</t>
  </si>
  <si>
    <t>BOA3017_355</t>
  </si>
  <si>
    <t>chiusa</t>
  </si>
  <si>
    <t>chiudere</t>
  </si>
  <si>
    <t>Begin=542.463|KID=355-0</t>
  </si>
  <si>
    <t>BOA3017_357_358_359_360</t>
  </si>
  <si>
    <t>KID=359-3</t>
  </si>
  <si>
    <t>venuta</t>
  </si>
  <si>
    <t>KID=359-6|PaceFast=Yes</t>
  </si>
  <si>
    <t>KID=359-5|Truncated=Yes</t>
  </si>
  <si>
    <t>rivolger</t>
  </si>
  <si>
    <t>KID=360-4</t>
  </si>
  <si>
    <t>KID=360-3</t>
  </si>
  <si>
    <t>BOA3017_361</t>
  </si>
  <si>
    <t>cerchi</t>
  </si>
  <si>
    <t>Begin=556.568|KID=361-0</t>
  </si>
  <si>
    <t>BOA3017_362</t>
  </si>
  <si>
    <t>KID=362-3</t>
  </si>
  <si>
    <t>BOA3017_363_364</t>
  </si>
  <si>
    <t>Begin=562.803|KID=364-0</t>
  </si>
  <si>
    <t>KID=364-6</t>
  </si>
  <si>
    <t>descriver</t>
  </si>
  <si>
    <t>KID=364-8a</t>
  </si>
  <si>
    <t>End=565.053|KID=364-9|OverlappingGroup=62|Scrap=Yes</t>
  </si>
  <si>
    <t>BOA3017_372</t>
  </si>
  <si>
    <t>KID=372-1|OverlappingGroup=64</t>
  </si>
  <si>
    <t>BOA3017_374</t>
  </si>
  <si>
    <t>mangiata</t>
  </si>
  <si>
    <t>mangiare</t>
  </si>
  <si>
    <t>KID=374-2|OverlappingGroup=65</t>
  </si>
  <si>
    <t>KID=374-1|OverlappingGroup=65</t>
  </si>
  <si>
    <t>BOA3017_375</t>
  </si>
  <si>
    <t>finisco</t>
  </si>
  <si>
    <t>End=578.662|KID=375-2|PaceFast=Yes</t>
  </si>
  <si>
    <t>BOA3017_376</t>
  </si>
  <si>
    <t>mangia</t>
  </si>
  <si>
    <t>KID=376-1</t>
  </si>
  <si>
    <t>End=580.397|KID=376-7</t>
  </si>
  <si>
    <t>BOA3017_377_378a</t>
  </si>
  <si>
    <t>KID=378-0</t>
  </si>
  <si>
    <t>BOA3017_378b_380</t>
  </si>
  <si>
    <t>KID=380-1</t>
  </si>
  <si>
    <t>Begin=583.267|KID=380-0</t>
  </si>
  <si>
    <t>sapranno</t>
  </si>
  <si>
    <t>KID=380-5</t>
  </si>
  <si>
    <t>mangio</t>
  </si>
  <si>
    <t>KID=380-7</t>
  </si>
  <si>
    <t>BOA3017_385</t>
  </si>
  <si>
    <t>KID=385-1</t>
  </si>
  <si>
    <t>KID=385-4|Truncated=Yes</t>
  </si>
  <si>
    <t>BOA3017_386</t>
  </si>
  <si>
    <t>Begin=592.733|KID=386-0</t>
  </si>
  <si>
    <t>BOA3017_392</t>
  </si>
  <si>
    <t>KID=392-3</t>
  </si>
  <si>
    <t>BOA3017_394_397</t>
  </si>
  <si>
    <t>conviene</t>
  </si>
  <si>
    <t>convenire</t>
  </si>
  <si>
    <t>KID=397-7</t>
  </si>
  <si>
    <t>bippi</t>
  </si>
  <si>
    <t>KID=397-10</t>
  </si>
  <si>
    <t>End=605.533|KID=397-16</t>
  </si>
  <si>
    <t>KID=397-15</t>
  </si>
  <si>
    <t>BOA3017_403</t>
  </si>
  <si>
    <t>KID=403-3</t>
  </si>
  <si>
    <t>KID=403-2</t>
  </si>
  <si>
    <t>BOA3017_410</t>
  </si>
  <si>
    <t>trascritto</t>
  </si>
  <si>
    <t>KID=410-7</t>
  </si>
  <si>
    <t>KID=410-6</t>
  </si>
  <si>
    <t>BOA3017_412_414</t>
  </si>
  <si>
    <t>BOA3017_415_416</t>
  </si>
  <si>
    <t>KID=415-4</t>
  </si>
  <si>
    <t>KID=415-18</t>
  </si>
  <si>
    <t>KID=416-1</t>
  </si>
  <si>
    <t>KID=416-6|OverlappingGroup=69</t>
  </si>
  <si>
    <t>BOA3017_417</t>
  </si>
  <si>
    <t>KID=417-5</t>
  </si>
  <si>
    <t>vuol</t>
  </si>
  <si>
    <t>mangiato</t>
  </si>
  <si>
    <t>KID=417-8</t>
  </si>
  <si>
    <t>KID=417-7</t>
  </si>
  <si>
    <t>BOA3017_419</t>
  </si>
  <si>
    <t>trascriviamo</t>
  </si>
  <si>
    <t>KID=419-3</t>
  </si>
  <si>
    <t>scopiamo</t>
  </si>
  <si>
    <t>scopare</t>
  </si>
  <si>
    <t>End=633.737|Intonation=Rising|KID=419-5</t>
  </si>
  <si>
    <t>BOA3017_424_426</t>
  </si>
  <si>
    <t>KID=424-1</t>
  </si>
  <si>
    <t>KID=424-4</t>
  </si>
  <si>
    <t>dobbiam</t>
  </si>
  <si>
    <t>KID=424-3|Truncated=Yes</t>
  </si>
  <si>
    <t>BOA3017_432</t>
  </si>
  <si>
    <t>impegnare</t>
  </si>
  <si>
    <t>End=645.81|Intonation=Rising|KID=432-2|OverlappingGroup=72</t>
  </si>
  <si>
    <t>KID=432-1|OverlappingGroup=72</t>
  </si>
  <si>
    <t>BOA3017_433_434</t>
  </si>
  <si>
    <t>End=647.512|Intonation=Rising|KID=434-2</t>
  </si>
  <si>
    <t>BOA3017_435</t>
  </si>
  <si>
    <t>KID=435-2|Modality=Singing</t>
  </si>
  <si>
    <t>BOA3017_438</t>
  </si>
  <si>
    <t>aspetti</t>
  </si>
  <si>
    <t>Coconstruct=conj:BOA3017_435::5|End=651.382|KID=438-3|Modality=Singing|OverlappingGroup=73</t>
  </si>
  <si>
    <t>BOA3017_439</t>
  </si>
  <si>
    <t>Begin=650.987|Coconstruct=conj::BOA3017_438::4|KID=439-0|Modality=Singing|OverlappingGroup=73</t>
  </si>
  <si>
    <t>BOA3017_444</t>
  </si>
  <si>
    <t>Begin=655.823|KID=444-0|OverlappingGroup=74</t>
  </si>
  <si>
    <t>BOA3017_447</t>
  </si>
  <si>
    <t>Begin=659.968|KID=447-0</t>
  </si>
  <si>
    <t>BOA3017_448</t>
  </si>
  <si>
    <t>Begin=660.853|KID=448-0</t>
  </si>
  <si>
    <t>mandato</t>
  </si>
  <si>
    <t>mandare</t>
  </si>
  <si>
    <t>KID=448-6</t>
  </si>
  <si>
    <t>KID=448-5|OverlappingGroup=75</t>
  </si>
  <si>
    <t>BOA3017_453</t>
  </si>
  <si>
    <t>KID=453-3|OverlappingGroup=211</t>
  </si>
  <si>
    <t>KID=453-2</t>
  </si>
  <si>
    <t>KID=453-6|OverlappingGroup=211</t>
  </si>
  <si>
    <t>stava</t>
  </si>
  <si>
    <t>KID=453-5|OverlappingGroup=211</t>
  </si>
  <si>
    <t>BOA3017_455</t>
  </si>
  <si>
    <t>raccontato</t>
  </si>
  <si>
    <t>raccontare</t>
  </si>
  <si>
    <t>KID=455-8</t>
  </si>
  <si>
    <t>KID=455-7</t>
  </si>
  <si>
    <t>KID=455-13</t>
  </si>
  <si>
    <t>BOA3017_458</t>
  </si>
  <si>
    <t>KID=458-1</t>
  </si>
  <si>
    <t>BOA3017_463</t>
  </si>
  <si>
    <t>KID=463-4</t>
  </si>
  <si>
    <t>KID=463-3</t>
  </si>
  <si>
    <t>BOA3017_464</t>
  </si>
  <si>
    <t>KID=464-1</t>
  </si>
  <si>
    <t>BOA3017_465</t>
  </si>
  <si>
    <t>Begin=687.237|KID=465-0</t>
  </si>
  <si>
    <t>BOA3017_466</t>
  </si>
  <si>
    <t>vedo</t>
  </si>
  <si>
    <t>End=689.12|KID=466-2</t>
  </si>
  <si>
    <t>BOA3017_468</t>
  </si>
  <si>
    <t>KID=468-1</t>
  </si>
  <si>
    <t>BOA3017_470</t>
  </si>
  <si>
    <t>End=693.015|Intonation=Rising|KID=470-2</t>
  </si>
  <si>
    <t>BOA3017_471_473_475_478</t>
  </si>
  <si>
    <t>Coconstruct=conj:reform::BOA3017_470::3|KID=471-2</t>
  </si>
  <si>
    <t>KID=473-1</t>
  </si>
  <si>
    <t>KID=478-1</t>
  </si>
  <si>
    <t>BOA3017_474</t>
  </si>
  <si>
    <t>Begin=698.542|KID=474-0</t>
  </si>
  <si>
    <t>BOA3017_480</t>
  </si>
  <si>
    <t>da'</t>
  </si>
  <si>
    <t>Begin=702.897|Intonation=Falling|KID=480-0|OverlappingGroup=81|Truncated=Yes</t>
  </si>
  <si>
    <t>BOA3017_481</t>
  </si>
  <si>
    <t>finiamo</t>
  </si>
  <si>
    <t>KID=481-3</t>
  </si>
  <si>
    <t>BOA3017_483</t>
  </si>
  <si>
    <t>finiremo</t>
  </si>
  <si>
    <t>KID=483-1</t>
  </si>
  <si>
    <t>tornamo</t>
  </si>
  <si>
    <t>KID=483-3|Variation=Yes</t>
  </si>
  <si>
    <t>BOA3017_484</t>
  </si>
  <si>
    <t>KID=484-1</t>
  </si>
  <si>
    <t>KID=484-3</t>
  </si>
  <si>
    <t>BOA3017_486</t>
  </si>
  <si>
    <t>Begin=713.752|KID=486-0</t>
  </si>
  <si>
    <t>BOA3017_488</t>
  </si>
  <si>
    <t>KID=488-2</t>
  </si>
  <si>
    <t>KID=488-5</t>
  </si>
  <si>
    <t>dovete</t>
  </si>
  <si>
    <t>KID=488-4</t>
  </si>
  <si>
    <t>sente</t>
  </si>
  <si>
    <t>End=718.857|KID=488-13</t>
  </si>
  <si>
    <t>BOA3017_489</t>
  </si>
  <si>
    <t>fate</t>
  </si>
  <si>
    <t>Begin=719.442|KID=489-0</t>
  </si>
  <si>
    <t>BOA3017_491_492</t>
  </si>
  <si>
    <t>KID=491-4</t>
  </si>
  <si>
    <t>scrivo</t>
  </si>
  <si>
    <t>KID=491-6</t>
  </si>
  <si>
    <t>BOA3017_499</t>
  </si>
  <si>
    <t>KID=499-1</t>
  </si>
  <si>
    <t>Begin=737.337|KID=499-0</t>
  </si>
  <si>
    <t>ammazzi</t>
  </si>
  <si>
    <t>ammazzare</t>
  </si>
  <si>
    <t>End=738.557|KID=499-6</t>
  </si>
  <si>
    <t>BOA3017_501_502</t>
  </si>
  <si>
    <t>di'</t>
  </si>
  <si>
    <t>KID=501-1|Truncated=Yes</t>
  </si>
  <si>
    <t>End=740.157|KID=501-2|Truncated=Yes</t>
  </si>
  <si>
    <t>saper</t>
  </si>
  <si>
    <t>KID=502-1a</t>
  </si>
  <si>
    <t>Begin=740.527|KID=502-0</t>
  </si>
  <si>
    <t>BOA3017_503</t>
  </si>
  <si>
    <t>KID=503-5</t>
  </si>
  <si>
    <t>KID=503-3</t>
  </si>
  <si>
    <t>nominare</t>
  </si>
  <si>
    <t>End=743.402|Intonation=Rising|KID=503-6</t>
  </si>
  <si>
    <t>BOA3017_507</t>
  </si>
  <si>
    <t>dar</t>
  </si>
  <si>
    <t>KID=507-1a</t>
  </si>
  <si>
    <t>Begin=745.282|KID=507-0</t>
  </si>
  <si>
    <t>BOA3017_508_509_512</t>
  </si>
  <si>
    <t>KID=509-2</t>
  </si>
  <si>
    <t>KID=512-1|OverlappingGroup=85</t>
  </si>
  <si>
    <t>usa</t>
  </si>
  <si>
    <t>End=750.122|KID=512-7</t>
  </si>
  <si>
    <t>BOA3017_514</t>
  </si>
  <si>
    <t>KID=514-1a</t>
  </si>
  <si>
    <t>Begin=750.157|KID=514-0</t>
  </si>
  <si>
    <t>BOA3017_519_521</t>
  </si>
  <si>
    <t>KID=521-2</t>
  </si>
  <si>
    <t>KID=521-1</t>
  </si>
  <si>
    <t>BOA3017_525</t>
  </si>
  <si>
    <t>Begin=760.743|End=761.263|Intonation=Rising|KID=525-0</t>
  </si>
  <si>
    <t>BOA3017_529_530</t>
  </si>
  <si>
    <t>KID=530-2|Volume=high</t>
  </si>
  <si>
    <t>BOA3017_531</t>
  </si>
  <si>
    <t>KID=531-6|OverlappingGroup=92</t>
  </si>
  <si>
    <t>BOA3017_532</t>
  </si>
  <si>
    <t>KID=532-2|OverlappingGroup=92</t>
  </si>
  <si>
    <t>KID=532-1|OverlappingGroup=92</t>
  </si>
  <si>
    <t>KID=532-10</t>
  </si>
  <si>
    <t>KID=532-13</t>
  </si>
  <si>
    <t>fini</t>
  </si>
  <si>
    <t>fine</t>
  </si>
  <si>
    <t>KID=532-17</t>
  </si>
  <si>
    <t>KID=532-15</t>
  </si>
  <si>
    <t>BOA3017_533</t>
  </si>
  <si>
    <t>Coconstruct=repair::BOA3017_532::19|KID=533::1|OverlappingGroup=93</t>
  </si>
  <si>
    <t>BOA3017_535</t>
  </si>
  <si>
    <t>KID=535-2</t>
  </si>
  <si>
    <t>stupito</t>
  </si>
  <si>
    <t>stupire</t>
  </si>
  <si>
    <t>KID=535-6</t>
  </si>
  <si>
    <t>KID=535-5</t>
  </si>
  <si>
    <t>sapevo</t>
  </si>
  <si>
    <t>KID=535-8</t>
  </si>
  <si>
    <t>BOA3017_539</t>
  </si>
  <si>
    <t>End=785.819|KID=539-3</t>
  </si>
  <si>
    <t>BOA3017_541_543_545_546</t>
  </si>
  <si>
    <t>Coconstruct=conj:reform::BOA3017_539::4|KID=541-3</t>
  </si>
  <si>
    <t>Begin=792.11|End=793.439|KID=545-0|Prolonged=Yes</t>
  </si>
  <si>
    <t>BOA3017_547_551_558_559</t>
  </si>
  <si>
    <t>conosciuto</t>
  </si>
  <si>
    <t>End=799.449|KID=547-8|Prolonged=Yes</t>
  </si>
  <si>
    <t>KID=547-7</t>
  </si>
  <si>
    <t>End=805.304|KID=551-2|Prolonged=Yes</t>
  </si>
  <si>
    <t>KID=551-1</t>
  </si>
  <si>
    <t>BOA3017_565</t>
  </si>
  <si>
    <t>KID=565-0a|Truncated=Yes</t>
  </si>
  <si>
    <t>End=823.408|KID=565-1</t>
  </si>
  <si>
    <t>BOA3017_579</t>
  </si>
  <si>
    <t>End=843.663|Intonation=Rising|KID=579-3</t>
  </si>
  <si>
    <t>BOA3017_580_582</t>
  </si>
  <si>
    <t>KID=582-2</t>
  </si>
  <si>
    <t>BOA3017_585</t>
  </si>
  <si>
    <t>KID=585-1</t>
  </si>
  <si>
    <t>KID=585-10</t>
  </si>
  <si>
    <t>BOA3017_594</t>
  </si>
  <si>
    <t>KID=594-6</t>
  </si>
  <si>
    <t>BOA3017_597</t>
  </si>
  <si>
    <t>compri</t>
  </si>
  <si>
    <t>comprare</t>
  </si>
  <si>
    <t>KID=597-2</t>
  </si>
  <si>
    <t>BOA3017_599</t>
  </si>
  <si>
    <t>End=885.83|KID=599-1|OverlappingGroup=99</t>
  </si>
  <si>
    <t>BOA3017_601_602a</t>
  </si>
  <si>
    <t>KID=601-3</t>
  </si>
  <si>
    <t>darà</t>
  </si>
  <si>
    <t>KID=601-9</t>
  </si>
  <si>
    <t>Begin=892.915|Intonation=Falling|KID=602-0</t>
  </si>
  <si>
    <t>BOA3017_602b</t>
  </si>
  <si>
    <t>improvvisa</t>
  </si>
  <si>
    <t>improvvisare</t>
  </si>
  <si>
    <t>KID=602-6</t>
  </si>
  <si>
    <t>End=895.385|KID=602-14|OverlappingGroup=100</t>
  </si>
  <si>
    <t>BOA3017_603</t>
  </si>
  <si>
    <t>End=895.415|Intonation=Rising|KID=603-2|OverlappingGroup=100</t>
  </si>
  <si>
    <t>KID=603-1|OverlappingGroup=100</t>
  </si>
  <si>
    <t>BOA3017_604_605_606</t>
  </si>
  <si>
    <t>Coconstruct=conj:reform::BOA3017_603::3|KID=606-1</t>
  </si>
  <si>
    <t>BOA3017_607</t>
  </si>
  <si>
    <t>KID=607-2</t>
  </si>
  <si>
    <t>KID=607-1|OverlappingGroup=101</t>
  </si>
  <si>
    <t>compravi</t>
  </si>
  <si>
    <t>KID=607-6</t>
  </si>
  <si>
    <t>BOA3017_608</t>
  </si>
  <si>
    <t>ricicla</t>
  </si>
  <si>
    <t>riciclare</t>
  </si>
  <si>
    <t>KID=608-4|OverlappingGroup=102</t>
  </si>
  <si>
    <t>BOA3017_609_610</t>
  </si>
  <si>
    <t>porto</t>
  </si>
  <si>
    <t>KID=609-1|OverlappingGroup=102</t>
  </si>
  <si>
    <t>KID=609-8</t>
  </si>
  <si>
    <t>BOA3017_611</t>
  </si>
  <si>
    <t>regala'</t>
  </si>
  <si>
    <t>regalare</t>
  </si>
  <si>
    <t>KID=611-4|Truncated=Yes</t>
  </si>
  <si>
    <t>KID=611-3</t>
  </si>
  <si>
    <t>KID=611-7</t>
  </si>
  <si>
    <t>regalo</t>
  </si>
  <si>
    <t>KID=611-12</t>
  </si>
  <si>
    <t>BOA3017_615</t>
  </si>
  <si>
    <t>KID=615-1</t>
  </si>
  <si>
    <t>KID=615-4</t>
  </si>
  <si>
    <t>faccio</t>
  </si>
  <si>
    <t>KID=615-11|OverlappingGroup=103</t>
  </si>
  <si>
    <t>BOA3017_619_621</t>
  </si>
  <si>
    <t>regali</t>
  </si>
  <si>
    <t>KID=619-2</t>
  </si>
  <si>
    <t>KID=619-8</t>
  </si>
  <si>
    <t>BOA3017_620_622</t>
  </si>
  <si>
    <t>ringrazio</t>
  </si>
  <si>
    <t>ringraziare</t>
  </si>
  <si>
    <t>KID=622-5|OverlappingGroup=106</t>
  </si>
  <si>
    <t>BOA3017_623</t>
  </si>
  <si>
    <t>KID=623-1</t>
  </si>
  <si>
    <t>KID=623-6</t>
  </si>
  <si>
    <t>KID=623-5</t>
  </si>
  <si>
    <t>portato</t>
  </si>
  <si>
    <t>KID=623-12</t>
  </si>
  <si>
    <t>KID=623-11</t>
  </si>
  <si>
    <t>End=934.75|KID=623-19</t>
  </si>
  <si>
    <t>KID=623-18</t>
  </si>
  <si>
    <t>BOA3017_625</t>
  </si>
  <si>
    <t>KID=625-6|OverlappingGroup=</t>
  </si>
  <si>
    <t>BOA3017_627</t>
  </si>
  <si>
    <t>KID=627-2</t>
  </si>
  <si>
    <t>KID=627-1</t>
  </si>
  <si>
    <t>BOA3017_634</t>
  </si>
  <si>
    <t>Coconstruct=reform:BOA3017_632::2|KID=634-1</t>
  </si>
  <si>
    <t>End=943.8|KID=634-6|OverlappingGroup=114</t>
  </si>
  <si>
    <t>BOA3017_636</t>
  </si>
  <si>
    <t>KID=636-1</t>
  </si>
  <si>
    <t>KID=636-3</t>
  </si>
  <si>
    <t>BOA3017_637</t>
  </si>
  <si>
    <t>mangi</t>
  </si>
  <si>
    <t>KID=637-2|OverlappingGroup=116</t>
  </si>
  <si>
    <t>BOA3017_639</t>
  </si>
  <si>
    <t>KID=639-2</t>
  </si>
  <si>
    <t>BOA3017_640_642</t>
  </si>
  <si>
    <t>Coconstruct=conj:reform::BOA3017_639::7|KID=640-3</t>
  </si>
  <si>
    <t>KID=640-12</t>
  </si>
  <si>
    <t>tengo</t>
  </si>
  <si>
    <t>tenere</t>
  </si>
  <si>
    <t>End=952.545|KID=640-15|OverlappingGroup=117</t>
  </si>
  <si>
    <t>KID=642-1</t>
  </si>
  <si>
    <t>KID=642-4|Prolonged=Yes</t>
  </si>
  <si>
    <t>BOA3017_641</t>
  </si>
  <si>
    <t>Begin=951.585|KID=641-0|OverlappingGroup=117</t>
  </si>
  <si>
    <t>li</t>
  </si>
  <si>
    <t>obj</t>
  </si>
  <si>
    <t>BOA3017_643</t>
  </si>
  <si>
    <t>detta</t>
  </si>
  <si>
    <t>KID=643-1|OverlappingGroup=118</t>
  </si>
  <si>
    <t>KID=643-6|PaceFast=Yes</t>
  </si>
  <si>
    <t>KID=643-15</t>
  </si>
  <si>
    <t>KID=643-14</t>
  </si>
  <si>
    <t>KID=643-17</t>
  </si>
  <si>
    <t>KID=643-21</t>
  </si>
  <si>
    <t>End=960.52|KID=643-26|OverlappingGroup=119</t>
  </si>
  <si>
    <t>BOA3017_645</t>
  </si>
  <si>
    <t>KID=645-4</t>
  </si>
  <si>
    <t>KID=645-3</t>
  </si>
  <si>
    <t>End=962.97|KID=645-10</t>
  </si>
  <si>
    <t>BOA3017_648</t>
  </si>
  <si>
    <t>End=968.55|Intonation=Rising|KID=648-2|Modality=Laughing</t>
  </si>
  <si>
    <t>BOA3017_649</t>
  </si>
  <si>
    <t>KID=649-5|OverlappingGroup=121</t>
  </si>
  <si>
    <t>KID=649-8|OverlappingGroup=121</t>
  </si>
  <si>
    <t>KID=649-9</t>
  </si>
  <si>
    <t>BOA3017_651</t>
  </si>
  <si>
    <t>End=972.71|KID=651-7|OverlappingGroup=122</t>
  </si>
  <si>
    <t>BOA3017_652</t>
  </si>
  <si>
    <t>Begin=972.72|KID=652-0</t>
  </si>
  <si>
    <t>BOA3017_655</t>
  </si>
  <si>
    <t>risparmiamo</t>
  </si>
  <si>
    <t>risparmiare</t>
  </si>
  <si>
    <t>Begin=975.69|KID=655-0</t>
  </si>
  <si>
    <t>BOA3017_656</t>
  </si>
  <si>
    <t>regalato</t>
  </si>
  <si>
    <t>KID=656-3</t>
  </si>
  <si>
    <t>KID=656-2</t>
  </si>
  <si>
    <t>BOA3017_660</t>
  </si>
  <si>
    <t>mangia'</t>
  </si>
  <si>
    <t>KID=660-4|Truncated=Yes</t>
  </si>
  <si>
    <t>KID=660-3</t>
  </si>
  <si>
    <t>BOA3017_661</t>
  </si>
  <si>
    <t>KID=661-1</t>
  </si>
  <si>
    <t>BOA3017_662a</t>
  </si>
  <si>
    <t>KID=662-2</t>
  </si>
  <si>
    <t>Intonation=Rising|KID=662-6</t>
  </si>
  <si>
    <t>BOA3017_663</t>
  </si>
  <si>
    <t>Begin=997.8|KID=663-0|OverlappingGroup=</t>
  </si>
  <si>
    <t>BOA3017_664_665</t>
  </si>
  <si>
    <t>Begin=1003.34|End=1003.9|KID=664-0|PaceFast=Yes</t>
  </si>
  <si>
    <t>KID=665-1</t>
  </si>
  <si>
    <t>KID=665-5</t>
  </si>
  <si>
    <t>BOA3017_666_667</t>
  </si>
  <si>
    <t>pranziamo</t>
  </si>
  <si>
    <t>pranzare</t>
  </si>
  <si>
    <t>KID=667-6</t>
  </si>
  <si>
    <t>BOA3017_668_669</t>
  </si>
  <si>
    <t>pranza'</t>
  </si>
  <si>
    <t>End=1015.007|Intonation=Rising|KID=669-2|Truncated=Yes</t>
  </si>
  <si>
    <t>KID=669-1</t>
  </si>
  <si>
    <t>BOA3017_670</t>
  </si>
  <si>
    <t>End=1017.152|KID=670-7|Truncated=Yes</t>
  </si>
  <si>
    <t>KID=670-6</t>
  </si>
  <si>
    <t>BOA3017_671</t>
  </si>
  <si>
    <t>prepari</t>
  </si>
  <si>
    <t>KID=671-7</t>
  </si>
  <si>
    <t>BOA3017_673</t>
  </si>
  <si>
    <t>KID=673-2</t>
  </si>
  <si>
    <t>KID=673-1</t>
  </si>
  <si>
    <t>BOA3017_678_679</t>
  </si>
  <si>
    <t>Begin=1038.571|KID=679-0|PaceFast=Yes</t>
  </si>
  <si>
    <t>KID=679-3|PaceFast=Yes</t>
  </si>
  <si>
    <t>magna'</t>
  </si>
  <si>
    <t>End=1042.48|KID=679-11|Variation=Yes</t>
  </si>
  <si>
    <t>BOA3017_680_681</t>
  </si>
  <si>
    <t>partire</t>
  </si>
  <si>
    <t>End=1046.712|KID=680-8</t>
  </si>
  <si>
    <t>KID=680-7</t>
  </si>
  <si>
    <t>BOA3017_683</t>
  </si>
  <si>
    <t>KID=683-4</t>
  </si>
  <si>
    <t>KID=683-3</t>
  </si>
  <si>
    <t>BOA3017_685_686</t>
  </si>
  <si>
    <t>KID=685-1</t>
  </si>
  <si>
    <t>KID=685-3|PauseAfter=Yes</t>
  </si>
  <si>
    <t>KID=685-7</t>
  </si>
  <si>
    <t>KID=685-12</t>
  </si>
  <si>
    <t>End=1061.222|KID=685-15</t>
  </si>
  <si>
    <t>KID=686-5</t>
  </si>
  <si>
    <t>KID=686-4</t>
  </si>
  <si>
    <t>BOA3017_687</t>
  </si>
  <si>
    <t>KID=687-2</t>
  </si>
  <si>
    <t>BOA3017_689</t>
  </si>
  <si>
    <t>piove</t>
  </si>
  <si>
    <t>piovere</t>
  </si>
  <si>
    <t>KID=689-2</t>
  </si>
  <si>
    <t>BOA3017_691</t>
  </si>
  <si>
    <t>KID=691-4</t>
  </si>
  <si>
    <t>End=1078.899|KID=691-12</t>
  </si>
  <si>
    <t>BOA3017_692_693</t>
  </si>
  <si>
    <t>esce</t>
  </si>
  <si>
    <t>KID=692-3</t>
  </si>
  <si>
    <t>End=1083.169|KID=692-6</t>
  </si>
  <si>
    <t>BOA3017_694_695</t>
  </si>
  <si>
    <t>KID=694-2</t>
  </si>
  <si>
    <t>KID=694-1</t>
  </si>
  <si>
    <t>KID=694-5</t>
  </si>
  <si>
    <t>BOA3017_696</t>
  </si>
  <si>
    <t>End=1090.721|KID=696-2</t>
  </si>
  <si>
    <t>BOA3017_697</t>
  </si>
  <si>
    <t>KID=697-1</t>
  </si>
  <si>
    <t>BOA3017_706</t>
  </si>
  <si>
    <t>KID=706-1</t>
  </si>
  <si>
    <t>BOA3017_709</t>
  </si>
  <si>
    <t>End=1120.703|KID=709-4</t>
  </si>
  <si>
    <t>KID=709-3|PaceFast=Yes</t>
  </si>
  <si>
    <t>BOA3017_713</t>
  </si>
  <si>
    <t>Begin=1135.619|End=1136.046|Intonation=Rising|KID=713-0</t>
  </si>
  <si>
    <t>BOA3017_716</t>
  </si>
  <si>
    <t>presa</t>
  </si>
  <si>
    <t>KID=716-3</t>
  </si>
  <si>
    <t>sei</t>
  </si>
  <si>
    <t>KID=716-2</t>
  </si>
  <si>
    <t>BOA3017_719_720_723_724</t>
  </si>
  <si>
    <t>KID=720-4</t>
  </si>
  <si>
    <t>KID=720-3</t>
  </si>
  <si>
    <t>End=1143.454|KID=720-8</t>
  </si>
  <si>
    <t>KID=720-7</t>
  </si>
  <si>
    <t>BOA3017_722</t>
  </si>
  <si>
    <t>Coconstruct=conj::BOA3017_719_720_723_724::11|KID=722-2|OverlappingGroup=212</t>
  </si>
  <si>
    <t>BOA3017_726_729</t>
  </si>
  <si>
    <t>regala</t>
  </si>
  <si>
    <t>KID=726-8a|OverlappingGroup=128</t>
  </si>
  <si>
    <t>KID=726-7|OverlappingGroup=128</t>
  </si>
  <si>
    <t>disprezzo</t>
  </si>
  <si>
    <t>disprezzare</t>
  </si>
  <si>
    <t>End=1149.69|KID=729-2</t>
  </si>
  <si>
    <t>BOA3017_735</t>
  </si>
  <si>
    <t>passato</t>
  </si>
  <si>
    <t>End=1157.143|KID=735-7|OverlappingGroup=130|Prolonged=Yes</t>
  </si>
  <si>
    <t>KID=735-5|OverlappingGroup=130</t>
  </si>
  <si>
    <t>BOA3017_736_738</t>
  </si>
  <si>
    <t>End=1156.761|KID=736-5|OverlappingGroup=130</t>
  </si>
  <si>
    <t>End=1159.057|KID=738-4</t>
  </si>
  <si>
    <t>BOA3017_739_741</t>
  </si>
  <si>
    <t>KID=741-5</t>
  </si>
  <si>
    <t>BOA3017_743</t>
  </si>
  <si>
    <t>compra</t>
  </si>
  <si>
    <t>KID=743-3a</t>
  </si>
  <si>
    <t>BOA3017_749</t>
  </si>
  <si>
    <t>KID=749-1</t>
  </si>
  <si>
    <t>vanno</t>
  </si>
  <si>
    <t>KID=749-8</t>
  </si>
  <si>
    <t>BOA3017_752</t>
  </si>
  <si>
    <t>costerà</t>
  </si>
  <si>
    <t>Begin=1170.456|KID=752-0</t>
  </si>
  <si>
    <t>BOA3017_754_756_757</t>
  </si>
  <si>
    <t>vola</t>
  </si>
  <si>
    <t>volare</t>
  </si>
  <si>
    <t>KID=756-2</t>
  </si>
  <si>
    <t>BOA3017_760_763</t>
  </si>
  <si>
    <t>KID=760-1|OverlappingGroup=133</t>
  </si>
  <si>
    <t>Begin=1183.932|KID=760-0|OverlappingGroup=133</t>
  </si>
  <si>
    <t>KID=760-4</t>
  </si>
  <si>
    <t>KID=763-2|OverlappingGroup=134</t>
  </si>
  <si>
    <t>corre~</t>
  </si>
  <si>
    <t>dep</t>
  </si>
  <si>
    <t>Interrupted=Yes|KID=763-5|OverlappingGroup=134</t>
  </si>
  <si>
    <t>KID=763-9|OverlappingGroup=135|Prolonged=Yes</t>
  </si>
  <si>
    <t>KID=763-10|OverlappingGroup=135</t>
  </si>
  <si>
    <t>BOA3017_764_765</t>
  </si>
  <si>
    <t>End=1189.894|Intonation=Rising|KID=765-2</t>
  </si>
  <si>
    <t>KID=765-1</t>
  </si>
  <si>
    <t>BOA3017_766</t>
  </si>
  <si>
    <t>End=1192.669|Intonation=Rising|KID=766-7|OverlappingGroup=136</t>
  </si>
  <si>
    <t>BOA3017_767_768</t>
  </si>
  <si>
    <t>KID=767-4|OverlappingGroup=136</t>
  </si>
  <si>
    <t>KID=767-10</t>
  </si>
  <si>
    <t>KID=768-1</t>
  </si>
  <si>
    <t>BOA3017_769</t>
  </si>
  <si>
    <t>Coconstruct=advcl::BOA3017_767_768::5|KID=769-3</t>
  </si>
  <si>
    <t>BOA3017_776_778</t>
  </si>
  <si>
    <t>KID=776-4</t>
  </si>
  <si>
    <t>BOA3017_780</t>
  </si>
  <si>
    <t>End=1215.516|KID=780-4|OverlappingGroup=140</t>
  </si>
  <si>
    <t>BOA3017_783</t>
  </si>
  <si>
    <t>mangiava</t>
  </si>
  <si>
    <t>KID=783-2</t>
  </si>
  <si>
    <t>End=1220.628|KID=783-17|OverlappingGroup=141|Prolonged=Yes</t>
  </si>
  <si>
    <t>KID=783-7</t>
  </si>
  <si>
    <t>KID=783-6</t>
  </si>
  <si>
    <t>BOA3017_788_790</t>
  </si>
  <si>
    <t>aggrappa</t>
  </si>
  <si>
    <t>aggrappare</t>
  </si>
  <si>
    <t>End=1228.948|KID=790-1</t>
  </si>
  <si>
    <t>BOA3017_793</t>
  </si>
  <si>
    <t>presentare</t>
  </si>
  <si>
    <t>KID=793-5</t>
  </si>
  <si>
    <t>KID=793-4</t>
  </si>
  <si>
    <t>BOA3017_796_798</t>
  </si>
  <si>
    <t>direi</t>
  </si>
  <si>
    <t>Coconstruct=conj:reform::BOA3017_793::7|KID=798-1|OverlappingGroup=142</t>
  </si>
  <si>
    <t>stamo</t>
  </si>
  <si>
    <t>KID=798-5</t>
  </si>
  <si>
    <t>trattene'</t>
  </si>
  <si>
    <t>trattenere</t>
  </si>
  <si>
    <t>KID=798-8|Truncated=Yes</t>
  </si>
  <si>
    <t>BOA3017_799</t>
  </si>
  <si>
    <t>Begin=1237.198|Coconstruct=conj:reform::BOA3017_793::7|KID=799-0|OverlappingGroup=142</t>
  </si>
  <si>
    <t>BOA3017_805_806</t>
  </si>
  <si>
    <t>fo</t>
  </si>
  <si>
    <t>KID=806-4|Prolonged=Yes|Variation=Yes</t>
  </si>
  <si>
    <t>KID=806-5|Variation=Yes</t>
  </si>
  <si>
    <t>KID=806-6|Variation=Yes</t>
  </si>
  <si>
    <t>BOA3017_807</t>
  </si>
  <si>
    <t>sveglio</t>
  </si>
  <si>
    <t>svegliare</t>
  </si>
  <si>
    <t>KID=807-2</t>
  </si>
  <si>
    <t>BOA3017_808</t>
  </si>
  <si>
    <t>torno</t>
  </si>
  <si>
    <t>KID=808-2</t>
  </si>
  <si>
    <t>End=1263.449|KID=808-7</t>
  </si>
  <si>
    <t>BOA3017_810_811</t>
  </si>
  <si>
    <t>KID=810-1</t>
  </si>
  <si>
    <t>KID=811-4</t>
  </si>
  <si>
    <t>BOA3017_813_816a</t>
  </si>
  <si>
    <t>KID=813-1|OverlappingGroup=143</t>
  </si>
  <si>
    <t>KID=813-5</t>
  </si>
  <si>
    <t>End=1271.198|KID=813-12|Prolonged=Yes</t>
  </si>
  <si>
    <t>KID=813-10</t>
  </si>
  <si>
    <t>BOA3017_816b</t>
  </si>
  <si>
    <t>End=1273.793|KID=816-4|Prolonged=Yes</t>
  </si>
  <si>
    <t>BOA3017_821</t>
  </si>
  <si>
    <t>KID=821-4</t>
  </si>
  <si>
    <t>KID=821-2</t>
  </si>
  <si>
    <t>torni</t>
  </si>
  <si>
    <t>KID=821-10</t>
  </si>
  <si>
    <t>End=1284.009|KID=821-14</t>
  </si>
  <si>
    <t>BOA3017_822</t>
  </si>
  <si>
    <t>KID=822-4</t>
  </si>
  <si>
    <t>KID=822-3</t>
  </si>
  <si>
    <t>BOA3017_823_824</t>
  </si>
  <si>
    <t>End=1288.305|KID=824-1</t>
  </si>
  <si>
    <t>BOA3017_833</t>
  </si>
  <si>
    <t>precipitando</t>
  </si>
  <si>
    <t>precipitare</t>
  </si>
  <si>
    <t>KID=833-1</t>
  </si>
  <si>
    <t>Begin=1298.684|KID=833-0</t>
  </si>
  <si>
    <t>KID=833-3</t>
  </si>
  <si>
    <t>KID=833-2</t>
  </si>
  <si>
    <t>KID=833-5</t>
  </si>
  <si>
    <t>KID=833-4</t>
  </si>
  <si>
    <t>richiedo</t>
  </si>
  <si>
    <t>richiedere</t>
  </si>
  <si>
    <t>KID=833-6</t>
  </si>
  <si>
    <t>BOA3017_850_852_853</t>
  </si>
  <si>
    <t>pari</t>
  </si>
  <si>
    <t>KID=852-6</t>
  </si>
  <si>
    <t>guardo</t>
  </si>
  <si>
    <t>End=1323.195|KID=852-11</t>
  </si>
  <si>
    <t>cago</t>
  </si>
  <si>
    <t>cagare</t>
  </si>
  <si>
    <t>End=1324.495|KID=853-5</t>
  </si>
  <si>
    <t>BOA3017_859</t>
  </si>
  <si>
    <t>pagato</t>
  </si>
  <si>
    <t>pagare</t>
  </si>
  <si>
    <t>KID=859-1</t>
  </si>
  <si>
    <t>Begin=1328.957|KID=859-0</t>
  </si>
  <si>
    <t>BOA3017_864</t>
  </si>
  <si>
    <t>KID=864-3</t>
  </si>
  <si>
    <t>taglia</t>
  </si>
  <si>
    <t>End=1336.458|KID=864-8</t>
  </si>
  <si>
    <t>BOA3017_866</t>
  </si>
  <si>
    <t>KID=866-1a</t>
  </si>
  <si>
    <t>Begin=1339.371|KID=866-0</t>
  </si>
  <si>
    <t>BOA3017_867_868</t>
  </si>
  <si>
    <t>End=1341.771|KID=867-2</t>
  </si>
  <si>
    <t>KID=867-1</t>
  </si>
  <si>
    <t>KID=868-2</t>
  </si>
  <si>
    <t>BOA3017_872</t>
  </si>
  <si>
    <t>KID=872-4</t>
  </si>
  <si>
    <t>BOA3017_873</t>
  </si>
  <si>
    <t>Begin=1349.577|Coconstruct=ccomp:reported::BOA3017_872::6|KID=873-0</t>
  </si>
  <si>
    <t>KID=873-1</t>
  </si>
  <si>
    <t>KID=873-2</t>
  </si>
  <si>
    <t>End=1351.194|KID=873-3</t>
  </si>
  <si>
    <t>BOA3017_883_884_885</t>
  </si>
  <si>
    <t>KID=883-3</t>
  </si>
  <si>
    <t>censurare</t>
  </si>
  <si>
    <t>Begin=1371.394|KID=885-0</t>
  </si>
  <si>
    <t>Begin=1369.74|End=1370.74|KID=884-0|Prolonged=Yes</t>
  </si>
  <si>
    <t>BOA3017_886_889</t>
  </si>
  <si>
    <t>censurate</t>
  </si>
  <si>
    <t>End=1375.916|KID=886-11|OverlappingGroup=144</t>
  </si>
  <si>
    <t>KID=886-10</t>
  </si>
  <si>
    <t>BOA3017_892</t>
  </si>
  <si>
    <t>KID=892-6</t>
  </si>
  <si>
    <t>KID=892-5</t>
  </si>
  <si>
    <t>End=1383.31|KID=892-15</t>
  </si>
  <si>
    <t>posso</t>
  </si>
  <si>
    <t>KID=892-14</t>
  </si>
  <si>
    <t>BOA3017_894</t>
  </si>
  <si>
    <t>Coconstruct=conj:reform::BOA3017_892::16|End=1384.797|KID=894-3</t>
  </si>
  <si>
    <t>KID=894-1</t>
  </si>
  <si>
    <t>BOA3017_896</t>
  </si>
  <si>
    <t>KID=896-2</t>
  </si>
  <si>
    <t>BOA3017_897</t>
  </si>
  <si>
    <t>Backchannel=BOA3017_895::1|Begin=1385.989|End=1387.022|KID=897-0|OverlappingGroup=147|Prolonged=Yes</t>
  </si>
  <si>
    <t>BOA3017_899_902_903</t>
  </si>
  <si>
    <t>scrive</t>
  </si>
  <si>
    <t>End=1389.531|KID=899-4</t>
  </si>
  <si>
    <t>chiuso</t>
  </si>
  <si>
    <t>Begin=1392.242|KID=903-0</t>
  </si>
  <si>
    <t>BOA3017_905</t>
  </si>
  <si>
    <t>interloquisce</t>
  </si>
  <si>
    <t>interloquire</t>
  </si>
  <si>
    <t>End=1397.217|KID=905-3</t>
  </si>
  <si>
    <t>BOA3017_906_907</t>
  </si>
  <si>
    <t>sappiate</t>
  </si>
  <si>
    <t>KID=906-2</t>
  </si>
  <si>
    <t>divertirò</t>
  </si>
  <si>
    <t>KID=906-5</t>
  </si>
  <si>
    <t>KID=907-1</t>
  </si>
  <si>
    <t>BOA3017_908</t>
  </si>
  <si>
    <t>divertirai</t>
  </si>
  <si>
    <t>Coconstruct=reform:BOA3017_906_907::13|End=1402.758|Intonation=Rising|KID=908-1</t>
  </si>
  <si>
    <t>BOA3017_913</t>
  </si>
  <si>
    <t>KID=913-1|OverlappingGroup=149</t>
  </si>
  <si>
    <t>BOA3017_919_920</t>
  </si>
  <si>
    <t>KID=920-2|OverlappingGroup=150</t>
  </si>
  <si>
    <t>riascoltando</t>
  </si>
  <si>
    <t>riascoltare</t>
  </si>
  <si>
    <t>KID=920-4</t>
  </si>
  <si>
    <t>BOA3017_925_926_927_929_930_932_933</t>
  </si>
  <si>
    <t>raccontava</t>
  </si>
  <si>
    <t>KID=926-3</t>
  </si>
  <si>
    <t>rubato</t>
  </si>
  <si>
    <t>rubare</t>
  </si>
  <si>
    <t>KID=927-2</t>
  </si>
  <si>
    <t>KID=927-1</t>
  </si>
  <si>
    <t>KID=927-13</t>
  </si>
  <si>
    <t>KID=930-7</t>
  </si>
  <si>
    <t>KID=930-6</t>
  </si>
  <si>
    <t>KID=933-10</t>
  </si>
  <si>
    <t>BOA3017_931</t>
  </si>
  <si>
    <t>End=1443.298|KID=931-4|OverlappingGroup=153</t>
  </si>
  <si>
    <t>KID=931-3|OverlappingGroup=153</t>
  </si>
  <si>
    <t>BOA3017_935_936_937_938</t>
  </si>
  <si>
    <t>convinte</t>
  </si>
  <si>
    <t>convincere</t>
  </si>
  <si>
    <t>KID=936-4|Prolonged=Yes</t>
  </si>
  <si>
    <t>KID=936-15</t>
  </si>
  <si>
    <t>han</t>
  </si>
  <si>
    <t>KID=936-14|Truncated=Yes</t>
  </si>
  <si>
    <t>End=1455.501|KID=936-21</t>
  </si>
  <si>
    <t>KID=936-20</t>
  </si>
  <si>
    <t>andate</t>
  </si>
  <si>
    <t>KID=937-2|PaceFast=Yes</t>
  </si>
  <si>
    <t>KID=937-1|PaceFast=Yes</t>
  </si>
  <si>
    <t>sequestrato</t>
  </si>
  <si>
    <t>sequestrare</t>
  </si>
  <si>
    <t>KID=937-9|PaceFast=Yes</t>
  </si>
  <si>
    <t>KID=937-8|PaceFast=Yes|Truncated=Yes</t>
  </si>
  <si>
    <t>compreso</t>
  </si>
  <si>
    <t>comprendere</t>
  </si>
  <si>
    <t>KID=937-11</t>
  </si>
  <si>
    <t>KID=937-16</t>
  </si>
  <si>
    <t>BOA3017_939</t>
  </si>
  <si>
    <t>tocchi</t>
  </si>
  <si>
    <t>toccare</t>
  </si>
  <si>
    <t>KID=939-7</t>
  </si>
  <si>
    <t>permetti</t>
  </si>
  <si>
    <t>permettere</t>
  </si>
  <si>
    <t>End=1464.923|KID=939-11</t>
  </si>
  <si>
    <t>BOA3017_941</t>
  </si>
  <si>
    <t>entra'</t>
  </si>
  <si>
    <t>Begin=1465.797|KID=941-0|OverlappingGroup=155|Truncated=Yes</t>
  </si>
  <si>
    <t>BOA3017_942</t>
  </si>
  <si>
    <t>KID=942-5|OverlappingGroup=159</t>
  </si>
  <si>
    <t>KID=942-9</t>
  </si>
  <si>
    <t>sgozzati</t>
  </si>
  <si>
    <t>sgozzare</t>
  </si>
  <si>
    <t>KID=942-11</t>
  </si>
  <si>
    <t>KID=942-18|OverlappingGroup=157</t>
  </si>
  <si>
    <t>KID=942-17|OverlappingGroup=157</t>
  </si>
  <si>
    <t>KID=942-20</t>
  </si>
  <si>
    <t>KID=942-27</t>
  </si>
  <si>
    <t>BOA3017_943_945</t>
  </si>
  <si>
    <t>KID=945-1|OverlappingGroup=157</t>
  </si>
  <si>
    <t>End=1472.985|Intonation=Rising|KID=945-3|OverlappingGroup=157</t>
  </si>
  <si>
    <t>BOA3017_947_949</t>
  </si>
  <si>
    <t>chiamato</t>
  </si>
  <si>
    <t>KID=947-4</t>
  </si>
  <si>
    <t>KID=947-3</t>
  </si>
  <si>
    <t>dicendo</t>
  </si>
  <si>
    <t>End=1480.931|KID=947-15|PaceFast=Yes</t>
  </si>
  <si>
    <t>Begin=1481.164|KID=949-0</t>
  </si>
  <si>
    <t>KID=949-3</t>
  </si>
  <si>
    <t>KID=949-10</t>
  </si>
  <si>
    <t>BOA3017_950</t>
  </si>
  <si>
    <t>KID=950-1</t>
  </si>
  <si>
    <t>KID=950-5</t>
  </si>
  <si>
    <t>KID=950-4|Truncated=Yes</t>
  </si>
  <si>
    <t>KID=950-6</t>
  </si>
  <si>
    <t>KID=950-8</t>
  </si>
  <si>
    <t>abbiam</t>
  </si>
  <si>
    <t>KID=950-7|Truncated=Yes</t>
  </si>
  <si>
    <t>BOA3017_951</t>
  </si>
  <si>
    <t>KID=951-1|OverlappingGroup=161</t>
  </si>
  <si>
    <t>BOA3017_957</t>
  </si>
  <si>
    <t>rotto</t>
  </si>
  <si>
    <t>rompere</t>
  </si>
  <si>
    <t>KID=957-1</t>
  </si>
  <si>
    <t>Begin=1507.658|KID=957-0</t>
  </si>
  <si>
    <t>BOA3017_962</t>
  </si>
  <si>
    <t>iniziato</t>
  </si>
  <si>
    <t>iniziare</t>
  </si>
  <si>
    <t>KID=962-2</t>
  </si>
  <si>
    <t>KID=962-1</t>
  </si>
  <si>
    <t>KID=962-4</t>
  </si>
  <si>
    <t>BOA3017_966</t>
  </si>
  <si>
    <t>KID=966-2</t>
  </si>
  <si>
    <t>mette</t>
  </si>
  <si>
    <t>KID=966-4</t>
  </si>
  <si>
    <t>BOA3017_967</t>
  </si>
  <si>
    <t>End=1524.674|KID=967-6</t>
  </si>
  <si>
    <t>BOA3017_968_970</t>
  </si>
  <si>
    <t>KID=968-2</t>
  </si>
  <si>
    <t>organizza'</t>
  </si>
  <si>
    <t>End=1527.112|KID=968-9|Truncated=Yes</t>
  </si>
  <si>
    <t>KID=968-8</t>
  </si>
  <si>
    <t>BOA3017_971_972</t>
  </si>
  <si>
    <t>KID=971-3|OverlappingGroup=163</t>
  </si>
  <si>
    <t>BOA3017_974</t>
  </si>
  <si>
    <t>KID=974-4|OverlappingGroup=164</t>
  </si>
  <si>
    <t>BOA3017_975_976</t>
  </si>
  <si>
    <t>KID=975-4</t>
  </si>
  <si>
    <t>Begin=1537.008|KID=976-0</t>
  </si>
  <si>
    <t>KID=976-3</t>
  </si>
  <si>
    <t>va'</t>
  </si>
  <si>
    <t>End=1539.058|KID=976-4|Truncated=Yes</t>
  </si>
  <si>
    <t>BOA3017_977</t>
  </si>
  <si>
    <t>KID=977-2</t>
  </si>
  <si>
    <t>magni</t>
  </si>
  <si>
    <t>mangere</t>
  </si>
  <si>
    <t>End=1544.449|KID=977-7|OverlappingGroup=165|Prolonged=Yes|Variation=Yes</t>
  </si>
  <si>
    <t>BOA3017_979</t>
  </si>
  <si>
    <t>KID=979-4</t>
  </si>
  <si>
    <t>KID=979-3</t>
  </si>
  <si>
    <t>KID=979-7</t>
  </si>
  <si>
    <t>BOA3017_980</t>
  </si>
  <si>
    <t>KID=980-3</t>
  </si>
  <si>
    <t>KID=980-2|OverlappingGroup=167</t>
  </si>
  <si>
    <t>BOA3017_983</t>
  </si>
  <si>
    <t>KID=983-5</t>
  </si>
  <si>
    <t>BOA3017_984</t>
  </si>
  <si>
    <t>cosa</t>
  </si>
  <si>
    <t>cosare</t>
  </si>
  <si>
    <t>KID=984-4</t>
  </si>
  <si>
    <t>BOA3017_985</t>
  </si>
  <si>
    <t>KID=985-1|OverlappingGroup=168</t>
  </si>
  <si>
    <t>KID=985-5</t>
  </si>
  <si>
    <t>BOA3017_993_995</t>
  </si>
  <si>
    <t>KID=993-6</t>
  </si>
  <si>
    <t>KID=993-15</t>
  </si>
  <si>
    <t>KID=993-19</t>
  </si>
  <si>
    <t>BOA3017_997_1000</t>
  </si>
  <si>
    <t>KID=1000-2|OverlappingGroup=172</t>
  </si>
  <si>
    <t>End=1586.408|KID=1000-7</t>
  </si>
  <si>
    <t>BOA3017_998</t>
  </si>
  <si>
    <t>scaricando</t>
  </si>
  <si>
    <t>scaricare</t>
  </si>
  <si>
    <t>KID=998-2|OverlappingGroup=171</t>
  </si>
  <si>
    <t>KID=998-1|OverlappingGroup=171</t>
  </si>
  <si>
    <t>BOA3017_999</t>
  </si>
  <si>
    <t>KID=999-2|OverlappingGroup=172</t>
  </si>
  <si>
    <t>BOA3017_1003_1004</t>
  </si>
  <si>
    <t>sentiranno</t>
  </si>
  <si>
    <t>KID=1003-4</t>
  </si>
  <si>
    <t>lavorando</t>
  </si>
  <si>
    <t>KID=1004-3</t>
  </si>
  <si>
    <t>KID=1004-2</t>
  </si>
  <si>
    <t>BOA3017_1007</t>
  </si>
  <si>
    <t>KID=1007-3</t>
  </si>
  <si>
    <t>KID=1007-2</t>
  </si>
  <si>
    <t>BOA3017_1011_1015</t>
  </si>
  <si>
    <t>KID=1015-2|OverlappingGroup=176,177|Prolonged=Yes</t>
  </si>
  <si>
    <t>BOA3017_1012</t>
  </si>
  <si>
    <t>capirai</t>
  </si>
  <si>
    <t>Begin=1605.449|KID=1012-0|OverlappingGroup=174</t>
  </si>
  <si>
    <t>BOA3017_1022</t>
  </si>
  <si>
    <t>KID=1022-2</t>
  </si>
  <si>
    <t>BOA3017_1023_1025</t>
  </si>
  <si>
    <t>Coconstruct=acl::BOA3017_1022::6|End=1617.113|Intonation=Rising|KID=1025-1|OverlappingGroup=179</t>
  </si>
  <si>
    <t>BOA3017_1026</t>
  </si>
  <si>
    <t>End=1620.574|KID=1026-6</t>
  </si>
  <si>
    <t>BOA3017_1031</t>
  </si>
  <si>
    <t>Begin=1623.238|KID=1031-0</t>
  </si>
  <si>
    <t>BOA3017_1033</t>
  </si>
  <si>
    <t>Begin=1625.496|KID=1033-0</t>
  </si>
  <si>
    <t>KID=1033-7</t>
  </si>
  <si>
    <t>KID=1033-6</t>
  </si>
  <si>
    <t>BOA3017_1034_1035</t>
  </si>
  <si>
    <t>KID=1034-6</t>
  </si>
  <si>
    <t>KID=1034-5</t>
  </si>
  <si>
    <t>BOA3017_1036_1040</t>
  </si>
  <si>
    <t>KID=1036-5</t>
  </si>
  <si>
    <t>KID=1036-4</t>
  </si>
  <si>
    <t>BOA3017_1042</t>
  </si>
  <si>
    <t>KID=1042-2|OverlappingGroup=183</t>
  </si>
  <si>
    <t>BOA3017_1043</t>
  </si>
  <si>
    <t>KID=1043-2|OverlappingGroup=183</t>
  </si>
  <si>
    <t>KID=1043-10|OverlappingGroup=184</t>
  </si>
  <si>
    <t>BOA3017_1046</t>
  </si>
  <si>
    <t>KID=1046-3</t>
  </si>
  <si>
    <t>opera</t>
  </si>
  <si>
    <t>operare</t>
  </si>
  <si>
    <t>KID=1046-9</t>
  </si>
  <si>
    <t>BOA3017_1047</t>
  </si>
  <si>
    <t>KID=1047-4</t>
  </si>
  <si>
    <t>BOA3017_1049_1050_1052_1053_1056</t>
  </si>
  <si>
    <t>Begin=1648.667|Coconstruct=conj:reform::BOA3017_1048::8|KID=1050-0</t>
  </si>
  <si>
    <t>Begin=1650.025|KID=1052-0</t>
  </si>
  <si>
    <t>entra</t>
  </si>
  <si>
    <t>End=1652.071|KID=1053-2</t>
  </si>
  <si>
    <t>BOA3017_1055</t>
  </si>
  <si>
    <t>immaginavo</t>
  </si>
  <si>
    <t>Begin=1653.229|End=1654.179|KID=1055-0|OverlappingGroup=213|PauseAfter=Yes</t>
  </si>
  <si>
    <t>BOA3017_1057</t>
  </si>
  <si>
    <t>spara'</t>
  </si>
  <si>
    <t>sparare</t>
  </si>
  <si>
    <t>KID=1057-4|Truncated=Yes</t>
  </si>
  <si>
    <t>deve</t>
  </si>
  <si>
    <t>KID=1057-3</t>
  </si>
  <si>
    <t>BOA3017_1060</t>
  </si>
  <si>
    <t>KID=1060-1|OverlappingGroup=186</t>
  </si>
  <si>
    <t>KID=1060-4|OverlappingGroup=186</t>
  </si>
  <si>
    <t>KID=1060-3|OverlappingGroup=186</t>
  </si>
  <si>
    <t>End=1657.366|Intonation=Rising|KID=1060-5|OverlappingGroup=186</t>
  </si>
  <si>
    <t>BOA3017_1062</t>
  </si>
  <si>
    <t>piaccion</t>
  </si>
  <si>
    <t>KID=1062-5|Truncated=Yes</t>
  </si>
  <si>
    <t>BOA3017_1066</t>
  </si>
  <si>
    <t>KID=1066-4</t>
  </si>
  <si>
    <t>BOA3017_1067</t>
  </si>
  <si>
    <t>KID=1067-8</t>
  </si>
  <si>
    <t>KID=1067-7</t>
  </si>
  <si>
    <t>BOA3017_1075</t>
  </si>
  <si>
    <t>KID=1075-2</t>
  </si>
  <si>
    <t>KID=1075-1</t>
  </si>
  <si>
    <t>KID=1075-7a</t>
  </si>
  <si>
    <t>KID=1075-6</t>
  </si>
  <si>
    <t>BOA3017_1076</t>
  </si>
  <si>
    <t>Begin=1675.442|KID=1076-0</t>
  </si>
  <si>
    <t>KID=1076-3</t>
  </si>
  <si>
    <t>BOA3017_1077</t>
  </si>
  <si>
    <t>piglia</t>
  </si>
  <si>
    <t>KID=1077-3</t>
  </si>
  <si>
    <t>incazzare</t>
  </si>
  <si>
    <t>KID=1077-12</t>
  </si>
  <si>
    <t>BOA3017_1083_1084_1085</t>
  </si>
  <si>
    <t>KID=1084-4|PaceFast=Yes</t>
  </si>
  <si>
    <t>KID=1084-9</t>
  </si>
  <si>
    <t>KID=1084-8|Truncated=Yes</t>
  </si>
  <si>
    <t>KID=1084-18</t>
  </si>
  <si>
    <t>KID=1084-17</t>
  </si>
  <si>
    <t>End=1690.608|KID=1084-26</t>
  </si>
  <si>
    <t>KID=1085-4</t>
  </si>
  <si>
    <t>BOA3017_1087_1091</t>
  </si>
  <si>
    <t>KID=1087-4|OverlappingGroup=190</t>
  </si>
  <si>
    <t>nata</t>
  </si>
  <si>
    <t>nascere</t>
  </si>
  <si>
    <t>KID=1087-13</t>
  </si>
  <si>
    <t>KID=1087-12</t>
  </si>
  <si>
    <t>End=1696.59|KID=1087-14|OverlappingGroup=191</t>
  </si>
  <si>
    <t>KID=1091-5</t>
  </si>
  <si>
    <t>KID=1091-4</t>
  </si>
  <si>
    <t>BOA3017_1092_1094</t>
  </si>
  <si>
    <t>KID=1092-8</t>
  </si>
  <si>
    <t>KID=1092-7</t>
  </si>
  <si>
    <t>ridere</t>
  </si>
  <si>
    <t>KID=1092-9</t>
  </si>
  <si>
    <t>KID=1094-2</t>
  </si>
  <si>
    <t>KID=1094-1</t>
  </si>
  <si>
    <t>KID=1094-6</t>
  </si>
  <si>
    <t>KID=1094-5</t>
  </si>
  <si>
    <t>KID=1094-14</t>
  </si>
  <si>
    <t>KID=1094-13</t>
  </si>
  <si>
    <t>fat</t>
  </si>
  <si>
    <t>KID=1094-15a</t>
  </si>
  <si>
    <t>BOA3017_1097</t>
  </si>
  <si>
    <t>Coconstruct=parataxis::BOA3017_1092_1094::29|End=1710.336|KID=1097-4|OverlappingGroup=192</t>
  </si>
  <si>
    <t>BOA3017_1098</t>
  </si>
  <si>
    <t>riso</t>
  </si>
  <si>
    <t>End=1711.169|KID=1098-3</t>
  </si>
  <si>
    <t>KID=1098-2</t>
  </si>
  <si>
    <t>BOA3017_1103</t>
  </si>
  <si>
    <t>Intonation=Rising|KID=1103-1|Prolonged=Yes|Volume=high</t>
  </si>
  <si>
    <t>End=1721.21|KID=1103-3|OverlappingGroup=193|Prolonged=Yes</t>
  </si>
  <si>
    <t>KID=1103-2</t>
  </si>
  <si>
    <t>BOA3017_1106_1108_1110</t>
  </si>
  <si>
    <t>KID=1108-8</t>
  </si>
  <si>
    <t>KID=1108-7</t>
  </si>
  <si>
    <t>BOA3017_1107</t>
  </si>
  <si>
    <t>Begin=1726.25|KID=1107-0</t>
  </si>
  <si>
    <t>End=1726.692|KID=1107-1</t>
  </si>
  <si>
    <t>BOA3017_1111_1112_1113</t>
  </si>
  <si>
    <t>Begin=1734.635|KID=1112-0</t>
  </si>
  <si>
    <t>KID=1113-2</t>
  </si>
  <si>
    <t>End=1737.618|KID=1113-5|OverlappingGroup=195</t>
  </si>
  <si>
    <t>BOA3017_1114_1116_split1</t>
  </si>
  <si>
    <t>conosce</t>
  </si>
  <si>
    <t>KID=1114-4</t>
  </si>
  <si>
    <t>BOA3017_1115</t>
  </si>
  <si>
    <t>Backchannel=BOA3017_1114_1116::3|End=1739.339|Intonation=Rising|KID=1115-2|OverlappingGroup=196</t>
  </si>
  <si>
    <t>BOA3017_1120</t>
  </si>
  <si>
    <t>KID=1120-3</t>
  </si>
  <si>
    <t>BOA3017_1121</t>
  </si>
  <si>
    <t>cerco</t>
  </si>
  <si>
    <t>End=1746.524|KID=1121-3</t>
  </si>
  <si>
    <t>BOA3017_1127</t>
  </si>
  <si>
    <t>KID=1127-3|OverlappingGroup=197</t>
  </si>
  <si>
    <t>BOA3017_1128_1130</t>
  </si>
  <si>
    <t>conosciuta</t>
  </si>
  <si>
    <t>Coconstruct=conj:reform::BOA3017_1126::1|KID=1128-2|OverlappingGroup=197</t>
  </si>
  <si>
    <t>KID=1128-1|OverlappingGroup=197</t>
  </si>
  <si>
    <t>studia</t>
  </si>
  <si>
    <t>End=1752.747|KID=1128-6|OverlappingGroup=197|Prolonged=Yes</t>
  </si>
  <si>
    <t>BOA3017_1134</t>
  </si>
  <si>
    <t>Interrupted=Yes|KID=1134-1|Prolonged=Yes|ProsodicLink=Yes|Truncated=Yes</t>
  </si>
  <si>
    <t>Begin=1758.581|KID=1134-0</t>
  </si>
  <si>
    <t>BOA3017_1135</t>
  </si>
  <si>
    <t>KID=1135-1</t>
  </si>
  <si>
    <t>BOA3017_1137</t>
  </si>
  <si>
    <t>KID=1137-5|Truncated=Yes</t>
  </si>
  <si>
    <t>KID=1137-9|PaceFast=Yes</t>
  </si>
  <si>
    <t>KID=1137-11|PaceFast=Yes</t>
  </si>
  <si>
    <t>BOA3017_1138</t>
  </si>
  <si>
    <t>KID=1138-1|OverlappingGroup=199</t>
  </si>
  <si>
    <t>BOA3017_1139</t>
  </si>
  <si>
    <t>rimasto</t>
  </si>
  <si>
    <t>KID=1139-1|OverlappingGroup=200</t>
  </si>
  <si>
    <t>Begin=1771.497|KID=1139-0</t>
  </si>
  <si>
    <t>BOA3017_1140</t>
  </si>
  <si>
    <t>KID=1140-1|OverlappingGroup=200</t>
  </si>
  <si>
    <t>trasferir</t>
  </si>
  <si>
    <t>KID=1140-2a</t>
  </si>
  <si>
    <t>BOA3017_1141</t>
  </si>
  <si>
    <t>KID=1141-5</t>
  </si>
  <si>
    <t>BOA3017_1146</t>
  </si>
  <si>
    <t>KID=1146-1|PaceFast=Yes</t>
  </si>
  <si>
    <t>Begin=1785.023|KID=1146-0|PaceFast=Yes</t>
  </si>
  <si>
    <t>BOA3017_1151_1152</t>
  </si>
  <si>
    <t>Begin=1793.21|KID=1151-0</t>
  </si>
  <si>
    <t>BOA3017_1153</t>
  </si>
  <si>
    <t>KID=1153-3</t>
  </si>
  <si>
    <t>BOA3017_1156_1157</t>
  </si>
  <si>
    <t>KID=1157-4</t>
  </si>
  <si>
    <t>KID=1157-3</t>
  </si>
  <si>
    <t>BOA3017_1158</t>
  </si>
  <si>
    <t>scansare</t>
  </si>
  <si>
    <t>Coconstruct=parataxis::BOA3017_1156_1157::11|End=1805.506|KID=1158-4</t>
  </si>
  <si>
    <t>KID=1158-3</t>
  </si>
  <si>
    <t>BOA3017_1160</t>
  </si>
  <si>
    <t>End=1806.518|KID=1160-3</t>
  </si>
  <si>
    <t>BOA3017_1163_1164_1165_1166_1167_1168</t>
  </si>
  <si>
    <t>Begin=1809.18|KID=1163-0|PaceFast=Yes</t>
  </si>
  <si>
    <t>KID=1163-3|PaceFast=Yes</t>
  </si>
  <si>
    <t>KID=1165-1</t>
  </si>
  <si>
    <t>Begin=1812.129|KID=1165-0</t>
  </si>
  <si>
    <t>KID=1165-5</t>
  </si>
  <si>
    <t>KID=1165-7</t>
  </si>
  <si>
    <t>BOA3017_1169</t>
  </si>
  <si>
    <t>End=1817.683|Intonation=Rising|KID=1169-3</t>
  </si>
  <si>
    <t>BOA3017_1171</t>
  </si>
  <si>
    <t>KID=1171-1|OverlappingGroup=204</t>
  </si>
  <si>
    <t>BOA3017_1172</t>
  </si>
  <si>
    <t>KID=1172-2|OverlappingGroup=204</t>
  </si>
  <si>
    <t>BOA1008_0</t>
  </si>
  <si>
    <t>Begin=4.0|End=4.396|Intonation=Falling|KID=0-0</t>
  </si>
  <si>
    <t>BOA1008_2</t>
  </si>
  <si>
    <t>KID=2-1</t>
  </si>
  <si>
    <t>KID=2-8</t>
  </si>
  <si>
    <t>BOA1008_5_6</t>
  </si>
  <si>
    <t>KID=5-11</t>
  </si>
  <si>
    <t>KID=5-10</t>
  </si>
  <si>
    <t>dovuto</t>
  </si>
  <si>
    <t>KID=6-4</t>
  </si>
  <si>
    <t>avrei</t>
  </si>
  <si>
    <t>BOA1008_10</t>
  </si>
  <si>
    <t>posticipato</t>
  </si>
  <si>
    <t>posticipare</t>
  </si>
  <si>
    <t>KID=10-2</t>
  </si>
  <si>
    <t>KID=10-1</t>
  </si>
  <si>
    <t>KID=10-4</t>
  </si>
  <si>
    <t>BOA1008_11</t>
  </si>
  <si>
    <t>KID=11-2|OverlappingGroup=2|Volume=low</t>
  </si>
  <si>
    <t>BOA1008_12</t>
  </si>
  <si>
    <t>End=28.488|Intonation=Rising|KID=12-2|OverlappingGroup=3|Volume=low</t>
  </si>
  <si>
    <t>BOA1008_14</t>
  </si>
  <si>
    <t>KID=14-3</t>
  </si>
  <si>
    <t>KID=14-2</t>
  </si>
  <si>
    <t>BOA1008_16</t>
  </si>
  <si>
    <t>conclus~</t>
  </si>
  <si>
    <t>concludere</t>
  </si>
  <si>
    <t>Interrupted=Yes|KID=16-3</t>
  </si>
  <si>
    <t>KID=16-2</t>
  </si>
  <si>
    <t>laurea</t>
  </si>
  <si>
    <t>laureare</t>
  </si>
  <si>
    <t>KID=16-5</t>
  </si>
  <si>
    <t>BOA1008_20</t>
  </si>
  <si>
    <t>Begin=36.936|KID=20-0</t>
  </si>
  <si>
    <t>BOA1008_21_22</t>
  </si>
  <si>
    <t>End=39.73|KID=21-3|Prolonged=Yes</t>
  </si>
  <si>
    <t>risposto</t>
  </si>
  <si>
    <t>rispondere</t>
  </si>
  <si>
    <t>KID=22-2</t>
  </si>
  <si>
    <t>BOA1008_24</t>
  </si>
  <si>
    <t>KID=24-4|OverlappingGroup=7,8|Prolonged=Yes</t>
  </si>
  <si>
    <t>KID=24-3|OverlappingGroup=7</t>
  </si>
  <si>
    <t>KID=24-10|OverlappingGroup=8</t>
  </si>
  <si>
    <t>KID=24-9|OverlappingGroup=8</t>
  </si>
  <si>
    <t>BOA1008_31_32</t>
  </si>
  <si>
    <t>manda</t>
  </si>
  <si>
    <t>KID=31-1</t>
  </si>
  <si>
    <t>KID=32-1</t>
  </si>
  <si>
    <t>BOA1008_36</t>
  </si>
  <si>
    <t>KID=36-3|OverlappingGroup=13</t>
  </si>
  <si>
    <t>KID=36-2|OverlappingGroup=13</t>
  </si>
  <si>
    <t>caricare</t>
  </si>
  <si>
    <t>KID=36-7|Prolonged=Yes</t>
  </si>
  <si>
    <t>KID=36-6</t>
  </si>
  <si>
    <t>BOA1008_37</t>
  </si>
  <si>
    <t>mando</t>
  </si>
  <si>
    <t>mare</t>
  </si>
  <si>
    <t>KID=37-2|OverlappingGroup=13|Volume=low</t>
  </si>
  <si>
    <t>BOA1008_41</t>
  </si>
  <si>
    <t>KID=41-3|Prolonged=Yes</t>
  </si>
  <si>
    <t>concluso</t>
  </si>
  <si>
    <t>Intonation=WeaklyRising|KID=41-7</t>
  </si>
  <si>
    <t>KID=41-6</t>
  </si>
  <si>
    <t>BOA1008_42</t>
  </si>
  <si>
    <t>KID=42-1</t>
  </si>
  <si>
    <t>BOA1008_43</t>
  </si>
  <si>
    <t>consideri</t>
  </si>
  <si>
    <t>considerare</t>
  </si>
  <si>
    <t>KID=43-2|OverlappingGroup=16|Prolonged=Yes</t>
  </si>
  <si>
    <t>BOA1008_46_47_48</t>
  </si>
  <si>
    <t>Begin=76.2|Coconstruct=repair::BOA1008_43::2|KID=46-0</t>
  </si>
  <si>
    <t>saremo</t>
  </si>
  <si>
    <t>KID=47-5</t>
  </si>
  <si>
    <t>impegnate</t>
  </si>
  <si>
    <t>KID=47-7</t>
  </si>
  <si>
    <t>BOA1008_49</t>
  </si>
  <si>
    <t>Begin=88.975|KID=49-0</t>
  </si>
  <si>
    <t>BOA1008_50</t>
  </si>
  <si>
    <t>KID=50-8</t>
  </si>
  <si>
    <t>Intonation=Falling|KID=50-12</t>
  </si>
  <si>
    <t>tranquillo</t>
  </si>
  <si>
    <t>tranquillare</t>
  </si>
  <si>
    <t>KID=50-17</t>
  </si>
  <si>
    <t>KID=50-21</t>
  </si>
  <si>
    <t>KID=50-19</t>
  </si>
  <si>
    <t>BOA1008_53</t>
  </si>
  <si>
    <t>KID=53-3</t>
  </si>
  <si>
    <t>KID=53-2</t>
  </si>
  <si>
    <t>BOA1008_55</t>
  </si>
  <si>
    <t>Begin=103.635|KID=55-0</t>
  </si>
  <si>
    <t>BOA1008_60_61</t>
  </si>
  <si>
    <t>comunicato</t>
  </si>
  <si>
    <t>KID=60-1</t>
  </si>
  <si>
    <t>KID=61-1</t>
  </si>
  <si>
    <t>BOA1008_66</t>
  </si>
  <si>
    <t>comunicherò</t>
  </si>
  <si>
    <t>comunicherare</t>
  </si>
  <si>
    <t>End=130.779|Intonation=WeaklyRising|KID=66-1|OverlappingGroup=25</t>
  </si>
  <si>
    <t>BOA1008_67</t>
  </si>
  <si>
    <t>collocar</t>
  </si>
  <si>
    <t>collocare</t>
  </si>
  <si>
    <t>KID=67-5a</t>
  </si>
  <si>
    <t>dovessero</t>
  </si>
  <si>
    <t>KID=67-4</t>
  </si>
  <si>
    <t>manderò</t>
  </si>
  <si>
    <t>manderare</t>
  </si>
  <si>
    <t>KID=67-7</t>
  </si>
  <si>
    <t>KID=67-12|OverlappingGroup=26</t>
  </si>
  <si>
    <t>BOA1008_69</t>
  </si>
  <si>
    <t>riescono</t>
  </si>
  <si>
    <t>inserire</t>
  </si>
  <si>
    <t>KID=69-5</t>
  </si>
  <si>
    <t>BOA1008_70</t>
  </si>
  <si>
    <t>Begin=143.724|KID=70-0</t>
  </si>
  <si>
    <t>BOA1008_71</t>
  </si>
  <si>
    <t>Begin=144.44|KID=71-0</t>
  </si>
  <si>
    <t>BOA1008_75</t>
  </si>
  <si>
    <t>arriveder</t>
  </si>
  <si>
    <t>arrivedere</t>
  </si>
  <si>
    <t>KID=75-0a</t>
  </si>
  <si>
    <t>BOA1003_0</t>
  </si>
  <si>
    <t>KID=0-2</t>
  </si>
  <si>
    <t>concordare</t>
  </si>
  <si>
    <t>KID=0-5</t>
  </si>
  <si>
    <t>KID=0-4</t>
  </si>
  <si>
    <t>BOA1003_1</t>
  </si>
  <si>
    <t>End=4.78|KID=1-6|Prolonged=Yes</t>
  </si>
  <si>
    <t>KID=1-5</t>
  </si>
  <si>
    <t>BOA1003_2</t>
  </si>
  <si>
    <t>Begin=4.95|KID=2-0</t>
  </si>
  <si>
    <t>BOA1003_7_8</t>
  </si>
  <si>
    <t>KID=7-3</t>
  </si>
  <si>
    <t>riguarda</t>
  </si>
  <si>
    <t>riguardare</t>
  </si>
  <si>
    <t>KID=8-3</t>
  </si>
  <si>
    <t>BOA1003_13_14</t>
  </si>
  <si>
    <t>KID=13-4</t>
  </si>
  <si>
    <t>KID=13-3</t>
  </si>
  <si>
    <t>svolto</t>
  </si>
  <si>
    <t>svogliere</t>
  </si>
  <si>
    <t>KID=14-6|OverlappingGroup=7|Volume=low</t>
  </si>
  <si>
    <t>KID=14-4</t>
  </si>
  <si>
    <t>BOA1003_17</t>
  </si>
  <si>
    <t>fatte</t>
  </si>
  <si>
    <t>KID=17-3|OverlappingGroup=8</t>
  </si>
  <si>
    <t>KID=17-2|OverlappingGroup=8</t>
  </si>
  <si>
    <t>BOA1003_19</t>
  </si>
  <si>
    <t>KID=19-4</t>
  </si>
  <si>
    <t>BOA1003_21</t>
  </si>
  <si>
    <t>KID=21-8</t>
  </si>
  <si>
    <t>KID=21-11</t>
  </si>
  <si>
    <t>KID=21-15</t>
  </si>
  <si>
    <t>dovrei</t>
  </si>
  <si>
    <t>KID=21-14</t>
  </si>
  <si>
    <t>verbalizzare</t>
  </si>
  <si>
    <t>KID=21-18</t>
  </si>
  <si>
    <t>KID=21-22</t>
  </si>
  <si>
    <t>avre</t>
  </si>
  <si>
    <t>KID=21-25</t>
  </si>
  <si>
    <t>BOA1003_22</t>
  </si>
  <si>
    <t>riusciamo</t>
  </si>
  <si>
    <t>BOA1003_24</t>
  </si>
  <si>
    <t>finisce</t>
  </si>
  <si>
    <t>KID=24-4|OverlappingGroup=12</t>
  </si>
  <si>
    <t>BOA1003_27</t>
  </si>
  <si>
    <t>riesco</t>
  </si>
  <si>
    <t>KID=27-2|PaceFast=Yes</t>
  </si>
  <si>
    <t>KID=27-4|PaceFast=Yes</t>
  </si>
  <si>
    <t>perderei</t>
  </si>
  <si>
    <t>KID=27-7|PaceFast=Yes</t>
  </si>
  <si>
    <t>KID=27-17|PaceFast=Yes</t>
  </si>
  <si>
    <t>BOA1003_29_30</t>
  </si>
  <si>
    <t>dispiace</t>
  </si>
  <si>
    <t>dispiacere</t>
  </si>
  <si>
    <t>KID=29-1|PaceFast=Yes</t>
  </si>
  <si>
    <t>riuscirei</t>
  </si>
  <si>
    <t>Begin=55.388|KID=30-0|PaceFast=Yes</t>
  </si>
  <si>
    <t>BOA1003_31</t>
  </si>
  <si>
    <t>scrivare</t>
  </si>
  <si>
    <t>End=57.552|Intonation=Falling|KID=31-3</t>
  </si>
  <si>
    <t>BOA1003_32</t>
  </si>
  <si>
    <t>KID=32-9</t>
  </si>
  <si>
    <t>KID=32-11</t>
  </si>
  <si>
    <t>BOA1003_33</t>
  </si>
  <si>
    <t>End=66.215|Intonation=Falling|KID=33-3|OverlappingGroup=17</t>
  </si>
  <si>
    <t>BOA1003_34</t>
  </si>
  <si>
    <t>Begin=65.78|KID=34-0|OverlappingGroup=17|Volume=low</t>
  </si>
  <si>
    <t>BOA1003_35</t>
  </si>
  <si>
    <t>KID=35-1</t>
  </si>
  <si>
    <t>BOA1003_36</t>
  </si>
  <si>
    <t>KID=36-17|OverlappingGroup=19|PaceSlow=Yes</t>
  </si>
  <si>
    <t>BOA1003_37</t>
  </si>
  <si>
    <t>scelgo</t>
  </si>
  <si>
    <t>KID=37-1|OverlappingGroup=19</t>
  </si>
  <si>
    <t>sostituisco</t>
  </si>
  <si>
    <t>sostituire</t>
  </si>
  <si>
    <t>End=74.812|Intonation=WeaklyRising|KID=37-6|OverlappingGroup=20</t>
  </si>
  <si>
    <t>BOA1003_38</t>
  </si>
  <si>
    <t>riguardano</t>
  </si>
  <si>
    <t>KID=38-1</t>
  </si>
  <si>
    <t>BOA1003_41</t>
  </si>
  <si>
    <t>KID=41-3</t>
  </si>
  <si>
    <t>BOA1003_45</t>
  </si>
  <si>
    <t>comprende</t>
  </si>
  <si>
    <t>KID=45-3|OverlappingGroup=24</t>
  </si>
  <si>
    <t>sarebbe</t>
  </si>
  <si>
    <t>KID=45-14</t>
  </si>
  <si>
    <t>BOA1003_51</t>
  </si>
  <si>
    <t>consiste</t>
  </si>
  <si>
    <t>consistere</t>
  </si>
  <si>
    <t>Intonation=WeaklyRising|KID=51-4|PauseAfter=Yes</t>
  </si>
  <si>
    <t>descritto</t>
  </si>
  <si>
    <t>descrivere</t>
  </si>
  <si>
    <t>KID=51-8</t>
  </si>
  <si>
    <t>BOA1003_53</t>
  </si>
  <si>
    <t>verrei</t>
  </si>
  <si>
    <t>KID=53-7|PaceFast=Yes</t>
  </si>
  <si>
    <t>portando</t>
  </si>
  <si>
    <t>KID=53-11|OverlappingGroup=30|PaceFast=Yes</t>
  </si>
  <si>
    <t>BOA1003_54</t>
  </si>
  <si>
    <t>Begin=98.696|KID=54-0|OverlappingGroup=29</t>
  </si>
  <si>
    <t>BOA1003_57</t>
  </si>
  <si>
    <t>iscrive</t>
  </si>
  <si>
    <t>iscrivere</t>
  </si>
  <si>
    <t>KID=57-2|OverlappingGroup=32|PaceSlow=Yes|Volume=low</t>
  </si>
  <si>
    <t>BOA1003_59</t>
  </si>
  <si>
    <t>End=102.9|Intonation=Falling|KID=59-1|OverlappingGroup=32</t>
  </si>
  <si>
    <t>BOA1003_60</t>
  </si>
  <si>
    <t>iscrivo</t>
  </si>
  <si>
    <t>iscrire</t>
  </si>
  <si>
    <t>KID=60-6</t>
  </si>
  <si>
    <t>KID=60-11</t>
  </si>
  <si>
    <t>KID=60-16</t>
  </si>
  <si>
    <t>BOA1003_61</t>
  </si>
  <si>
    <t>Begin=106.81|KID=61-0|OverlappingGroup=34</t>
  </si>
  <si>
    <t>BOA1003_62</t>
  </si>
  <si>
    <t>KID=62-2</t>
  </si>
  <si>
    <t>predere</t>
  </si>
  <si>
    <t>End=109.094|Intonation=Falling|KID=62-6|OverlappingGroup=35</t>
  </si>
  <si>
    <t>KID=62-5|OverlappingGroup=35</t>
  </si>
  <si>
    <t>BOA1003_65</t>
  </si>
  <si>
    <t>Intonation=Falling|KID=65-2|OverlappingGroup=36</t>
  </si>
  <si>
    <t>KID=65-4a</t>
  </si>
  <si>
    <t>BOA1003_66</t>
  </si>
  <si>
    <t>KID=66-0a</t>
  </si>
  <si>
    <t>BOA1009_0</t>
  </si>
  <si>
    <t>Begin=3.17|KID=0-0</t>
  </si>
  <si>
    <t>KID=0-7</t>
  </si>
  <si>
    <t>BOA1009_1_2</t>
  </si>
  <si>
    <t>chieder</t>
  </si>
  <si>
    <t>KID=2-4a</t>
  </si>
  <si>
    <t>KID=2-7</t>
  </si>
  <si>
    <t>voleva</t>
  </si>
  <si>
    <t>KID=2-6</t>
  </si>
  <si>
    <t>KID=2-11</t>
  </si>
  <si>
    <t>BOA1009_4</t>
  </si>
  <si>
    <t>KID=4-1a</t>
  </si>
  <si>
    <t>Begin=17.54|KID=4-0</t>
  </si>
  <si>
    <t>BOA1009_9</t>
  </si>
  <si>
    <t>chiesto</t>
  </si>
  <si>
    <t>KID=9-2</t>
  </si>
  <si>
    <t>KID=9-1</t>
  </si>
  <si>
    <t>KID=9-8</t>
  </si>
  <si>
    <t>KID=9-7</t>
  </si>
  <si>
    <t>occupava</t>
  </si>
  <si>
    <t>occupare</t>
  </si>
  <si>
    <t>KID=9-11</t>
  </si>
  <si>
    <t>BOA1009_10_11</t>
  </si>
  <si>
    <t>fanno</t>
  </si>
  <si>
    <t>BOA1009_12</t>
  </si>
  <si>
    <t>BOA1009_13</t>
  </si>
  <si>
    <t>KID=13-1</t>
  </si>
  <si>
    <t>Begin=42.478|KID=13-0</t>
  </si>
  <si>
    <t>accettato</t>
  </si>
  <si>
    <t>accettare</t>
  </si>
  <si>
    <t>KID=13-8</t>
  </si>
  <si>
    <t>KID=13-7</t>
  </si>
  <si>
    <t>BOA1009_21_23</t>
  </si>
  <si>
    <t>KID=21-2|OverlappingGroup=8</t>
  </si>
  <si>
    <t>KID=21-7</t>
  </si>
  <si>
    <t>KID=23-1</t>
  </si>
  <si>
    <t>Begin=62.11|KID=23-0</t>
  </si>
  <si>
    <t>seguir</t>
  </si>
  <si>
    <t>seguire</t>
  </si>
  <si>
    <t>KID=23-4a</t>
  </si>
  <si>
    <t>KID=23-3</t>
  </si>
  <si>
    <t>BOA1009_24_27</t>
  </si>
  <si>
    <t>firmare</t>
  </si>
  <si>
    <t>KID=24-4</t>
  </si>
  <si>
    <t>KID=24-3</t>
  </si>
  <si>
    <t>indirizzato</t>
  </si>
  <si>
    <t>indirizzare</t>
  </si>
  <si>
    <t>KID=24-15</t>
  </si>
  <si>
    <t>BOA1009_29</t>
  </si>
  <si>
    <t>seguito</t>
  </si>
  <si>
    <t>seguere</t>
  </si>
  <si>
    <t>KID=29-3</t>
  </si>
  <si>
    <t>BOA1009_31</t>
  </si>
  <si>
    <t>KID=31-4|OverlappingGroup=14</t>
  </si>
  <si>
    <t>KID=31-2|OverlappingGroup=14</t>
  </si>
  <si>
    <t>leggere</t>
  </si>
  <si>
    <t>KID=31-8</t>
  </si>
  <si>
    <t>BOA1009_32</t>
  </si>
  <si>
    <t>pensava</t>
  </si>
  <si>
    <t>KID=32-3|OverlappingGroup=15</t>
  </si>
  <si>
    <t>BOA1009_33</t>
  </si>
  <si>
    <t>KID=33-1|OverlappingGroup=15</t>
  </si>
  <si>
    <t>BOA1009_38</t>
  </si>
  <si>
    <t>KID=38-2</t>
  </si>
  <si>
    <t>aiutare</t>
  </si>
  <si>
    <t>End=90.101|KID=38-5|Prolonged=Yes</t>
  </si>
  <si>
    <t>poter</t>
  </si>
  <si>
    <t>KID=38-4a</t>
  </si>
  <si>
    <t>BOA1009_39</t>
  </si>
  <si>
    <t>KID=39-10</t>
  </si>
  <si>
    <t>BOA1009_41</t>
  </si>
  <si>
    <t>KID=41-8|OverlappingGroup=19</t>
  </si>
  <si>
    <t>BOA1009_46</t>
  </si>
  <si>
    <t>Begin=105.683|KID=46-0</t>
  </si>
  <si>
    <t>coperta</t>
  </si>
  <si>
    <t>coprire</t>
  </si>
  <si>
    <t>End=109.643|Intonation=Falling|KID=46-11</t>
  </si>
  <si>
    <t>BOA1009_48_50</t>
  </si>
  <si>
    <t>professoressa</t>
  </si>
  <si>
    <t>professoressare</t>
  </si>
  <si>
    <t>KID=48-8</t>
  </si>
  <si>
    <t>KID=48-24</t>
  </si>
  <si>
    <t>KID=48-23</t>
  </si>
  <si>
    <t>BOA1009_51_53</t>
  </si>
  <si>
    <t>imparato</t>
  </si>
  <si>
    <t>imparare</t>
  </si>
  <si>
    <t>KID=53-1|OverlappingGroup=27</t>
  </si>
  <si>
    <t>Begin=120.971|KID=53-0|OverlappingGroup=27</t>
  </si>
  <si>
    <t>End=120.711|KID=51-4|OverlappingGroup=26|Prolonged=Yes</t>
  </si>
  <si>
    <t>KID=51-1|OverlappingGroup=25|PauseAfter=Yes|Prolonged=Yes</t>
  </si>
  <si>
    <t>BOA1009_52</t>
  </si>
  <si>
    <t>KID=52-1|OverlappingGroup=26,27|Prolonged=Yes</t>
  </si>
  <si>
    <t>Begin=120.445|KID=52-0|OverlappingGroup=26</t>
  </si>
  <si>
    <t>figere</t>
  </si>
  <si>
    <t>KID=52-9</t>
  </si>
  <si>
    <t>KID=52-8</t>
  </si>
  <si>
    <t>finito</t>
  </si>
  <si>
    <t>KID=52-16</t>
  </si>
  <si>
    <t>KID=52-15</t>
  </si>
  <si>
    <t>BOA1009_55_57</t>
  </si>
  <si>
    <t>KID=55-2</t>
  </si>
  <si>
    <t>KID=55-1</t>
  </si>
  <si>
    <t>KID=55-16</t>
  </si>
  <si>
    <t>BOA1009_58</t>
  </si>
  <si>
    <t>KID=58-1</t>
  </si>
  <si>
    <t>BOA1009_61</t>
  </si>
  <si>
    <t>KID=61-2</t>
  </si>
  <si>
    <t>BOA1009_62</t>
  </si>
  <si>
    <t>KID=62-2|OverlappingGroup=31</t>
  </si>
  <si>
    <t>BOA1009_63</t>
  </si>
  <si>
    <t>KID=63-4</t>
  </si>
  <si>
    <t>KID=63-11</t>
  </si>
  <si>
    <t>KID=63-10</t>
  </si>
  <si>
    <t>intervistando</t>
  </si>
  <si>
    <t>intervistare</t>
  </si>
  <si>
    <t>KID=63-16a</t>
  </si>
  <si>
    <t>BOA1009_69_70_71</t>
  </si>
  <si>
    <t>KID=70-11</t>
  </si>
  <si>
    <t>KID=71-3</t>
  </si>
  <si>
    <t>KID=71-10</t>
  </si>
  <si>
    <t>BOA1009_74_75</t>
  </si>
  <si>
    <t>BOA1009_76</t>
  </si>
  <si>
    <t>KID=76-1|OverlappingGroup=39</t>
  </si>
  <si>
    <t>conore</t>
  </si>
  <si>
    <t>KID=76-4</t>
  </si>
  <si>
    <t>KID=76-12</t>
  </si>
  <si>
    <t>KID=76-11</t>
  </si>
  <si>
    <t>BOA1009_77</t>
  </si>
  <si>
    <t>KID=77-2|OverlappingGroup=40</t>
  </si>
  <si>
    <t>KID=77-1|OverlappingGroup=40</t>
  </si>
  <si>
    <t>End=180.426|Intonation=Falling|KID=77-3|OverlappingGroup=40</t>
  </si>
  <si>
    <t>BOA1009_78</t>
  </si>
  <si>
    <t>Coconstruct=conj:reform::BOA1009_77::3|KID=78-2|OverlappingGroup=41</t>
  </si>
  <si>
    <t>KID=78-1</t>
  </si>
  <si>
    <t>KID=78-3|OverlappingGroup=41</t>
  </si>
  <si>
    <t>BOA1009_79</t>
  </si>
  <si>
    <t>KID=79-10|OverlappingGroup=42</t>
  </si>
  <si>
    <t>KID=79-9|OverlappingGroup=42</t>
  </si>
  <si>
    <t>BOA1009_80</t>
  </si>
  <si>
    <t>Coconstruct=conj:reform::BOA1009_79::12|Intonation=WeaklyRising|KID=80-2|OverlappingGroup=42</t>
  </si>
  <si>
    <t>KID=80-1|OverlappingGroup=42</t>
  </si>
  <si>
    <t>BOA1009_81</t>
  </si>
  <si>
    <t>letto</t>
  </si>
  <si>
    <t>KID=81-3|OverlappingGroup=43</t>
  </si>
  <si>
    <t>KID=81-2|OverlappingGroup=43</t>
  </si>
  <si>
    <t>BOA1009_82_84</t>
  </si>
  <si>
    <t>KID=82-3|OverlappingGroup=44</t>
  </si>
  <si>
    <t>BOA1009_85</t>
  </si>
  <si>
    <t>KID=85-3a</t>
  </si>
  <si>
    <t>KID=85-2</t>
  </si>
  <si>
    <t>BOA1009_86</t>
  </si>
  <si>
    <t>seguirre</t>
  </si>
  <si>
    <t>KID=86-6a</t>
  </si>
  <si>
    <t>KID=86-5</t>
  </si>
  <si>
    <t>KID=86-10</t>
  </si>
  <si>
    <t>KID=86-9</t>
  </si>
  <si>
    <t>BOA1009_88</t>
  </si>
  <si>
    <t>KID=88-5|OverlappingGroup=46</t>
  </si>
  <si>
    <t>End=202.267|KID=88-8|OverlappingGroup=48|Prolonged=Yes</t>
  </si>
  <si>
    <t>BOA1009_89_91</t>
  </si>
  <si>
    <t>End=207.579|Intonation=Falling|KID=91-6</t>
  </si>
  <si>
    <t>potrò</t>
  </si>
  <si>
    <t>KID=91-5|Prolonged=Yes</t>
  </si>
  <si>
    <t>BOA1009_92</t>
  </si>
  <si>
    <t>KID=92-3</t>
  </si>
  <si>
    <t>End=211.719|KID=92-9|OverlappingGroup=50|Prolonged=Yes</t>
  </si>
  <si>
    <t>KID=92-8</t>
  </si>
  <si>
    <t>BOA1009_93</t>
  </si>
  <si>
    <t>messe</t>
  </si>
  <si>
    <t>KID=93-13|OverlappingGroup=51</t>
  </si>
  <si>
    <t>KID=93-6</t>
  </si>
  <si>
    <t>BOA1009_94</t>
  </si>
  <si>
    <t>KID=94-4|OverlappingGroup=51</t>
  </si>
  <si>
    <t>KID=94-2|OverlappingGroup=51</t>
  </si>
  <si>
    <t>seguirebbe</t>
  </si>
  <si>
    <t>BOA1009_97_99</t>
  </si>
  <si>
    <t>KID=97-4</t>
  </si>
  <si>
    <t>KID=97-2</t>
  </si>
  <si>
    <t>KID=97-12</t>
  </si>
  <si>
    <t>KID=97-11</t>
  </si>
  <si>
    <t>KID=99-7</t>
  </si>
  <si>
    <t>KID=99-13</t>
  </si>
  <si>
    <t>KID=99-18</t>
  </si>
  <si>
    <t>BOA1009_101_104_105</t>
  </si>
  <si>
    <t>End=250.301|Intonation=WeaklyRising|KID=104-16</t>
  </si>
  <si>
    <t>KID=104-6</t>
  </si>
  <si>
    <t>BOA1009_111_112</t>
  </si>
  <si>
    <t>KID=112-1</t>
  </si>
  <si>
    <t>potrebbe</t>
  </si>
  <si>
    <t>Begin=268.675|KID=112-0</t>
  </si>
  <si>
    <t>BOA1009_114</t>
  </si>
  <si>
    <t>interessa</t>
  </si>
  <si>
    <t>interessare</t>
  </si>
  <si>
    <t>KID=114-1</t>
  </si>
  <si>
    <t>KID=114-2</t>
  </si>
  <si>
    <t>End=277.305|Intonation=WeaklyRising|KID=114-10|OverlappingGroup=60</t>
  </si>
  <si>
    <t>BOA1009_116</t>
  </si>
  <si>
    <t>contattato</t>
  </si>
  <si>
    <t>contattare</t>
  </si>
  <si>
    <t>KID=116-4</t>
  </si>
  <si>
    <t>KID=116-2</t>
  </si>
  <si>
    <t>KID=116-21|PauseAfter=Yes</t>
  </si>
  <si>
    <t>KID=116-26</t>
  </si>
  <si>
    <t>KID=116-28</t>
  </si>
  <si>
    <t>BOA1009_117</t>
  </si>
  <si>
    <t>End=286.808|Intonation=Falling|KID=117-1</t>
  </si>
  <si>
    <t>Begin=286.125|KID=117-0</t>
  </si>
  <si>
    <t>BOA1009_118</t>
  </si>
  <si>
    <t>Begin=286.895|KID=118-0</t>
  </si>
  <si>
    <t>KID=118-4</t>
  </si>
  <si>
    <t>KID=118-16</t>
  </si>
  <si>
    <t>KID=118-14</t>
  </si>
  <si>
    <t>BOA1009_119</t>
  </si>
  <si>
    <t>End=298.898|Intonation=Falling|KID=119-19|OverlappingGroup=62</t>
  </si>
  <si>
    <t>possa</t>
  </si>
  <si>
    <t>KID=119-18|OverlappingGroup=62</t>
  </si>
  <si>
    <t>BOA1009_121_122</t>
  </si>
  <si>
    <t>End=300.382|Intonation=Falling|KID=122-4|OverlappingGroup=63</t>
  </si>
  <si>
    <t>KID=122-3|OverlappingGroup=63</t>
  </si>
  <si>
    <t>End=298.668|KID=121-7|OverlappingGroup=62|Prolonged=Yes</t>
  </si>
  <si>
    <t>BOA1009_123</t>
  </si>
  <si>
    <t>ripete</t>
  </si>
  <si>
    <t>ripetere</t>
  </si>
  <si>
    <t>KID=123-1|OverlappingGroup=63</t>
  </si>
  <si>
    <t>BOA1009_125</t>
  </si>
  <si>
    <t>aspettere</t>
  </si>
  <si>
    <t>Begin=303.363|KID=125-0|PauseAfter=Yes</t>
  </si>
  <si>
    <t>BOA1009_132_133</t>
  </si>
  <si>
    <t>ipotizzata</t>
  </si>
  <si>
    <t>ipotizzare</t>
  </si>
  <si>
    <t>KID=132-3</t>
  </si>
  <si>
    <t>data</t>
  </si>
  <si>
    <t>Begin=323.998|KID=133-0</t>
  </si>
  <si>
    <t>BOA1009_134_136</t>
  </si>
  <si>
    <t>KID=134-1|OverlappingGroup=65</t>
  </si>
  <si>
    <t>KID=134-10</t>
  </si>
  <si>
    <t>KID=134-16</t>
  </si>
  <si>
    <t>KID=134-18a</t>
  </si>
  <si>
    <t>KID=136-2a</t>
  </si>
  <si>
    <t>BOA1009_139</t>
  </si>
  <si>
    <t>KID=139-1|OverlappingGroup=69</t>
  </si>
  <si>
    <t>BOA1009_141</t>
  </si>
  <si>
    <t>KID=141-4</t>
  </si>
  <si>
    <t>BOA1009_142</t>
  </si>
  <si>
    <t>KID=142-4|OverlappingGroup=70</t>
  </si>
  <si>
    <t>KID=142-6|OverlappingGroup=70</t>
  </si>
  <si>
    <t>KID=142-8|OverlappingGroup=71</t>
  </si>
  <si>
    <t>BOA1009_143</t>
  </si>
  <si>
    <t>Begin=345.248|KID=143-0|OverlappingGroup=71</t>
  </si>
  <si>
    <t>imbattuta</t>
  </si>
  <si>
    <t>imbattere</t>
  </si>
  <si>
    <t>KID=143-4|OverlappingGroup=71</t>
  </si>
  <si>
    <t>KID=143-3a|OverlappingGroup=71</t>
  </si>
  <si>
    <t>presi</t>
  </si>
  <si>
    <t>KID=143-11</t>
  </si>
  <si>
    <t>KID=143-15</t>
  </si>
  <si>
    <t>KID=143-14</t>
  </si>
  <si>
    <t>BOA1009_144</t>
  </si>
  <si>
    <t>KID=144-6|OverlappingGroup=72</t>
  </si>
  <si>
    <t>KID=144-8</t>
  </si>
  <si>
    <t>BOA1009_145</t>
  </si>
  <si>
    <t>Begin=353.068|KID=145-0|OverlappingGroup=72</t>
  </si>
  <si>
    <t>BOA1009_147_148</t>
  </si>
  <si>
    <t>KID=147-4</t>
  </si>
  <si>
    <t>KID=147-7</t>
  </si>
  <si>
    <t>scritti</t>
  </si>
  <si>
    <t>KID=147-10</t>
  </si>
  <si>
    <t>KID=147-8</t>
  </si>
  <si>
    <t>riporta</t>
  </si>
  <si>
    <t>riportare</t>
  </si>
  <si>
    <t>KID=148-2</t>
  </si>
  <si>
    <t>KID=148-11</t>
  </si>
  <si>
    <t>spiegate</t>
  </si>
  <si>
    <t>spiegare</t>
  </si>
  <si>
    <t>End=375.52|Intonation=Falling|KID=148-33</t>
  </si>
  <si>
    <t>KID=148-32</t>
  </si>
  <si>
    <t>BOA1009_152</t>
  </si>
  <si>
    <t>KID=152-7</t>
  </si>
  <si>
    <t>sordi</t>
  </si>
  <si>
    <t>sordare</t>
  </si>
  <si>
    <t>KID=152-20</t>
  </si>
  <si>
    <t>BOA1009_154_157</t>
  </si>
  <si>
    <t>KID=154-1|OverlappingGroup=80</t>
  </si>
  <si>
    <t>Begin=381.041|KID=154-0|OverlappingGroup=80</t>
  </si>
  <si>
    <t>KID=154-4|OverlappingGroup=80|Prolonged=Yes</t>
  </si>
  <si>
    <t>KID=154-3|OverlappingGroup=80</t>
  </si>
  <si>
    <t>BOA1009_156</t>
  </si>
  <si>
    <t>KID=156-3a|OverlappingGroup=82</t>
  </si>
  <si>
    <t>KID=156-1|OverlappingGroup=82</t>
  </si>
  <si>
    <t>chiudono</t>
  </si>
  <si>
    <t>KID=156-22</t>
  </si>
  <si>
    <t>KID=156-27</t>
  </si>
  <si>
    <t>BOA1009_162</t>
  </si>
  <si>
    <t>Begin=406.79|KID=162-0</t>
  </si>
  <si>
    <t>aggiorna</t>
  </si>
  <si>
    <t>aggiornare</t>
  </si>
  <si>
    <t>KID=162-3</t>
  </si>
  <si>
    <t>BOA1009_164</t>
  </si>
  <si>
    <t>KID=164-3</t>
  </si>
  <si>
    <t>KID=164-2|OverlappingGroup=88</t>
  </si>
  <si>
    <t>parte</t>
  </si>
  <si>
    <t>KID=164-10</t>
  </si>
  <si>
    <t>BOA1009_170</t>
  </si>
  <si>
    <t>inizio</t>
  </si>
  <si>
    <t>accumulare</t>
  </si>
  <si>
    <t>KID=170-6</t>
  </si>
  <si>
    <t>KID=170-8|OverlappingGroup=91</t>
  </si>
  <si>
    <t>impostare</t>
  </si>
  <si>
    <t>KID=170-11|OverlappingGroup=92</t>
  </si>
  <si>
    <t>BOA1009_172</t>
  </si>
  <si>
    <t>KID=172-2|OverlappingGroup=92|Prolonged=Yes</t>
  </si>
  <si>
    <t>successo</t>
  </si>
  <si>
    <t>succedere</t>
  </si>
  <si>
    <t>KID=172-7|Prolonged=Yes</t>
  </si>
  <si>
    <t>KID=172-6</t>
  </si>
  <si>
    <t>End=433.755|Intonation=Falling|KID=172-17|OverlappingGroup=93</t>
  </si>
  <si>
    <t>BOA1009_174</t>
  </si>
  <si>
    <t>Begin=434.038|KID=174-0|OverlappingGroup=94</t>
  </si>
  <si>
    <t>BOA1009_175</t>
  </si>
  <si>
    <t>Begin=434.13|KID=175-0|OverlappingGroup=94</t>
  </si>
  <si>
    <t>TOD1005bis_0a</t>
  </si>
  <si>
    <t>confrontiamo</t>
  </si>
  <si>
    <t>confrontare</t>
  </si>
  <si>
    <t>KID=0-1</t>
  </si>
  <si>
    <t>TOD1005bis_0b_1</t>
  </si>
  <si>
    <t>KID=0-8</t>
  </si>
  <si>
    <t>KID=0-10</t>
  </si>
  <si>
    <t>TOD1005bis_3</t>
  </si>
  <si>
    <t>KID=3-5</t>
  </si>
  <si>
    <t>TOD1005bis_6_7_8</t>
  </si>
  <si>
    <t>identifichi</t>
  </si>
  <si>
    <t>identificare</t>
  </si>
  <si>
    <t>End=15.341|Intonation=WeaklyRising|KID=6-7</t>
  </si>
  <si>
    <t>TOD1005bis_10</t>
  </si>
  <si>
    <t>KID=10-1a</t>
  </si>
  <si>
    <t>possiamo</t>
  </si>
  <si>
    <t>Begin=22.344|KID=10-0|Prolonged=Yes</t>
  </si>
  <si>
    <t>TOD1005bis_11</t>
  </si>
  <si>
    <t>richiederebbe</t>
  </si>
  <si>
    <t>TOD1005bis_12</t>
  </si>
  <si>
    <t>provato</t>
  </si>
  <si>
    <t>provare</t>
  </si>
  <si>
    <t>KID=12-6|Prolonged=Yes</t>
  </si>
  <si>
    <t>TOD1005bis_13_14_15a</t>
  </si>
  <si>
    <t>discuteremo</t>
  </si>
  <si>
    <t>discutere</t>
  </si>
  <si>
    <t>End=34.142|Intonation=WeaklyRising|KID=14-4</t>
  </si>
  <si>
    <t>impiegherà</t>
  </si>
  <si>
    <t>impiegare</t>
  </si>
  <si>
    <t>KID=15-4</t>
  </si>
  <si>
    <t>KID=15-11</t>
  </si>
  <si>
    <t>KID=15-13</t>
  </si>
  <si>
    <t>TOD1005bis_15b</t>
  </si>
  <si>
    <t>KID=15-15</t>
  </si>
  <si>
    <t>TOD1005bis_17</t>
  </si>
  <si>
    <t>KID=17-1</t>
  </si>
  <si>
    <t>Begin=41.998|KID=17-0</t>
  </si>
  <si>
    <t>KID=17-6</t>
  </si>
  <si>
    <t>KID=17-5</t>
  </si>
  <si>
    <t>TOD1005bis_24</t>
  </si>
  <si>
    <t>KID=24-4|PauseAfter=Yes</t>
  </si>
  <si>
    <t>KID=24-8</t>
  </si>
  <si>
    <t>KID=24-7</t>
  </si>
  <si>
    <t>TOD1005bis_25</t>
  </si>
  <si>
    <t>KID=25-2|Prolonged=Yes</t>
  </si>
  <si>
    <t>KID=25-1</t>
  </si>
  <si>
    <t>TOD1005bis_26</t>
  </si>
  <si>
    <t>KID=26-1</t>
  </si>
  <si>
    <t>TOD1005bis_27</t>
  </si>
  <si>
    <t>TOD1005bis_28</t>
  </si>
  <si>
    <t>End=65.137|Intonation=Rising|KID=28-5</t>
  </si>
  <si>
    <t>TOD1005bis_33</t>
  </si>
  <si>
    <t>KID=33-1</t>
  </si>
  <si>
    <t>vincere</t>
  </si>
  <si>
    <t>KID=33-2</t>
  </si>
  <si>
    <t>TOD1005bis_39a</t>
  </si>
  <si>
    <t>Interrupted=Yes|KID=39-3</t>
  </si>
  <si>
    <t>KID=39-5</t>
  </si>
  <si>
    <t>TOD1005bis_39b</t>
  </si>
  <si>
    <t>KID=39-12</t>
  </si>
  <si>
    <t>TOD1005bis_40</t>
  </si>
  <si>
    <t>noterete</t>
  </si>
  <si>
    <t>Begin=88.21|KID=40-0</t>
  </si>
  <si>
    <t>KID=40-4</t>
  </si>
  <si>
    <t>KID=40-3</t>
  </si>
  <si>
    <t>TOD1005bis_42_43</t>
  </si>
  <si>
    <t>KID=42-4</t>
  </si>
  <si>
    <t>KID=42-3</t>
  </si>
  <si>
    <t>KID=42-8</t>
  </si>
  <si>
    <t>TOD1005bis_44</t>
  </si>
  <si>
    <t>scriviamo</t>
  </si>
  <si>
    <t>KID=44-5</t>
  </si>
  <si>
    <t>rappresentare</t>
  </si>
  <si>
    <t>KID=44-19</t>
  </si>
  <si>
    <t>mancano</t>
  </si>
  <si>
    <t>mancare</t>
  </si>
  <si>
    <t>End=107.468|Intonation=Falling|KID=44-23</t>
  </si>
  <si>
    <t>TOD1005bis_45_46</t>
  </si>
  <si>
    <t>KID=46-3</t>
  </si>
  <si>
    <t>TOD1005bis_47</t>
  </si>
  <si>
    <t>mancherebbe</t>
  </si>
  <si>
    <t>Intonation=Falling|KID=47-1|Volume=low</t>
  </si>
  <si>
    <t>KID=47-4|Volume=low</t>
  </si>
  <si>
    <t>KID=47-2|Volume=low</t>
  </si>
  <si>
    <t>TOD1005bis_48_49</t>
  </si>
  <si>
    <t>Begin=117.032|KID=49-0</t>
  </si>
  <si>
    <t>KID=49-7</t>
  </si>
  <si>
    <t>TOD1005bis_50</t>
  </si>
  <si>
    <t>KID=50-10</t>
  </si>
  <si>
    <t>KID=50-9</t>
  </si>
  <si>
    <t>TOD1005bis_51</t>
  </si>
  <si>
    <t>KID=51-2|Prolonged=Yes</t>
  </si>
  <si>
    <t>KID=51-1</t>
  </si>
  <si>
    <t>TOD1005bis_52</t>
  </si>
  <si>
    <t>KID=52-2</t>
  </si>
  <si>
    <t>KID=52-1</t>
  </si>
  <si>
    <t>TOD1005bis_54_55_56_57</t>
  </si>
  <si>
    <t>KID=55-10</t>
  </si>
  <si>
    <t>succederà</t>
  </si>
  <si>
    <t>KID=55-12</t>
  </si>
  <si>
    <t>ufficiliazzare</t>
  </si>
  <si>
    <t>KID=56-9</t>
  </si>
  <si>
    <t>volesse</t>
  </si>
  <si>
    <t>KID=56-8|Prolonged=Yes</t>
  </si>
  <si>
    <t>KID=57-1|Relation=conj:reform</t>
  </si>
  <si>
    <t>Begin=140.438|KID=57-0</t>
  </si>
  <si>
    <t>scriver</t>
  </si>
  <si>
    <t>KID=57-7a</t>
  </si>
  <si>
    <t>TOD1005bis_59</t>
  </si>
  <si>
    <t>End=145.953|KID=59-6</t>
  </si>
  <si>
    <t>KID=59-5</t>
  </si>
  <si>
    <t>TOD1005bis_60</t>
  </si>
  <si>
    <t>continuiamo</t>
  </si>
  <si>
    <t>KID=60-4</t>
  </si>
  <si>
    <t>TOD1005bis_61</t>
  </si>
  <si>
    <t>torneremo</t>
  </si>
  <si>
    <t>Intonation=WeaklyRising|KID=61-1</t>
  </si>
  <si>
    <t>KID=61-3</t>
  </si>
  <si>
    <t>usiamo</t>
  </si>
  <si>
    <t>KID=61-11</t>
  </si>
  <si>
    <t>confonde</t>
  </si>
  <si>
    <t>confondere</t>
  </si>
  <si>
    <t>KID=61-15</t>
  </si>
  <si>
    <t>TOD1005bis_62</t>
  </si>
  <si>
    <t>KID=62-3|PauseAfter=Yes</t>
  </si>
  <si>
    <t>TOD1005bis_63</t>
  </si>
  <si>
    <t>KID=63-1</t>
  </si>
  <si>
    <t>suonano</t>
  </si>
  <si>
    <t>suonare</t>
  </si>
  <si>
    <t>End=160.924|KID=63-3</t>
  </si>
  <si>
    <t>TOD1005bis_64</t>
  </si>
  <si>
    <t>KID=64-4|PauseAfter=Yes</t>
  </si>
  <si>
    <t>KID=64-3</t>
  </si>
  <si>
    <t>TOD1005bis_65</t>
  </si>
  <si>
    <t>KID=65-5</t>
  </si>
  <si>
    <t>TOD1005bis_66</t>
  </si>
  <si>
    <t>leggo</t>
  </si>
  <si>
    <t>KID=66-2</t>
  </si>
  <si>
    <t>vengono</t>
  </si>
  <si>
    <t>End=168.325|KID=66-6</t>
  </si>
  <si>
    <t>TOD1005bis_67_68</t>
  </si>
  <si>
    <t>Begin=168.605|KID=67-0</t>
  </si>
  <si>
    <t>legge</t>
  </si>
  <si>
    <t>TOD1005bis_72</t>
  </si>
  <si>
    <t>Begin=174.433|KID=72-0</t>
  </si>
  <si>
    <t>leggimi</t>
  </si>
  <si>
    <t>KID=72-1|Prolonged=Yes</t>
  </si>
  <si>
    <t>TOD1005bis_73</t>
  </si>
  <si>
    <t>KID=73-2</t>
  </si>
  <si>
    <t>KID=73-1</t>
  </si>
  <si>
    <t>KID=73-4</t>
  </si>
  <si>
    <t>TOD1005bis_76</t>
  </si>
  <si>
    <t>legga</t>
  </si>
  <si>
    <t>End=183.553|KID=76-9|Prolonged=Yes</t>
  </si>
  <si>
    <t>TOD1005bis_77</t>
  </si>
  <si>
    <t>dica</t>
  </si>
  <si>
    <t>KID=77-2</t>
  </si>
  <si>
    <t>serve</t>
  </si>
  <si>
    <t>servire</t>
  </si>
  <si>
    <t>KID=77-5</t>
  </si>
  <si>
    <t>correggete</t>
  </si>
  <si>
    <t>correggere</t>
  </si>
  <si>
    <t>KID=77-8</t>
  </si>
  <si>
    <t>KID=77-11</t>
  </si>
  <si>
    <t>TOD1005bis_84</t>
  </si>
  <si>
    <t>continuereste</t>
  </si>
  <si>
    <t>KID=84-3</t>
  </si>
  <si>
    <t>KID=84-5</t>
  </si>
  <si>
    <t>KID=84-10</t>
  </si>
  <si>
    <t>KID=84-9</t>
  </si>
  <si>
    <t>TOD1005bis_95</t>
  </si>
  <si>
    <t>End=211.834|KID=95-7</t>
  </si>
  <si>
    <t>TOD1005bis_98a</t>
  </si>
  <si>
    <t>KID=98-5</t>
  </si>
  <si>
    <t>TOD1005bis_98b</t>
  </si>
  <si>
    <t>KID=98-19|PauseAfter=Yes</t>
  </si>
  <si>
    <t>tende</t>
  </si>
  <si>
    <t>tendere</t>
  </si>
  <si>
    <t>KID=98-21</t>
  </si>
  <si>
    <t>KID=98-23</t>
  </si>
  <si>
    <t>TOD1005bis_99_100</t>
  </si>
  <si>
    <t>KID=99-1</t>
  </si>
  <si>
    <t>Begin=220.606|KID=99-0</t>
  </si>
  <si>
    <t>TOD1005bis_101</t>
  </si>
  <si>
    <t>KID=101-7</t>
  </si>
  <si>
    <t>KID=101-9</t>
  </si>
  <si>
    <t>TOD1005bis_104</t>
  </si>
  <si>
    <t>nmod</t>
  </si>
  <si>
    <t>KID=104-4</t>
  </si>
  <si>
    <t>KID=104-5</t>
  </si>
  <si>
    <t>KID=104-7</t>
  </si>
  <si>
    <t>TOD1005bis_105</t>
  </si>
  <si>
    <t>vedete</t>
  </si>
  <si>
    <t>Interrupted=Yes|KID=105-3</t>
  </si>
  <si>
    <t>KID=105-4</t>
  </si>
  <si>
    <t>TOD1005bis_108</t>
  </si>
  <si>
    <t>KID=108-2</t>
  </si>
  <si>
    <t>TOD1005bis_110_111_112_113_114</t>
  </si>
  <si>
    <t>riprende</t>
  </si>
  <si>
    <t>riprendere</t>
  </si>
  <si>
    <t>End=244.664|KID=111-1|Prolonged=Yes</t>
  </si>
  <si>
    <t>TOD1005bis_115</t>
  </si>
  <si>
    <t>KID=115-1|PauseAfter=Yes</t>
  </si>
  <si>
    <t>TOD1005bis_122_123a</t>
  </si>
  <si>
    <t>derivino</t>
  </si>
  <si>
    <t>derivare</t>
  </si>
  <si>
    <t>KID=122-10</t>
  </si>
  <si>
    <t>TOD1005bis_123b_124</t>
  </si>
  <si>
    <t>KID=123-4</t>
  </si>
  <si>
    <t>KID=124-7</t>
  </si>
  <si>
    <t>TOD1005bis_125_126_127</t>
  </si>
  <si>
    <t>KID=125-1</t>
  </si>
  <si>
    <t>TOD1005bis_129_130a</t>
  </si>
  <si>
    <t>TOD1005bis_130b</t>
  </si>
  <si>
    <t>ricordatevi</t>
  </si>
  <si>
    <t>ricordarsi</t>
  </si>
  <si>
    <t>KID=130-3</t>
  </si>
  <si>
    <t>TOD1005bis_130c</t>
  </si>
  <si>
    <t>parlando</t>
  </si>
  <si>
    <t>KID=130-5</t>
  </si>
  <si>
    <t>KID=130-4</t>
  </si>
  <si>
    <t>TOD1005bis_130d</t>
  </si>
  <si>
    <t>KID=130-18</t>
  </si>
  <si>
    <t>KID=130-20</t>
  </si>
  <si>
    <t>succede</t>
  </si>
  <si>
    <t>End=285.458|Intonation=WeaklyRising|KID=130-23|Prolonged=Yes</t>
  </si>
  <si>
    <t>TOD1005bis_132</t>
  </si>
  <si>
    <t>KID=132-1</t>
  </si>
  <si>
    <t>comincio</t>
  </si>
  <si>
    <t>KID=132-4</t>
  </si>
  <si>
    <t>KID=132-5</t>
  </si>
  <si>
    <t>KID=132-7</t>
  </si>
  <si>
    <t>TOD1005bis_133</t>
  </si>
  <si>
    <t>complica</t>
  </si>
  <si>
    <t>complicare</t>
  </si>
  <si>
    <t>KID=133-3</t>
  </si>
  <si>
    <t>TOD1005bis_134</t>
  </si>
  <si>
    <t>KID=134-2</t>
  </si>
  <si>
    <t>KID=134-1</t>
  </si>
  <si>
    <t>TOD1005bis_139</t>
  </si>
  <si>
    <t>Begin=304.904|KID=139-0</t>
  </si>
  <si>
    <t>TOD1005bis_144a</t>
  </si>
  <si>
    <t>posto</t>
  </si>
  <si>
    <t>KID=144-1</t>
  </si>
  <si>
    <t>TOD1005bis_144b</t>
  </si>
  <si>
    <t>KID=144-14</t>
  </si>
  <si>
    <t>TOD1005bis_145</t>
  </si>
  <si>
    <t>KID=145-5</t>
  </si>
  <si>
    <t>TOD1005bis_146</t>
  </si>
  <si>
    <t>KID=146-2</t>
  </si>
  <si>
    <t>TOD1005bis_147</t>
  </si>
  <si>
    <t>KID=147-6</t>
  </si>
  <si>
    <t>TOD1005bis_148_149</t>
  </si>
  <si>
    <t>KID=148-1</t>
  </si>
  <si>
    <t>End=331.585|Intonation=WeaklyRising|KID=148-4</t>
  </si>
  <si>
    <t>TOD1005bis_151</t>
  </si>
  <si>
    <t>Begin=333.999|KID=151-0</t>
  </si>
  <si>
    <t>TOD1005bis_152</t>
  </si>
  <si>
    <t>Begin=335.461|KID=152-0</t>
  </si>
  <si>
    <t>KID=152-6</t>
  </si>
  <si>
    <t>KID=152-5</t>
  </si>
  <si>
    <t>TOD1005bis_153</t>
  </si>
  <si>
    <t>KID=153-3</t>
  </si>
  <si>
    <t>TOD1005bis_154</t>
  </si>
  <si>
    <t>Begin=342.037|KID=154-0</t>
  </si>
  <si>
    <t>TOD1005bis_156</t>
  </si>
  <si>
    <t>uscite</t>
  </si>
  <si>
    <t>KID=156-6</t>
  </si>
  <si>
    <t>KID=156-9</t>
  </si>
  <si>
    <t>KID=156-13a</t>
  </si>
  <si>
    <t>TOD1005bis_157</t>
  </si>
  <si>
    <t>potete</t>
  </si>
  <si>
    <t>KID=157-2</t>
  </si>
  <si>
    <t>TOD1005bis_161</t>
  </si>
  <si>
    <t>KID=161-3</t>
  </si>
  <si>
    <t>TOD1005bis_162</t>
  </si>
  <si>
    <t>TOD1005bis_164_165</t>
  </si>
  <si>
    <t>KID=164-2</t>
  </si>
  <si>
    <t>TOD1005bis_168</t>
  </si>
  <si>
    <t>KID=168-3</t>
  </si>
  <si>
    <t>TOD1005bis_169</t>
  </si>
  <si>
    <t>Begin=373.524|KID=169-0</t>
  </si>
  <si>
    <t>TOD1005bis_170</t>
  </si>
  <si>
    <t>KID=170-5</t>
  </si>
  <si>
    <t>End=379.751|Intonation=WeaklyRising|KID=170-10</t>
  </si>
  <si>
    <t>TOD1005bis_171</t>
  </si>
  <si>
    <t>Begin=380.152|KID=171-0</t>
  </si>
  <si>
    <t>TOD1005bis_172</t>
  </si>
  <si>
    <t>KID=172-4|PauseAfter=Yes</t>
  </si>
  <si>
    <t>TOD1005bis_175_176_177</t>
  </si>
  <si>
    <t>End=394.443|Intonation=WeaklyRising|KID=175-18</t>
  </si>
  <si>
    <t>TOD1005bis_179_180</t>
  </si>
  <si>
    <t>End=397.912|Intonation=WeaklyRising|KID=179-1</t>
  </si>
  <si>
    <t>TOD1005bis_181_182</t>
  </si>
  <si>
    <t>End=404.101|Intonation=WeaklyRising|KID=181-8</t>
  </si>
  <si>
    <t>TOD1005bis_188</t>
  </si>
  <si>
    <t>Begin=413.189|KID=188-0</t>
  </si>
  <si>
    <t>TOD1005bis_190_191_192</t>
  </si>
  <si>
    <t>rimandiamo</t>
  </si>
  <si>
    <t>rimandare</t>
  </si>
  <si>
    <t>KID=190-2</t>
  </si>
  <si>
    <t>KID=190-13</t>
  </si>
  <si>
    <t>KID=190-12</t>
  </si>
  <si>
    <t>incluso</t>
  </si>
  <si>
    <t>includere</t>
  </si>
  <si>
    <t>KID=191-2</t>
  </si>
  <si>
    <t>Begin=427.843|KID=192-0</t>
  </si>
  <si>
    <t>TOD1005bis_193</t>
  </si>
  <si>
    <t>proveremo</t>
  </si>
  <si>
    <t>KID=193-2</t>
  </si>
  <si>
    <t>KID=193-4</t>
  </si>
  <si>
    <t>TOD1005bis_194_195_196_197</t>
  </si>
  <si>
    <t>rimane</t>
  </si>
  <si>
    <t>Begin=433.895|End=434.628|Intonation=WeaklyRising|KID=194-0</t>
  </si>
  <si>
    <t>TOD1005bis_198</t>
  </si>
  <si>
    <t>KID=198-1</t>
  </si>
  <si>
    <t>TOD1005bis_199a</t>
  </si>
  <si>
    <t>proviamo</t>
  </si>
  <si>
    <t>Begin=443.204|KID=199-0</t>
  </si>
  <si>
    <t>KID=199-2</t>
  </si>
  <si>
    <t>TOD1005bis_199b</t>
  </si>
  <si>
    <t>KID=199-8</t>
  </si>
  <si>
    <t>KID=199-9|PaceFast=Yes</t>
  </si>
  <si>
    <t>TOD1005bis_200b</t>
  </si>
  <si>
    <t>KID=200-13</t>
  </si>
  <si>
    <t>TOD1005bis_200c</t>
  </si>
  <si>
    <t>riusciremo</t>
  </si>
  <si>
    <t>KID=200-18a</t>
  </si>
  <si>
    <t>TOD1005bis_203</t>
  </si>
  <si>
    <t>KID=203-1</t>
  </si>
  <si>
    <t>TOD1005bis_204</t>
  </si>
  <si>
    <t>torniamo</t>
  </si>
  <si>
    <t>Begin=455.819|KID=204-0</t>
  </si>
  <si>
    <t>TOD1005bis_206</t>
  </si>
  <si>
    <t>KID=206-15</t>
  </si>
  <si>
    <t>TOD1005bis_207</t>
  </si>
  <si>
    <t>KID=207-5</t>
  </si>
  <si>
    <t>TOD1005bis_208_209</t>
  </si>
  <si>
    <t>derivano</t>
  </si>
  <si>
    <t>KID=208-2</t>
  </si>
  <si>
    <t>TOD1005bis_212</t>
  </si>
  <si>
    <t>KID=212-2</t>
  </si>
  <si>
    <t>KID=212-1</t>
  </si>
  <si>
    <t>TOD1005bis_214</t>
  </si>
  <si>
    <t>sapete</t>
  </si>
  <si>
    <t>Begin=481.392|KID=214-0</t>
  </si>
  <si>
    <t>KID=214-6</t>
  </si>
  <si>
    <t>KID=214-4</t>
  </si>
  <si>
    <t>TOD1005bis_215_216</t>
  </si>
  <si>
    <t>KID=215-2</t>
  </si>
  <si>
    <t>KID=215-1</t>
  </si>
  <si>
    <t>KID=216-2</t>
  </si>
  <si>
    <t>accorto</t>
  </si>
  <si>
    <t>KID=216-11</t>
  </si>
  <si>
    <t>KID=216-10</t>
  </si>
  <si>
    <t>TOD1005bis_217_218</t>
  </si>
  <si>
    <t>somiglia</t>
  </si>
  <si>
    <t>somigliare</t>
  </si>
  <si>
    <t>KID=217-9</t>
  </si>
  <si>
    <t>KID=218-4</t>
  </si>
  <si>
    <t>TOD1005bis_219_220</t>
  </si>
  <si>
    <t>KID=219-3</t>
  </si>
  <si>
    <t>KID=219-9|Relation=conj:reform</t>
  </si>
  <si>
    <t>KID=219-8</t>
  </si>
  <si>
    <t>KID=219-13</t>
  </si>
  <si>
    <t>dimostrato</t>
  </si>
  <si>
    <t>dimostrare</t>
  </si>
  <si>
    <t>KID=220-3|Prolonged=Yes</t>
  </si>
  <si>
    <t>KID=220-2</t>
  </si>
  <si>
    <t>KID=220-9|PauseAfter=Yes</t>
  </si>
  <si>
    <t>TOD1005bis_221_222</t>
  </si>
  <si>
    <t>proposto</t>
  </si>
  <si>
    <t>proporre</t>
  </si>
  <si>
    <t>KID=221-1|PauseAfter=Yes</t>
  </si>
  <si>
    <t>TOD1005bis_223_224_225_226</t>
  </si>
  <si>
    <t>chiamerebbe</t>
  </si>
  <si>
    <t>End=523.976|Intonation=WeaklyRising|KID=224-7</t>
  </si>
  <si>
    <t>TOD1005bis_231_232</t>
  </si>
  <si>
    <t>KID=232-7|Relation=conj:reform</t>
  </si>
  <si>
    <t>KID=232-6</t>
  </si>
  <si>
    <t>KID=232-9</t>
  </si>
  <si>
    <t>TOD1005bis_233</t>
  </si>
  <si>
    <t>applica</t>
  </si>
  <si>
    <t>applicare</t>
  </si>
  <si>
    <t>KID=233-1</t>
  </si>
  <si>
    <t>KID=233-5</t>
  </si>
  <si>
    <t>TOD1005bis_235</t>
  </si>
  <si>
    <t>KID=235-1</t>
  </si>
  <si>
    <t>TOD1005bis_236</t>
  </si>
  <si>
    <t>studiate</t>
  </si>
  <si>
    <t>KID=236-6</t>
  </si>
  <si>
    <t>TOD1005bis_239</t>
  </si>
  <si>
    <t>prova</t>
  </si>
  <si>
    <t>KID=239-2|PauseAfter=Yes</t>
  </si>
  <si>
    <t>ricostruire</t>
  </si>
  <si>
    <t>KID=239-5</t>
  </si>
  <si>
    <t>partendo</t>
  </si>
  <si>
    <t>KID=239-8</t>
  </si>
  <si>
    <t>KID=239-12</t>
  </si>
  <si>
    <t>advcl:relcl</t>
  </si>
  <si>
    <t>Interrupted=Yes|KID=239-19</t>
  </si>
  <si>
    <t>TOD1005bis_240a</t>
  </si>
  <si>
    <t>andando</t>
  </si>
  <si>
    <t>Begin=564.852|KID=240-0</t>
  </si>
  <si>
    <t>KID=240-4</t>
  </si>
  <si>
    <t>KID=240-6</t>
  </si>
  <si>
    <t>TOD1005bis_240b_241_242</t>
  </si>
  <si>
    <t>End=569.163|KID=240-13</t>
  </si>
  <si>
    <t>esiste</t>
  </si>
  <si>
    <t>esistere</t>
  </si>
  <si>
    <t>Begin=569.46|End=570.37|Intonation=WeaklyRising|KID=241-0</t>
  </si>
  <si>
    <t>TOD1005bis_243_244</t>
  </si>
  <si>
    <t>End=575.761|Intonation=WeaklyRising|KID=243-10</t>
  </si>
  <si>
    <t>TOD1005bis_245</t>
  </si>
  <si>
    <t>KID=245-4</t>
  </si>
  <si>
    <t>KID=245-7</t>
  </si>
  <si>
    <t>KID=245-6</t>
  </si>
  <si>
    <t>KID=245-9</t>
  </si>
  <si>
    <t>risolto</t>
  </si>
  <si>
    <t>risolvere</t>
  </si>
  <si>
    <t>KID=245-11|Relation=conj:reform</t>
  </si>
  <si>
    <t>KID=245-10</t>
  </si>
  <si>
    <t>TOD1005bis_246a</t>
  </si>
  <si>
    <t>KID=246-3</t>
  </si>
  <si>
    <t>TOD1005bis_246b</t>
  </si>
  <si>
    <t>discendono</t>
  </si>
  <si>
    <t>discendere</t>
  </si>
  <si>
    <t>KID=246-18</t>
  </si>
  <si>
    <t>TOD1005bis_248</t>
  </si>
  <si>
    <t>Begin=588.611|End=589.092|Intonation=Falling|KID=248-0</t>
  </si>
  <si>
    <t>TOD1005bis_250</t>
  </si>
  <si>
    <t>ritenerci</t>
  </si>
  <si>
    <t>ritenersi</t>
  </si>
  <si>
    <t>KID=250-5</t>
  </si>
  <si>
    <t>TOD1005bis_253</t>
  </si>
  <si>
    <t>End=606.418|Intonation=WeaklyRising|KID=253-2</t>
  </si>
  <si>
    <t>TOD1005bis_254</t>
  </si>
  <si>
    <t>Begin=606.543|End=607.225|Intonation=WeaklyRising|KID=254-0</t>
  </si>
  <si>
    <t>TOD1005bis_255</t>
  </si>
  <si>
    <t>End=608.458|Intonation=WeaklyRising|KID=255-1</t>
  </si>
  <si>
    <t>TOD1005bis_256_257_258</t>
  </si>
  <si>
    <t>KID=256-1</t>
  </si>
  <si>
    <t>cominciamo</t>
  </si>
  <si>
    <t>Begin=611.765|KID=257-0|PauseAfter=Yes</t>
  </si>
  <si>
    <t>guardar</t>
  </si>
  <si>
    <t>KID=257-3a</t>
  </si>
  <si>
    <t>KID=258-4</t>
  </si>
  <si>
    <t>TOD1005bis_262_263</t>
  </si>
  <si>
    <t>End=630.376|Intonation=WeaklyRising|KID=263-6</t>
  </si>
  <si>
    <t>TOD1005bis_264</t>
  </si>
  <si>
    <t>KID=264-4</t>
  </si>
  <si>
    <t>TOD1005bis_266</t>
  </si>
  <si>
    <t>nasce</t>
  </si>
  <si>
    <t>KID=266-1|PauseAfter=Yes</t>
  </si>
  <si>
    <t>KID=266-4</t>
  </si>
  <si>
    <t>TOD1005bis_267_268</t>
  </si>
  <si>
    <t>End=642.724|KID=267-8</t>
  </si>
  <si>
    <t>TOD1005bis_272_273</t>
  </si>
  <si>
    <t>End=648.729|Intonation=WeaklyRising|KID=272-1</t>
  </si>
  <si>
    <t>TOD1005bis_279</t>
  </si>
  <si>
    <t>KID=279-6|OverlappingGroup=0</t>
  </si>
  <si>
    <t>TOD1005bis_282</t>
  </si>
  <si>
    <t>sentite</t>
  </si>
  <si>
    <t>End=669.402|Intonation=Falling|KID=282-10</t>
  </si>
  <si>
    <t>KID=282-8</t>
  </si>
  <si>
    <t>TOD1005bis_286</t>
  </si>
  <si>
    <t>TOD1005bis_288</t>
  </si>
  <si>
    <t>vediamo</t>
  </si>
  <si>
    <t>KID=288-3|PauseAfter=Yes</t>
  </si>
  <si>
    <t>attestato</t>
  </si>
  <si>
    <t>attestare</t>
  </si>
  <si>
    <t>KID=288-7</t>
  </si>
  <si>
    <t>KID=288-6</t>
  </si>
  <si>
    <t>KID=288-11</t>
  </si>
  <si>
    <t>TOD1005bis_289_290</t>
  </si>
  <si>
    <t>KID=290-1</t>
  </si>
  <si>
    <t>TOD1005bis_293_294</t>
  </si>
  <si>
    <t>colpisce</t>
  </si>
  <si>
    <t>colpire</t>
  </si>
  <si>
    <t>End=700.868|Intonation=WeaklyRising|KID=293-2</t>
  </si>
  <si>
    <t>KID=294-5</t>
  </si>
  <si>
    <t>estinta</t>
  </si>
  <si>
    <t>estinguere</t>
  </si>
  <si>
    <t>KID=294-10|PauseAfter=Yes</t>
  </si>
  <si>
    <t>furono</t>
  </si>
  <si>
    <t>End=706.281|Intonation=WeaklyRising|KID=294-15</t>
  </si>
  <si>
    <t>TOD1005bis_298_299_300_301</t>
  </si>
  <si>
    <t>esprimo</t>
  </si>
  <si>
    <t>KID=298-3</t>
  </si>
  <si>
    <t>KID=299-1</t>
  </si>
  <si>
    <t>Begin=715.262|KID=299-0</t>
  </si>
  <si>
    <t>KID=299-10</t>
  </si>
  <si>
    <t>KID=300-1</t>
  </si>
  <si>
    <t>TOD1005bis_302</t>
  </si>
  <si>
    <t>KID=302-1</t>
  </si>
  <si>
    <t>TOD1005bis_305</t>
  </si>
  <si>
    <t>KID=305-1</t>
  </si>
  <si>
    <t>TOD1005bis_306</t>
  </si>
  <si>
    <t>arriviamo</t>
  </si>
  <si>
    <t>Intonation=Falling|KID=306-4</t>
  </si>
  <si>
    <t>TOD1005bis_307_308</t>
  </si>
  <si>
    <t>sappiamo</t>
  </si>
  <si>
    <t>KID=307-5</t>
  </si>
  <si>
    <t>KID=307-6</t>
  </si>
  <si>
    <t>pone</t>
  </si>
  <si>
    <t>porre</t>
  </si>
  <si>
    <t>KID=308-4|Relation=conj:reform</t>
  </si>
  <si>
    <t>TOD1005bis_309</t>
  </si>
  <si>
    <t>KID=309-4|PaceFast=Yes</t>
  </si>
  <si>
    <t>KID=309-3|PaceFast=Yes</t>
  </si>
  <si>
    <t>TOD1005bis_310_311</t>
  </si>
  <si>
    <t>KID=310-1</t>
  </si>
  <si>
    <t>smette</t>
  </si>
  <si>
    <t>smettere</t>
  </si>
  <si>
    <t>KID=310-5</t>
  </si>
  <si>
    <t>End=740.146|Intonation=WeaklyRising|KID=310-7</t>
  </si>
  <si>
    <t>KID=311-3</t>
  </si>
  <si>
    <t>TOD1005bis_313</t>
  </si>
  <si>
    <t>affrontiamo</t>
  </si>
  <si>
    <t>affrontare</t>
  </si>
  <si>
    <t>KID=313-3</t>
  </si>
  <si>
    <t>TOD1005bis_315</t>
  </si>
  <si>
    <t>complicano</t>
  </si>
  <si>
    <t>KID=315-4|PauseAfter=Yes</t>
  </si>
  <si>
    <t>KID=315-9</t>
  </si>
  <si>
    <t>KID=315-16a</t>
  </si>
  <si>
    <t>dovremmo</t>
  </si>
  <si>
    <t>KID=315-15</t>
  </si>
  <si>
    <t>KID=315-22</t>
  </si>
  <si>
    <t>TOD1005bis_316_317</t>
  </si>
  <si>
    <t>End=758.613|KID=316-5</t>
  </si>
  <si>
    <t>KID=316-4</t>
  </si>
  <si>
    <t>TOD1005bis_319</t>
  </si>
  <si>
    <t>date</t>
  </si>
  <si>
    <t>KID=319-1a</t>
  </si>
  <si>
    <t>mandate</t>
  </si>
  <si>
    <t>KID=319-5a</t>
  </si>
  <si>
    <t>TOD1005bis_320</t>
  </si>
  <si>
    <t>TOD1005bis_321</t>
  </si>
  <si>
    <t>KID=321-1</t>
  </si>
  <si>
    <t>TOD1005bis_323</t>
  </si>
  <si>
    <t>cerchiamo</t>
  </si>
  <si>
    <t>Begin=786.418|KID=323-0</t>
  </si>
  <si>
    <t>ripercorre</t>
  </si>
  <si>
    <t>ripercorrere</t>
  </si>
  <si>
    <t>KID=323-5</t>
  </si>
  <si>
    <t>TOD1005bis_324_325</t>
  </si>
  <si>
    <t>dividiamo</t>
  </si>
  <si>
    <t>KID=324-2a</t>
  </si>
  <si>
    <t>KID=324-10</t>
  </si>
  <si>
    <t>raccontarvela</t>
  </si>
  <si>
    <t>End=795.276|KID=325-1</t>
  </si>
  <si>
    <t>TOD1005bis_326</t>
  </si>
  <si>
    <t>partiamo</t>
  </si>
  <si>
    <t>Begin=798.827|KID=326-0</t>
  </si>
  <si>
    <t>TOD1005bis_327</t>
  </si>
  <si>
    <t>KID=327-1</t>
  </si>
  <si>
    <t>TOD1005bis_338b</t>
  </si>
  <si>
    <t>End=823.196|Intonation=WeaklyRising|KID=338-5</t>
  </si>
  <si>
    <t>TOD1005bis_339</t>
  </si>
  <si>
    <t>End=824.886|Intonation=WeaklyRising|KID=339-2</t>
  </si>
  <si>
    <t>TOD1005bis_343</t>
  </si>
  <si>
    <t>KID=343-3</t>
  </si>
  <si>
    <t>KID=343-2</t>
  </si>
  <si>
    <t>TOD1005bis_344</t>
  </si>
  <si>
    <t>KID=344-2</t>
  </si>
  <si>
    <t>TOD1005bis_346_347</t>
  </si>
  <si>
    <t>succedono</t>
  </si>
  <si>
    <t>Begin=846.283|KID=347-0</t>
  </si>
  <si>
    <t>TOD1005bis_348b_349</t>
  </si>
  <si>
    <t>KID=348-5</t>
  </si>
  <si>
    <t>KID=348-7</t>
  </si>
  <si>
    <t>TOD1005bis_350_351_352</t>
  </si>
  <si>
    <t>prendiamo</t>
  </si>
  <si>
    <t>KID=350-1|PauseAfter=Yes</t>
  </si>
  <si>
    <t>KID=350-3</t>
  </si>
  <si>
    <t>TOD1005bis_356</t>
  </si>
  <si>
    <t>End=869.467|Intonation=Rising|KID=356-4</t>
  </si>
  <si>
    <t>TOD1005bis_357</t>
  </si>
  <si>
    <t>KID=357-2</t>
  </si>
  <si>
    <t>TOD1005bis_358</t>
  </si>
  <si>
    <t>KID=358-6</t>
  </si>
  <si>
    <t>TOD1005bis_359</t>
  </si>
  <si>
    <t>dite</t>
  </si>
  <si>
    <t>KID=359-6</t>
  </si>
  <si>
    <t>KID=359-12|Relation=conj:reform</t>
  </si>
  <si>
    <t>KID=359-11</t>
  </si>
  <si>
    <t>TOD1005bis_360</t>
  </si>
  <si>
    <t>KID=360-7</t>
  </si>
  <si>
    <t>TOD1005bis_361</t>
  </si>
  <si>
    <t>KID=361-3</t>
  </si>
  <si>
    <t>TOD1005bis_363</t>
  </si>
  <si>
    <t>End=887.206|KID=363-1</t>
  </si>
  <si>
    <t>TOD1005bis_368</t>
  </si>
  <si>
    <t>Begin=896.9|KID=368-0</t>
  </si>
  <si>
    <t>TOD1005bis_369_370</t>
  </si>
  <si>
    <t>KID=369-5</t>
  </si>
  <si>
    <t>KID=369-2</t>
  </si>
  <si>
    <t>KID=369-10</t>
  </si>
  <si>
    <t>KID=369-12</t>
  </si>
  <si>
    <t>End=904.675|Intonation=WeaklyRising|KID=369-18</t>
  </si>
  <si>
    <t>é</t>
  </si>
  <si>
    <t>KID=370-1</t>
  </si>
  <si>
    <t>TOD1005bis_373_374_375_376</t>
  </si>
  <si>
    <t>datata</t>
  </si>
  <si>
    <t>datare</t>
  </si>
  <si>
    <t>KID=374-1</t>
  </si>
  <si>
    <t>Begin=914.246|KID=374-0</t>
  </si>
  <si>
    <t>End=917.202|Intonation=Falling|KID=375-1|Prolonged=Yes|Relation=conj:reform</t>
  </si>
  <si>
    <t>TOD1005bis_377_378_379a</t>
  </si>
  <si>
    <t>End=920.417|KID=377-1</t>
  </si>
  <si>
    <t>TOD1005bis_379c</t>
  </si>
  <si>
    <t>segnarvelo</t>
  </si>
  <si>
    <t>KID=379-9</t>
  </si>
  <si>
    <t>KID=379-12</t>
  </si>
  <si>
    <t>parliamo</t>
  </si>
  <si>
    <t>KID=379-15</t>
  </si>
  <si>
    <t>TOD1005bis_381a</t>
  </si>
  <si>
    <t>Begin=935.677|KID=381-0</t>
  </si>
  <si>
    <t>TOD1005bis_381b</t>
  </si>
  <si>
    <t>accendiamo</t>
  </si>
  <si>
    <t>accendere</t>
  </si>
  <si>
    <t>End=938.497|Intonation=Rising|KID=381-6</t>
  </si>
  <si>
    <t>TOD1005bis_384_385_386</t>
  </si>
  <si>
    <t>Intonation=Falling|KID=385-2</t>
  </si>
  <si>
    <t>End=952.438|KID=386-4|Prolonged=Yes</t>
  </si>
  <si>
    <t>TOD1005bis_387a</t>
  </si>
  <si>
    <t>KID=387-2</t>
  </si>
  <si>
    <t>TOD1005bis_387b</t>
  </si>
  <si>
    <t>scusate</t>
  </si>
  <si>
    <t>End=953.905|Intonation=Falling|KID=387-3</t>
  </si>
  <si>
    <t>TOD1005bis_388b</t>
  </si>
  <si>
    <t>End=955.786|Intonation=WeaklyRising|KID=388-4</t>
  </si>
  <si>
    <t>TOD1005bis_389</t>
  </si>
  <si>
    <t>KID=389-4</t>
  </si>
  <si>
    <t>TOD1005bis_390a</t>
  </si>
  <si>
    <t>KID=390-4</t>
  </si>
  <si>
    <t>vogliamo</t>
  </si>
  <si>
    <t>KID=390-3</t>
  </si>
  <si>
    <t>TOD1005bis_390b</t>
  </si>
  <si>
    <t>KID=390-10</t>
  </si>
  <si>
    <t>KID=390-13</t>
  </si>
  <si>
    <t>KID=390-18|Relation=conj:reform</t>
  </si>
  <si>
    <t>TOD1005bis_391_392</t>
  </si>
  <si>
    <t>Intonation=Falling|KID=391-3</t>
  </si>
  <si>
    <t>End=968.78|Intonation=WeaklyRising|KID=391-6</t>
  </si>
  <si>
    <t>Begin=969.207|KID=392-0</t>
  </si>
  <si>
    <t>TOD1005bis_393_394</t>
  </si>
  <si>
    <t>KID=393-3|PauseAfter=Yes</t>
  </si>
  <si>
    <t>KID=393-2</t>
  </si>
  <si>
    <t>End=978.179|Intonation=WeaklyRising|KID=394-6</t>
  </si>
  <si>
    <t>TOD1005bis_395</t>
  </si>
  <si>
    <t>Begin=984.093|KID=395-0|PauseAfter=Yes</t>
  </si>
  <si>
    <t>Intonation=Falling|KID=395-6</t>
  </si>
  <si>
    <t>End=987.201|Intonation=Rising|KID=395-9</t>
  </si>
  <si>
    <t>TOD1005bis_396a</t>
  </si>
  <si>
    <t>intervisto</t>
  </si>
  <si>
    <t>Intonation=Falling|KID=396-1</t>
  </si>
  <si>
    <t>TOD1005bis_396b</t>
  </si>
  <si>
    <t>TOD1005bis_397a</t>
  </si>
  <si>
    <t>KID=397-8</t>
  </si>
  <si>
    <t>registra</t>
  </si>
  <si>
    <t>KID=397-12</t>
  </si>
  <si>
    <t>KID=397-16</t>
  </si>
  <si>
    <t>TOD1005bis_397c</t>
  </si>
  <si>
    <t>End=998.003|Intonation=Rising|KID=397-25</t>
  </si>
  <si>
    <t>TOD1005bis_401a</t>
  </si>
  <si>
    <t>KID=401-1</t>
  </si>
  <si>
    <t>TOD1005bis_401b</t>
  </si>
  <si>
    <t>End=1008.506|Intonation=WeaklyRising|KID=401-14</t>
  </si>
  <si>
    <t>KID=401-13</t>
  </si>
  <si>
    <t>TOD1005bis_403a</t>
  </si>
  <si>
    <t>Begin=1010.111|KID=403-0</t>
  </si>
  <si>
    <t>TOD1005bis_403b</t>
  </si>
  <si>
    <t>KID=403-5</t>
  </si>
  <si>
    <t>KID=403-10</t>
  </si>
  <si>
    <t>TOD1005bis_403c</t>
  </si>
  <si>
    <t>KID=403-11</t>
  </si>
  <si>
    <t>KID=403-13|Volume=low</t>
  </si>
  <si>
    <t>KID=403-19</t>
  </si>
  <si>
    <t>TOD1005bis_403d</t>
  </si>
  <si>
    <t>KID=403-27</t>
  </si>
  <si>
    <t>TOD1005bis_404_406</t>
  </si>
  <si>
    <t>KID=404-4</t>
  </si>
  <si>
    <t>KID=404-8|Relation=conj:reform</t>
  </si>
  <si>
    <t>KID=406-2a</t>
  </si>
  <si>
    <t>TOD1005bis_407</t>
  </si>
  <si>
    <t>Begin=1024.667|KID=407-0</t>
  </si>
  <si>
    <t>TOD1005bis_408</t>
  </si>
  <si>
    <t>KID=408-6</t>
  </si>
  <si>
    <t>andava</t>
  </si>
  <si>
    <t>KID=408-9</t>
  </si>
  <si>
    <t>TOD1005bis_409a</t>
  </si>
  <si>
    <t>KID=409-3</t>
  </si>
  <si>
    <t>KID=409-2</t>
  </si>
  <si>
    <t>TOD1005bis_409b</t>
  </si>
  <si>
    <t>End=1037.019|Intonation=WeaklyRising|KID=409-7</t>
  </si>
  <si>
    <t>TOD1005bis_410</t>
  </si>
  <si>
    <t>End=1038.458|Intonation=Rising|KID=410-2</t>
  </si>
  <si>
    <t>KID=410-1</t>
  </si>
  <si>
    <t>TOD1005bis_413</t>
  </si>
  <si>
    <t>KID=413-4</t>
  </si>
  <si>
    <t>KID=413-3</t>
  </si>
  <si>
    <t>TOD1005bis_415a</t>
  </si>
  <si>
    <t>annoiava</t>
  </si>
  <si>
    <t>annoiare</t>
  </si>
  <si>
    <t>KID=415-8|Prolonged=Yes</t>
  </si>
  <si>
    <t>KID=415-7</t>
  </si>
  <si>
    <t>TOD1005bis_415b</t>
  </si>
  <si>
    <t>annoio</t>
  </si>
  <si>
    <t>KID=415-14</t>
  </si>
  <si>
    <t>TOD1005bis_419a</t>
  </si>
  <si>
    <t>KID=419-4</t>
  </si>
  <si>
    <t>TOD1005bis_419b</t>
  </si>
  <si>
    <t>KID=419-8</t>
  </si>
  <si>
    <t>TOD1005bis_419c</t>
  </si>
  <si>
    <t>analizzano</t>
  </si>
  <si>
    <t>analizzare</t>
  </si>
  <si>
    <t>KID=419-14</t>
  </si>
  <si>
    <t>KID=419-19a</t>
  </si>
  <si>
    <t>TOD1005bis_420a</t>
  </si>
  <si>
    <t>KID=420-1</t>
  </si>
  <si>
    <t>TOD1005bis_420b</t>
  </si>
  <si>
    <t>KID=420-3</t>
  </si>
  <si>
    <t>End=1078.188|Intonation=Rising|KID=420-9|Relation=conj:reform</t>
  </si>
  <si>
    <t>TOD1005bis_424_425</t>
  </si>
  <si>
    <t>KID=425-1</t>
  </si>
  <si>
    <t>TOD1005bis_426b</t>
  </si>
  <si>
    <t>KID=426-2</t>
  </si>
  <si>
    <t>TOD1005bis_428</t>
  </si>
  <si>
    <t>KID=428-2</t>
  </si>
  <si>
    <t>KID=428-5|PauseAfter=Yes</t>
  </si>
  <si>
    <t>KID=428-4</t>
  </si>
  <si>
    <t>TOD1005bis_430a</t>
  </si>
  <si>
    <t>KID=430-4|PauseAfter=Yes</t>
  </si>
  <si>
    <t>TOD1005bis_430b</t>
  </si>
  <si>
    <t>KID=430-11</t>
  </si>
  <si>
    <t>KID=430-15</t>
  </si>
  <si>
    <t>KID=430-13</t>
  </si>
  <si>
    <t>TOD1005bis_431</t>
  </si>
  <si>
    <t>Intonation=Falling|KID=431-2</t>
  </si>
  <si>
    <t>TOD1005bis_432</t>
  </si>
  <si>
    <t>KID=432-2</t>
  </si>
  <si>
    <t>citate</t>
  </si>
  <si>
    <t>citare</t>
  </si>
  <si>
    <t>End=1119.774|KID=432-12</t>
  </si>
  <si>
    <t>KID=432-11|Prolonged=Yes</t>
  </si>
  <si>
    <t>TOD1005bis_434</t>
  </si>
  <si>
    <t>KID=434-1</t>
  </si>
  <si>
    <t>End=1124.056|Intonation=WeaklyRising|KID=434-7</t>
  </si>
  <si>
    <t>KID=434-6</t>
  </si>
  <si>
    <t>TOD1005bis_435</t>
  </si>
  <si>
    <t>KID=435-3</t>
  </si>
  <si>
    <t>TOD1005bis_436</t>
  </si>
  <si>
    <t>dillo</t>
  </si>
  <si>
    <t>Intonation=Falling|KID=436-1</t>
  </si>
  <si>
    <t>KID=436-6</t>
  </si>
  <si>
    <t>KID=436-8|Relation=conj:reform</t>
  </si>
  <si>
    <t>TOD1005bis_438</t>
  </si>
  <si>
    <t>KID=438-1</t>
  </si>
  <si>
    <t>KID=438-13</t>
  </si>
  <si>
    <t>TOD1005bis_439</t>
  </si>
  <si>
    <t>messi</t>
  </si>
  <si>
    <t>End=1144.87|Intonation=WeaklyRising|KID=439-3</t>
  </si>
  <si>
    <t>TOD1005bis_440a</t>
  </si>
  <si>
    <t>codificati</t>
  </si>
  <si>
    <t>codificare</t>
  </si>
  <si>
    <t>Begin=1145.561|KID=440-0</t>
  </si>
  <si>
    <t>potremo</t>
  </si>
  <si>
    <t>KID=440-3</t>
  </si>
  <si>
    <t>TOD1005bis_441</t>
  </si>
  <si>
    <t>KID=441-2|PauseAfter=Yes</t>
  </si>
  <si>
    <t>TOD1005bis_443</t>
  </si>
  <si>
    <t>KID=443-2</t>
  </si>
  <si>
    <t>End=1157.576|Intonation=WeaklyRising|KID=443-7</t>
  </si>
  <si>
    <t>TOD1005bis_444</t>
  </si>
  <si>
    <t>KID=444-3</t>
  </si>
  <si>
    <t>scrivete</t>
  </si>
  <si>
    <t>KID=444-5|Relation=conj:reform</t>
  </si>
  <si>
    <t>TOD1005bis_445_446</t>
  </si>
  <si>
    <t>fece</t>
  </si>
  <si>
    <t>KID=446-1</t>
  </si>
  <si>
    <t>fiorire</t>
  </si>
  <si>
    <t>KID=446-2</t>
  </si>
  <si>
    <t>TOD1005bis_447_448b</t>
  </si>
  <si>
    <t>facessero</t>
  </si>
  <si>
    <t>KID=448-2</t>
  </si>
  <si>
    <t>TOD1005bis_450</t>
  </si>
  <si>
    <t>scrisse</t>
  </si>
  <si>
    <t>KID=450-1</t>
  </si>
  <si>
    <t>TOD1005bis_451</t>
  </si>
  <si>
    <t>KID=451-3</t>
  </si>
  <si>
    <t>TOD1005bis_455_456_457</t>
  </si>
  <si>
    <t>KID=455-2</t>
  </si>
  <si>
    <t>KID=455-1</t>
  </si>
  <si>
    <t>TOD1005bis_458</t>
  </si>
  <si>
    <t>KID=458-4</t>
  </si>
  <si>
    <t>TOD1005bis_460_461</t>
  </si>
  <si>
    <t>imparò</t>
  </si>
  <si>
    <t>Begin=1206.883|KID=461-0</t>
  </si>
  <si>
    <t>KID=461-5|Relation=conj:reform</t>
  </si>
  <si>
    <t>KID=461-9|Relation=conj:reform</t>
  </si>
  <si>
    <t>scrissero</t>
  </si>
  <si>
    <t>KID=461-12</t>
  </si>
  <si>
    <t>TOD1005bis_462</t>
  </si>
  <si>
    <t>Intonation=Falling|KID=462-1</t>
  </si>
  <si>
    <t>TOD1005bis_463</t>
  </si>
  <si>
    <t>End=1216.614|KID=463-10</t>
  </si>
  <si>
    <t>KID=463-9</t>
  </si>
  <si>
    <t>TOD1005bis_464</t>
  </si>
  <si>
    <t>KID=464-5</t>
  </si>
  <si>
    <t>KID=464-4</t>
  </si>
  <si>
    <t>TOD1005bis_465</t>
  </si>
  <si>
    <t>KID=465-1</t>
  </si>
  <si>
    <t>Begin=1220.806|KID=465-0</t>
  </si>
  <si>
    <t>KID=465-5</t>
  </si>
  <si>
    <t>KID=465-4</t>
  </si>
  <si>
    <t>TOD1005bis_466</t>
  </si>
  <si>
    <t>KID=466-1</t>
  </si>
  <si>
    <t>Begin=1226.401|KID=466-0</t>
  </si>
  <si>
    <t>TOD1005bis_467</t>
  </si>
  <si>
    <t>KID=467-1</t>
  </si>
  <si>
    <t>End=1232.165|Intonation=WeaklyRising|KID=467-8|Relation=conj:reform</t>
  </si>
  <si>
    <t>TOD1005bis_468_469</t>
  </si>
  <si>
    <t>KID=468-7</t>
  </si>
  <si>
    <t>KID=468-6</t>
  </si>
  <si>
    <t>KID=468-9</t>
  </si>
  <si>
    <t>TOD1005bis_470a</t>
  </si>
  <si>
    <t>KID=470-6</t>
  </si>
  <si>
    <t>KID=470-5</t>
  </si>
  <si>
    <t>KID=470-8|Relation=conj:reform</t>
  </si>
  <si>
    <t>TOD1005bis_470b</t>
  </si>
  <si>
    <t>KID=470-12|PaceSlow=Yes</t>
  </si>
  <si>
    <t>KID=470-14</t>
  </si>
  <si>
    <t>trovar</t>
  </si>
  <si>
    <t>KID=470-18a</t>
  </si>
  <si>
    <t>KID=470-19</t>
  </si>
  <si>
    <t>TOD1005bis_471_472</t>
  </si>
  <si>
    <t>Begin=1248.45|KID=471-0</t>
  </si>
  <si>
    <t>KID=472-2</t>
  </si>
  <si>
    <t>KID=472-1</t>
  </si>
  <si>
    <t>TOD1005bis_473</t>
  </si>
  <si>
    <t>KID=473-2</t>
  </si>
  <si>
    <t>TOD1005bis_474</t>
  </si>
  <si>
    <t>KID=474-3</t>
  </si>
  <si>
    <t>abbiano</t>
  </si>
  <si>
    <t>KID=474-2</t>
  </si>
  <si>
    <t>End=1257.711|KID=474-7|Relation=conj:reform</t>
  </si>
  <si>
    <t>TOD1005bis_476</t>
  </si>
  <si>
    <t>End=1263.805|Intonation=WeaklyRising|KID=476-13</t>
  </si>
  <si>
    <t>TOD1005bis_483_484_485a</t>
  </si>
  <si>
    <t>Begin=1277.268|End=1277.706|KID=483-0|Prolonged=Yes</t>
  </si>
  <si>
    <t>celebra</t>
  </si>
  <si>
    <t>celebrare</t>
  </si>
  <si>
    <t>KID=485-1</t>
  </si>
  <si>
    <t>TOD1005bis_485b</t>
  </si>
  <si>
    <t>KID=485-11</t>
  </si>
  <si>
    <t>pronuncio</t>
  </si>
  <si>
    <t>pronunciare</t>
  </si>
  <si>
    <t>KID=485-14</t>
  </si>
  <si>
    <t>KID=485-19</t>
  </si>
  <si>
    <t>TOD1005bis_486</t>
  </si>
  <si>
    <t>morti</t>
  </si>
  <si>
    <t>morire</t>
  </si>
  <si>
    <t>KID=486-4|Prolonged=Yes</t>
  </si>
  <si>
    <t>KID=486-2</t>
  </si>
  <si>
    <t>KID=486-9</t>
  </si>
  <si>
    <t>contraddire</t>
  </si>
  <si>
    <t>End=1290.68|Intonation=WeaklyRising|KID=486-16</t>
  </si>
  <si>
    <t>KID=486-15</t>
  </si>
  <si>
    <t>TOD1005bis_488</t>
  </si>
  <si>
    <t>KID=488-1|PauseAfter=Yes</t>
  </si>
  <si>
    <t>TOD1005bis_490b</t>
  </si>
  <si>
    <t>KID=490-5</t>
  </si>
  <si>
    <t>KID=490-4</t>
  </si>
  <si>
    <t>TOD1005bis_493_494_495</t>
  </si>
  <si>
    <t>andato</t>
  </si>
  <si>
    <t>KID=494-1</t>
  </si>
  <si>
    <t>Begin=1308.056|KID=494-0</t>
  </si>
  <si>
    <t>TOD1005bis_496</t>
  </si>
  <si>
    <t>KID=496-1</t>
  </si>
  <si>
    <t>Begin=1311.756|KID=496-0</t>
  </si>
  <si>
    <t>TOD1005bis_497_498</t>
  </si>
  <si>
    <t>sterminato</t>
  </si>
  <si>
    <t>sterminare</t>
  </si>
  <si>
    <t>Intonation=Falling|KID=497-3|Prolonged=Yes</t>
  </si>
  <si>
    <t>KID=497-1</t>
  </si>
  <si>
    <t>TOD1005bis_500</t>
  </si>
  <si>
    <t>KID=500-3</t>
  </si>
  <si>
    <t>TOD1005bis_501_502</t>
  </si>
  <si>
    <t>KID=502-5</t>
  </si>
  <si>
    <t>KID=502-2</t>
  </si>
  <si>
    <t>KID=502-19|Relation=conj:reform</t>
  </si>
  <si>
    <t>TOD1005bis_504_505_506</t>
  </si>
  <si>
    <t>KID=504-1</t>
  </si>
  <si>
    <t>chiamano</t>
  </si>
  <si>
    <t>KID=506-3</t>
  </si>
  <si>
    <t>TOD1005bis_507</t>
  </si>
  <si>
    <t>avvenuta</t>
  </si>
  <si>
    <t>avvenire</t>
  </si>
  <si>
    <t>KID=507-2</t>
  </si>
  <si>
    <t>KID=507-1</t>
  </si>
  <si>
    <t>TOD1005bis_509</t>
  </si>
  <si>
    <t>KID=509-8</t>
  </si>
  <si>
    <t>TOD1005bis_511</t>
  </si>
  <si>
    <t>KID=511-1</t>
  </si>
  <si>
    <t>chiamava</t>
  </si>
  <si>
    <t>KID=511-6</t>
  </si>
  <si>
    <t>TOD1005bis_512</t>
  </si>
  <si>
    <t>KID=512-4</t>
  </si>
  <si>
    <t>KID=512-2</t>
  </si>
  <si>
    <t>TOD1005bis_514_515</t>
  </si>
  <si>
    <t>KID=515-6</t>
  </si>
  <si>
    <t>vengo</t>
  </si>
  <si>
    <t>KID=515-12</t>
  </si>
  <si>
    <t>TOD1005bis_516</t>
  </si>
  <si>
    <t>KID=516-3</t>
  </si>
  <si>
    <t>TOD1005bis_517</t>
  </si>
  <si>
    <t>arrivano</t>
  </si>
  <si>
    <t>KID=517-4</t>
  </si>
  <si>
    <t>TOD1005bis_518</t>
  </si>
  <si>
    <t>KID=518-1</t>
  </si>
  <si>
    <t>KID=518-5</t>
  </si>
  <si>
    <t>TOD1005bis_519</t>
  </si>
  <si>
    <t>KID=519-7</t>
  </si>
  <si>
    <t>parlasse</t>
  </si>
  <si>
    <t>KID=519-13|PauseAfter=Yes</t>
  </si>
  <si>
    <t>TOD1005bis_521</t>
  </si>
  <si>
    <t>Begin=1379.346|End=1379.817|KID=521-0</t>
  </si>
  <si>
    <t>TOD1005bis_522_523_524</t>
  </si>
  <si>
    <t>Begin=1383.35|KID=523-0</t>
  </si>
  <si>
    <t>KID=523-3</t>
  </si>
  <si>
    <t>TOD1005bis_525_526_527</t>
  </si>
  <si>
    <t>KID=526-8</t>
  </si>
  <si>
    <t>End=1392.247|KID=526-16</t>
  </si>
  <si>
    <t>KID=526-15</t>
  </si>
  <si>
    <t>TOD1005bis_528_529</t>
  </si>
  <si>
    <t>KID=528-3</t>
  </si>
  <si>
    <t>KID=528-8</t>
  </si>
  <si>
    <t>grattugiar</t>
  </si>
  <si>
    <t>grattugiare</t>
  </si>
  <si>
    <t>KID=528-16a</t>
  </si>
  <si>
    <t>KID=528-15</t>
  </si>
  <si>
    <t>Begin=1400.399|KID=529-0|Relation=conj:reform</t>
  </si>
  <si>
    <t>KID=529-8</t>
  </si>
  <si>
    <t>TOD1005bis_530</t>
  </si>
  <si>
    <t>KID=530-2</t>
  </si>
  <si>
    <t>KID=530-5</t>
  </si>
  <si>
    <t>End=1407.999|Intonation=Falling|KID=530-15</t>
  </si>
  <si>
    <t>TOD1005bis_531</t>
  </si>
  <si>
    <t>KID=531-3</t>
  </si>
  <si>
    <t>End=1411.564|Intonation=Falling|KID=531-12|Relation=conj:reform</t>
  </si>
  <si>
    <t>KID=531-11</t>
  </si>
  <si>
    <t>TOD1005bis_532</t>
  </si>
  <si>
    <t>KID=532-8</t>
  </si>
  <si>
    <t>KID=532-6</t>
  </si>
  <si>
    <t>TOD1005bis_534_535_536a</t>
  </si>
  <si>
    <t>KID=534-7</t>
  </si>
  <si>
    <t>KID=536-8</t>
  </si>
  <si>
    <t>KID=536-7</t>
  </si>
  <si>
    <t>KID=536-12|PauseAfter=Yes</t>
  </si>
  <si>
    <t>KID=536-10</t>
  </si>
  <si>
    <t>TOD1005bis_536b</t>
  </si>
  <si>
    <t>End=1423.648|KID=536-20</t>
  </si>
  <si>
    <t>TOD1005bis_541</t>
  </si>
  <si>
    <t>KID=541-1|PauseAfter=Yes</t>
  </si>
  <si>
    <t>Begin=1431.375|KID=541-0</t>
  </si>
  <si>
    <t>TOD1005bis_549</t>
  </si>
  <si>
    <t>KID=549-2|Volume=low</t>
  </si>
  <si>
    <t>KID=549-1|Volume=low</t>
  </si>
  <si>
    <t>TOD1005bis_550</t>
  </si>
  <si>
    <t>KID=550-3</t>
  </si>
  <si>
    <t>TOD1005bis_554b_555</t>
  </si>
  <si>
    <t>citato</t>
  </si>
  <si>
    <t>KID=554-15</t>
  </si>
  <si>
    <t>KID=554-14</t>
  </si>
  <si>
    <t>TOD1005bis_558</t>
  </si>
  <si>
    <t>KID=558-5</t>
  </si>
  <si>
    <t>KID=558-20</t>
  </si>
  <si>
    <t>TOD1005bis_559</t>
  </si>
  <si>
    <t>canta</t>
  </si>
  <si>
    <t>cantare</t>
  </si>
  <si>
    <t>KID=559-6</t>
  </si>
  <si>
    <t>suona</t>
  </si>
  <si>
    <t>KID=559-9|Relation=conj:reform</t>
  </si>
  <si>
    <t>KID=559-10|Relation=conj:reform</t>
  </si>
  <si>
    <t>KID=559-12</t>
  </si>
  <si>
    <t>TOD1005bis_560</t>
  </si>
  <si>
    <t>venuti</t>
  </si>
  <si>
    <t>KID=560-3</t>
  </si>
  <si>
    <t>KID=560-2</t>
  </si>
  <si>
    <t>portar</t>
  </si>
  <si>
    <t>KID=560-10a</t>
  </si>
  <si>
    <t>TOD1005bis_562_563</t>
  </si>
  <si>
    <t>KID=562-5</t>
  </si>
  <si>
    <t>End=1489.012|KID=563-2</t>
  </si>
  <si>
    <t>TOD1005bis_565a</t>
  </si>
  <si>
    <t>KID=565-1</t>
  </si>
  <si>
    <t>Begin=1491.968|KID=565-0</t>
  </si>
  <si>
    <t>KID=565-5|Relation=conj:reform</t>
  </si>
  <si>
    <t>KID=565-4</t>
  </si>
  <si>
    <t>TOD1005bis_565b</t>
  </si>
  <si>
    <t>KID=565-10</t>
  </si>
  <si>
    <t>interpretato</t>
  </si>
  <si>
    <t>interpretare</t>
  </si>
  <si>
    <t>KID=565-17</t>
  </si>
  <si>
    <t>KID=565-15|PauseAfter=Yes</t>
  </si>
  <si>
    <t>TOD1005bis_566</t>
  </si>
  <si>
    <t>KID=566-4|PauseAfter=Yes</t>
  </si>
  <si>
    <t>KID=566-3</t>
  </si>
  <si>
    <t>TOD1005bis_568</t>
  </si>
  <si>
    <t>End=1503.787|KID=568-3</t>
  </si>
  <si>
    <t>TOD1005bis_569</t>
  </si>
  <si>
    <t>KID=569-1</t>
  </si>
  <si>
    <t>TOD1005bis_571</t>
  </si>
  <si>
    <t>KID=571-9</t>
  </si>
  <si>
    <t>KID=571-8</t>
  </si>
  <si>
    <t>TOD1005bis_572_573_574_575</t>
  </si>
  <si>
    <t>KID=572-4</t>
  </si>
  <si>
    <t>KID=572-3</t>
  </si>
  <si>
    <t>End=1517.294|Intonation=Falling|KID=572-13</t>
  </si>
  <si>
    <t>KID=572-12</t>
  </si>
  <si>
    <t>TOD1005bis_580</t>
  </si>
  <si>
    <t>KID=580-4</t>
  </si>
  <si>
    <t>TOD1005bis_587</t>
  </si>
  <si>
    <t>iscritto</t>
  </si>
  <si>
    <t>KID=587-5</t>
  </si>
  <si>
    <t>KID=587-1</t>
  </si>
  <si>
    <t>TOD1005bis_588</t>
  </si>
  <si>
    <t>KID=588-10</t>
  </si>
  <si>
    <t>KID=588-7</t>
  </si>
  <si>
    <t>KID=588-12</t>
  </si>
  <si>
    <t>TOD1005bis_589_590</t>
  </si>
  <si>
    <t>KID=589-2</t>
  </si>
  <si>
    <t>suppone</t>
  </si>
  <si>
    <t>supporre</t>
  </si>
  <si>
    <t>End=1542.887|KID=589-10|PaceSlow=Yes</t>
  </si>
  <si>
    <t>KID=590-2</t>
  </si>
  <si>
    <t>TOD1005bis_593</t>
  </si>
  <si>
    <t>KID=593-7</t>
  </si>
  <si>
    <t>KID=593-6</t>
  </si>
  <si>
    <t>KID=593-10</t>
  </si>
  <si>
    <t>parlava</t>
  </si>
  <si>
    <t>KID=593-13</t>
  </si>
  <si>
    <t>KID=593-17</t>
  </si>
  <si>
    <t>KID=593-16</t>
  </si>
  <si>
    <t>TOD1005bis_597</t>
  </si>
  <si>
    <t>pensavamo</t>
  </si>
  <si>
    <t>End=1569.862|Intonation=Falling|KID=597-3</t>
  </si>
  <si>
    <t>TOD1005bis_601</t>
  </si>
  <si>
    <t>KID=601-4</t>
  </si>
  <si>
    <t>TOD1005bis_602</t>
  </si>
  <si>
    <t>basare</t>
  </si>
  <si>
    <t>KID=602-3|Prolonged=Yes</t>
  </si>
  <si>
    <t>KID=602-2|Prolonged=Yes</t>
  </si>
  <si>
    <t>KID=602-15</t>
  </si>
  <si>
    <t>KID=602-14</t>
  </si>
  <si>
    <t>TOD1005bis_604_605</t>
  </si>
  <si>
    <t>KID=604-4</t>
  </si>
  <si>
    <t>KID=604-3</t>
  </si>
  <si>
    <t>KID=604-8</t>
  </si>
  <si>
    <t>TOD1005bis_607</t>
  </si>
  <si>
    <t>TOD1005bis_610</t>
  </si>
  <si>
    <t>KID=610-1</t>
  </si>
  <si>
    <t>Begin=1597.061|KID=610-0</t>
  </si>
  <si>
    <t>TOD1005bis_612</t>
  </si>
  <si>
    <t>KID=612-1|PaceFast=Yes</t>
  </si>
  <si>
    <t>Begin=1603.062|KID=612-0</t>
  </si>
  <si>
    <t>TOD1005bis_613_614_615</t>
  </si>
  <si>
    <t>Begin=1607.649|KID=615-0|PauseAfter=Yes</t>
  </si>
  <si>
    <t>KID=615-2</t>
  </si>
  <si>
    <t>TOD1005bis_616</t>
  </si>
  <si>
    <t>KID=616-1</t>
  </si>
  <si>
    <t>KID=616-3</t>
  </si>
  <si>
    <t>KID=616-6</t>
  </si>
  <si>
    <t>scriveva</t>
  </si>
  <si>
    <t>End=1612.833|KID=616-10</t>
  </si>
  <si>
    <t>TOD1005bis_617</t>
  </si>
  <si>
    <t>KID=617-5</t>
  </si>
  <si>
    <t>KID=617-4</t>
  </si>
  <si>
    <t>TOD1005bis_618</t>
  </si>
  <si>
    <t>provenga</t>
  </si>
  <si>
    <t>provenire</t>
  </si>
  <si>
    <t>KID=618-1|PaceSlow=Yes</t>
  </si>
  <si>
    <t>End=1618.53|KID=618-4|PaceSlow=Yes</t>
  </si>
  <si>
    <t>TOD1005bis_623_624_625</t>
  </si>
  <si>
    <t>KID=623-7</t>
  </si>
  <si>
    <t>End=1635.131|Intonation=Falling|KID=625-2</t>
  </si>
  <si>
    <t>potreste</t>
  </si>
  <si>
    <t>KID=625-1</t>
  </si>
  <si>
    <t>TOD1005bis_628a</t>
  </si>
  <si>
    <t>KID=628-3</t>
  </si>
  <si>
    <t>TOD1005bis_633</t>
  </si>
  <si>
    <t>Begin=1646.9|KID=633-0</t>
  </si>
  <si>
    <t>faccia</t>
  </si>
  <si>
    <t>KID=633-3</t>
  </si>
  <si>
    <t>TOD1005bis_634_635</t>
  </si>
  <si>
    <t>KID=634-8</t>
  </si>
  <si>
    <t>KID=635-2</t>
  </si>
  <si>
    <t>TOD1005bis_637a</t>
  </si>
  <si>
    <t>passati</t>
  </si>
  <si>
    <t>KID=637-4|Prolonged=Yes</t>
  </si>
  <si>
    <t>KID=637-3</t>
  </si>
  <si>
    <t>TOD1005bis_637b</t>
  </si>
  <si>
    <t>KID=637-8</t>
  </si>
  <si>
    <t>avrete</t>
  </si>
  <si>
    <t>KID=637-7</t>
  </si>
  <si>
    <t>KID=637-9</t>
  </si>
  <si>
    <t>TOD1005bis_638</t>
  </si>
  <si>
    <t>incontra</t>
  </si>
  <si>
    <t>KID=638-8</t>
  </si>
  <si>
    <t>TOD1005bis_645_646_647_648_649</t>
  </si>
  <si>
    <t>KID=645-1</t>
  </si>
  <si>
    <t>scrivevano</t>
  </si>
  <si>
    <t>Begin=1678.479|End=1679.22|KID=649-0</t>
  </si>
  <si>
    <t>TOD1005bis_651</t>
  </si>
  <si>
    <t>inventati</t>
  </si>
  <si>
    <t>inventare</t>
  </si>
  <si>
    <t>KID=651-2</t>
  </si>
  <si>
    <t>KID=651-1</t>
  </si>
  <si>
    <t>TOD1005bis_652</t>
  </si>
  <si>
    <t>KID=652-1</t>
  </si>
  <si>
    <t>TOD1005bis_653</t>
  </si>
  <si>
    <t>End=1685.435|KID=653-3</t>
  </si>
  <si>
    <t>TOD1005bis_655_656_657_658</t>
  </si>
  <si>
    <t>End=1690.809|KID=656-1</t>
  </si>
  <si>
    <t>TOD1005bis_666</t>
  </si>
  <si>
    <t>KID=666-1</t>
  </si>
  <si>
    <t>TOD1005bis_667_668</t>
  </si>
  <si>
    <t>End=1702.422|KID=667-2</t>
  </si>
  <si>
    <t>KID=668-4</t>
  </si>
  <si>
    <t>KID=668-8|Relation=conj:reform</t>
  </si>
  <si>
    <t>End=1705.27|KID=668-11</t>
  </si>
  <si>
    <t>TOD1005bis_673</t>
  </si>
  <si>
    <t>KID=673-3</t>
  </si>
  <si>
    <t>entrava</t>
  </si>
  <si>
    <t>KID=673-10</t>
  </si>
  <si>
    <t>KID=673-12|Relation=conj:reform</t>
  </si>
  <si>
    <t>TOD1005bis_674</t>
  </si>
  <si>
    <t>KID=674-3</t>
  </si>
  <si>
    <t>TOD1005bis_675_676</t>
  </si>
  <si>
    <t>End=1719.194|KID=675-2</t>
  </si>
  <si>
    <t>TOD1005bis_679_680</t>
  </si>
  <si>
    <t>Begin=1723.37|KID=679-0</t>
  </si>
  <si>
    <t>End=1724.87|Intonation=WeaklyRising|KID=679-4</t>
  </si>
  <si>
    <t>End=1728.735|KID=680-6|Prolonged=Yes</t>
  </si>
  <si>
    <t>TOD1005bis_682_683</t>
  </si>
  <si>
    <t>conquistano</t>
  </si>
  <si>
    <t>conquistare</t>
  </si>
  <si>
    <t>KID=682-1</t>
  </si>
  <si>
    <t>Begin=1737.179|KID=683-0</t>
  </si>
  <si>
    <t>TOD1005bis_684</t>
  </si>
  <si>
    <t>chiameranno</t>
  </si>
  <si>
    <t>KID=684-7</t>
  </si>
  <si>
    <t>TOD1005bis_688</t>
  </si>
  <si>
    <t>KID=688-1|PaceFast=Yes</t>
  </si>
  <si>
    <t>KID=688-3|PaceFast=Yes|Relation=conj:reform</t>
  </si>
  <si>
    <t>KID=688-6</t>
  </si>
  <si>
    <t>End=1750.188|KID=688-12</t>
  </si>
  <si>
    <t>TOD1005bis_689</t>
  </si>
  <si>
    <t>End=1750.189|Intonation=WeaklyRising|KID=689-3</t>
  </si>
  <si>
    <t>TOD1005bis_690_691_692a</t>
  </si>
  <si>
    <t>vendevano</t>
  </si>
  <si>
    <t>vendere</t>
  </si>
  <si>
    <t>KID=690-1|PaceSlow=Yes</t>
  </si>
  <si>
    <t>TOD1005bis_692b</t>
  </si>
  <si>
    <t>KID=692-8</t>
  </si>
  <si>
    <t>KID=692-15</t>
  </si>
  <si>
    <t>comprava</t>
  </si>
  <si>
    <t>End=1758.7|KID=692-20</t>
  </si>
  <si>
    <t>TOD1005bis_694</t>
  </si>
  <si>
    <t>KID=694-4</t>
  </si>
  <si>
    <t>TOD1005bis_695_696</t>
  </si>
  <si>
    <t>Begin=1766.588|KID=695-0|PaceSlow=Yes</t>
  </si>
  <si>
    <t>arricchiti</t>
  </si>
  <si>
    <t>arricchire</t>
  </si>
  <si>
    <t>KID=695-3|PaceSlow=Yes</t>
  </si>
  <si>
    <t>KID=695-2|PaceSlow=Yes</t>
  </si>
  <si>
    <t>diventati</t>
  </si>
  <si>
    <t>KID=695-5|PaceFast=Yes|Relation=conj:reform</t>
  </si>
  <si>
    <t>KID=695-4|PaceFast=Yes</t>
  </si>
  <si>
    <t>spacciando</t>
  </si>
  <si>
    <t>spacciare</t>
  </si>
  <si>
    <t>End=1770.661|Intonation=WeaklyRising|KID=695-7|PaceSlow=Yes</t>
  </si>
  <si>
    <t>TOD1005bis_702</t>
  </si>
  <si>
    <t>cresce</t>
  </si>
  <si>
    <t>End=1788.813|KID=702-2</t>
  </si>
  <si>
    <t>TOD1005bis_703</t>
  </si>
  <si>
    <t>Begin=1789.4|KID=703-0</t>
  </si>
  <si>
    <t>TOD1005bis_704_705_706a</t>
  </si>
  <si>
    <t>comprata</t>
  </si>
  <si>
    <t>End=1796.289|KID=704-3</t>
  </si>
  <si>
    <t>KID=704-2</t>
  </si>
  <si>
    <t>TOD1005bis_706b</t>
  </si>
  <si>
    <t>KID=706-6</t>
  </si>
  <si>
    <t>TOD1005bis_707</t>
  </si>
  <si>
    <t>KID=707-3</t>
  </si>
  <si>
    <t>TOD1005bis_708_709_710</t>
  </si>
  <si>
    <t>costava</t>
  </si>
  <si>
    <t>End=1806.656|KID=709-1</t>
  </si>
  <si>
    <t>TOD1005bis_711_712</t>
  </si>
  <si>
    <t>KID=711-3</t>
  </si>
  <si>
    <t>KID=712-11</t>
  </si>
  <si>
    <t>TOD1005bis_714a</t>
  </si>
  <si>
    <t>producevano</t>
  </si>
  <si>
    <t>produrre</t>
  </si>
  <si>
    <t>KID=714-5</t>
  </si>
  <si>
    <t>TOD1005bis_714b</t>
  </si>
  <si>
    <t>KID=714-6</t>
  </si>
  <si>
    <t>TOD1005bis_715</t>
  </si>
  <si>
    <t>volevano</t>
  </si>
  <si>
    <t>KID=715-3</t>
  </si>
  <si>
    <t>KID=715-5|Relation=conj:reform</t>
  </si>
  <si>
    <t>KID=715-6</t>
  </si>
  <si>
    <t>prendete</t>
  </si>
  <si>
    <t>KID=715-8</t>
  </si>
  <si>
    <t>TOD1005bis_716</t>
  </si>
  <si>
    <t>End=1828.441|Intonation=Falling|KID=716-2</t>
  </si>
  <si>
    <t>KID=716-1</t>
  </si>
  <si>
    <t>TOD1005bis_717</t>
  </si>
  <si>
    <t>KID=717-1</t>
  </si>
  <si>
    <t>TOD1005bis_718</t>
  </si>
  <si>
    <t>KID=718-4</t>
  </si>
  <si>
    <t>TOD1005bis_720</t>
  </si>
  <si>
    <t>KID=720-1</t>
  </si>
  <si>
    <t>TOD1005bis_722</t>
  </si>
  <si>
    <t>KID=722-1</t>
  </si>
  <si>
    <t>KID=722-6|Relation=conj:reform</t>
  </si>
  <si>
    <t>indicare</t>
  </si>
  <si>
    <t>KID=722-11</t>
  </si>
  <si>
    <t>TOD1005bis_727</t>
  </si>
  <si>
    <t>KID=727-2</t>
  </si>
  <si>
    <t>KID=727-6|Prolonged=Yes</t>
  </si>
  <si>
    <t>TOD1005bis_728</t>
  </si>
  <si>
    <t>KID=728-7</t>
  </si>
  <si>
    <t>TOD1005bis_729_730</t>
  </si>
  <si>
    <t>End=1866.241|KID=729-17</t>
  </si>
  <si>
    <t>TOD1005bis_731</t>
  </si>
  <si>
    <t>KID=731-5</t>
  </si>
  <si>
    <t>TOD1005bis_732</t>
  </si>
  <si>
    <t>chiamata</t>
  </si>
  <si>
    <t>KID=732-2</t>
  </si>
  <si>
    <t>KID=732-1</t>
  </si>
  <si>
    <t>KID=732-8</t>
  </si>
  <si>
    <t>End=1874.359|Intonation=WeaklyRising|KID=732-12</t>
  </si>
  <si>
    <t>TOD1005bis_733</t>
  </si>
  <si>
    <t>KID=733-1</t>
  </si>
  <si>
    <t>TOD1005bis_736</t>
  </si>
  <si>
    <t>brucia</t>
  </si>
  <si>
    <t>bruciare</t>
  </si>
  <si>
    <t>End=1879.562|Intonation=Falling|KID=736-3</t>
  </si>
  <si>
    <t>TOD1005bis_738_739</t>
  </si>
  <si>
    <t>Interrupted=Yes|KID=739-1</t>
  </si>
  <si>
    <t>End=1880.968|KID=738-1</t>
  </si>
  <si>
    <t>mettete</t>
  </si>
  <si>
    <t>KID=739-3|Relation=conj:reform</t>
  </si>
  <si>
    <t>KID=739-13</t>
  </si>
  <si>
    <t>TOD1005bis_740_741_742a</t>
  </si>
  <si>
    <t>arrivate</t>
  </si>
  <si>
    <t>KID=740-1</t>
  </si>
  <si>
    <t>bruciano</t>
  </si>
  <si>
    <t>KID=740-7</t>
  </si>
  <si>
    <t>KID=740-14</t>
  </si>
  <si>
    <t>TOD1005bis_742b</t>
  </si>
  <si>
    <t>KID=742-4</t>
  </si>
  <si>
    <t>KID=742-3</t>
  </si>
  <si>
    <t>KID=742-6</t>
  </si>
  <si>
    <t>TOD1005bis_744_745</t>
  </si>
  <si>
    <t>KID=744-3</t>
  </si>
  <si>
    <t>KID=744-2</t>
  </si>
  <si>
    <t>KID=744-6</t>
  </si>
  <si>
    <t>abbia</t>
  </si>
  <si>
    <t>KID=744-8</t>
  </si>
  <si>
    <t>KID=745-3</t>
  </si>
  <si>
    <t>vada</t>
  </si>
  <si>
    <t>KID=745-5</t>
  </si>
  <si>
    <t>TOD1005bis_746a</t>
  </si>
  <si>
    <t>sciogliere</t>
  </si>
  <si>
    <t>KID=746-2</t>
  </si>
  <si>
    <t>KID=746-1</t>
  </si>
  <si>
    <t>masticare</t>
  </si>
  <si>
    <t>KID=746-8</t>
  </si>
  <si>
    <t>KID=746-7</t>
  </si>
  <si>
    <t>TOD1005bis_746b</t>
  </si>
  <si>
    <t>KID=746-11</t>
  </si>
  <si>
    <t>End=1909.118|KID=746-16</t>
  </si>
  <si>
    <t>TOD1005bis_747</t>
  </si>
  <si>
    <t>giuro</t>
  </si>
  <si>
    <t>giurare</t>
  </si>
  <si>
    <t>Begin=1909.38|End=1909.735|Intonation=Falling|KID=747-0</t>
  </si>
  <si>
    <t>TOD1005bis_748</t>
  </si>
  <si>
    <t>KID=748-1a</t>
  </si>
  <si>
    <t>Begin=1909.8|KID=748-0</t>
  </si>
  <si>
    <t>KID=748-5|Relation=conj:reform</t>
  </si>
  <si>
    <t>KID=748-4</t>
  </si>
  <si>
    <t>TOD1005bis_749</t>
  </si>
  <si>
    <t>KID=749-2</t>
  </si>
  <si>
    <t>TOD1005bis_751_752</t>
  </si>
  <si>
    <t>attacca</t>
  </si>
  <si>
    <t>attaccare</t>
  </si>
  <si>
    <t>KID=751-3</t>
  </si>
  <si>
    <t>End=1917.358|KID=751-9</t>
  </si>
  <si>
    <t>TOD1005bis_753b_754</t>
  </si>
  <si>
    <t>Intonation=Falling|KID=753-13|Prolonged=Yes</t>
  </si>
  <si>
    <t>TOD1005bis_760</t>
  </si>
  <si>
    <t>KID=760-2</t>
  </si>
  <si>
    <t>smerciavano</t>
  </si>
  <si>
    <t>smerciare</t>
  </si>
  <si>
    <t>End=1936.399|Intonation=WeaklyRising|KID=760-13|Prolonged=Yes</t>
  </si>
  <si>
    <t>TOD1005bis_761</t>
  </si>
  <si>
    <t>compravano</t>
  </si>
  <si>
    <t>KID=761-2</t>
  </si>
  <si>
    <t>KID=761-6|Relation=conj:reform</t>
  </si>
  <si>
    <t>KID=761-10|Relation=conj:reform</t>
  </si>
  <si>
    <t>TOD1005bis_762</t>
  </si>
  <si>
    <t>KID=762-1</t>
  </si>
  <si>
    <t>KID=762-6|Relation=conj:reform</t>
  </si>
  <si>
    <t>TOD1005bis_763</t>
  </si>
  <si>
    <t>KID=763-1</t>
  </si>
  <si>
    <t>TOD1005bis_765</t>
  </si>
  <si>
    <t>End=1950.357|KID=765-2</t>
  </si>
  <si>
    <t>TOD1005bis_766</t>
  </si>
  <si>
    <t>KID=766-9</t>
  </si>
  <si>
    <t>KID=766-12</t>
  </si>
  <si>
    <t>End=1957.681|Intonation=Falling|KID=766-16|Relation=conj:reform</t>
  </si>
  <si>
    <t>TOD1005bis_767</t>
  </si>
  <si>
    <t>KID=767-3</t>
  </si>
  <si>
    <t>TOD1005bis_768</t>
  </si>
  <si>
    <t>tenetevi</t>
  </si>
  <si>
    <t>Begin=1960.261|End=1960.871|KID=768-0</t>
  </si>
  <si>
    <t>TOD1005bis_769</t>
  </si>
  <si>
    <t>Begin=1961.073|KID=769-0</t>
  </si>
  <si>
    <t>TOD1005bis_770</t>
  </si>
  <si>
    <t>End=1964.173|KID=770-2|Prolonged=Yes</t>
  </si>
  <si>
    <t>TOD1005bis_773</t>
  </si>
  <si>
    <t>morte</t>
  </si>
  <si>
    <t>End=1968.175|Intonation=Falling|KID=773-3</t>
  </si>
  <si>
    <t>KID=773-2</t>
  </si>
  <si>
    <t>TOD1005bis_774_775_776</t>
  </si>
  <si>
    <t>KID=775-1</t>
  </si>
  <si>
    <t>Begin=1970.645|KID=775-0</t>
  </si>
  <si>
    <t>KID=775-6|Relation=conj:reform</t>
  </si>
  <si>
    <t>Begin=1973.915|KID=776-0</t>
  </si>
  <si>
    <t>End=1973.41|KID=775-9</t>
  </si>
  <si>
    <t>TOD1005bis_777</t>
  </si>
  <si>
    <t>morto</t>
  </si>
  <si>
    <t>KID=777-4</t>
  </si>
  <si>
    <t>KID=777-3</t>
  </si>
  <si>
    <t>TOD1005bis_779</t>
  </si>
  <si>
    <t>esportato</t>
  </si>
  <si>
    <t>esportare</t>
  </si>
  <si>
    <t>End=1983.259|KID=779-3</t>
  </si>
  <si>
    <t>fu</t>
  </si>
  <si>
    <t>KID=779-2</t>
  </si>
  <si>
    <t>TOD1005bis_780</t>
  </si>
  <si>
    <t>KID=780-1</t>
  </si>
  <si>
    <t>Begin=1984.004|KID=780-0</t>
  </si>
  <si>
    <t>TOD1005bis_781</t>
  </si>
  <si>
    <t>KID=781-4</t>
  </si>
  <si>
    <t>scritte</t>
  </si>
  <si>
    <t>KID=781-9|PaceSlow=Yes</t>
  </si>
  <si>
    <t>KID=781-8</t>
  </si>
  <si>
    <t>TOD1005bis_782a</t>
  </si>
  <si>
    <t>Begin=1997.0|KID=782-0</t>
  </si>
  <si>
    <t>Intonation=WeaklyRising|KID=782-8</t>
  </si>
  <si>
    <t>TOD1005bis_782b</t>
  </si>
  <si>
    <t>coincidono</t>
  </si>
  <si>
    <t>coincidere</t>
  </si>
  <si>
    <t>KID=782-12</t>
  </si>
  <si>
    <t>TOD1005bis_784</t>
  </si>
  <si>
    <t>End=2002.988|Intonation=Rising|KID=784-3</t>
  </si>
  <si>
    <t>KID=784-2</t>
  </si>
  <si>
    <t>TOD1005bis_786_787a</t>
  </si>
  <si>
    <t>KID=787-1</t>
  </si>
  <si>
    <t>TOD1005bis_787b</t>
  </si>
  <si>
    <t>KID=787-8</t>
  </si>
  <si>
    <t>TOD1005bis_790_791a</t>
  </si>
  <si>
    <t>stati</t>
  </si>
  <si>
    <t>KID=790-5</t>
  </si>
  <si>
    <t>KID=790-3</t>
  </si>
  <si>
    <t>KID=791-7</t>
  </si>
  <si>
    <t>TOD1005bis_791b</t>
  </si>
  <si>
    <t>KID=791-13</t>
  </si>
  <si>
    <t>KID=791-20</t>
  </si>
  <si>
    <t>TOD1005bis_792</t>
  </si>
  <si>
    <t>Intonation=Falling|KID=792-1</t>
  </si>
  <si>
    <t>TOD1005bis_795</t>
  </si>
  <si>
    <t>KID=795-3|PauseAfter=Yes</t>
  </si>
  <si>
    <t>KID=795-7</t>
  </si>
  <si>
    <t>parlate</t>
  </si>
  <si>
    <t>KID=795-16|PauseAfter=Yes|Prolonged=Yes</t>
  </si>
  <si>
    <t>KID=795-14</t>
  </si>
  <si>
    <t>TOD1005bis_796</t>
  </si>
  <si>
    <t>scritta</t>
  </si>
  <si>
    <t>End=2039.727|KID=796-5</t>
  </si>
  <si>
    <t>KID=796-4</t>
  </si>
  <si>
    <t>TOD1005bis_800_801</t>
  </si>
  <si>
    <t>KID=800-9</t>
  </si>
  <si>
    <t>KID=801-1</t>
  </si>
  <si>
    <t>TOD1005bis_803_804</t>
  </si>
  <si>
    <t>KID=803-1</t>
  </si>
  <si>
    <t>TOD1005bis_806_807</t>
  </si>
  <si>
    <t>facevano</t>
  </si>
  <si>
    <t>TOD1005bis_808</t>
  </si>
  <si>
    <t>TOD1005bis_810</t>
  </si>
  <si>
    <t>TOD1005bis_811_812</t>
  </si>
  <si>
    <t>KID=811-2</t>
  </si>
  <si>
    <t>KID=811-10</t>
  </si>
  <si>
    <t>TOD1005bis_813</t>
  </si>
  <si>
    <t>Begin=2076.484|KID=813-0</t>
  </si>
  <si>
    <t>Interrupted=Yes|KID=813-2</t>
  </si>
  <si>
    <t>KID=813-4</t>
  </si>
  <si>
    <t>TOD1005bis_814</t>
  </si>
  <si>
    <t>End=2081.268|Intonation=WeaklyRising|KID=814-1</t>
  </si>
  <si>
    <t>TOD1005bis_815</t>
  </si>
  <si>
    <t>indovinate</t>
  </si>
  <si>
    <t>indovinare</t>
  </si>
  <si>
    <t>Begin=2081.389|KID=815-0</t>
  </si>
  <si>
    <t>TOD1005bis_816</t>
  </si>
  <si>
    <t>KID=816-3</t>
  </si>
  <si>
    <t>chiamavano</t>
  </si>
  <si>
    <t>End=2086.177|Intonation=Rising|KID=816-12</t>
  </si>
  <si>
    <t>TOD1005bis_819_820</t>
  </si>
  <si>
    <t>End=2094.681|KID=819-4</t>
  </si>
  <si>
    <t>KID=819-3</t>
  </si>
  <si>
    <t>TOD1005bis_821_822_823_824_825</t>
  </si>
  <si>
    <t>End=2098.34|KID=821-6</t>
  </si>
  <si>
    <t>End=2103.187|KID=823-2|PaceSlow=Yes</t>
  </si>
  <si>
    <t>venivano</t>
  </si>
  <si>
    <t>KID=823-1</t>
  </si>
  <si>
    <t>TOD1005bis_828</t>
  </si>
  <si>
    <t>KID=828-4</t>
  </si>
  <si>
    <t>TOD1005bis_830</t>
  </si>
  <si>
    <t>KID=830-6|Relation=conj:reform</t>
  </si>
  <si>
    <t>KID=830-4</t>
  </si>
  <si>
    <t>End=2118.373|KID=830-10</t>
  </si>
  <si>
    <t>KID=830-9</t>
  </si>
  <si>
    <t>TOD1005bis_831_832</t>
  </si>
  <si>
    <t>KID=831-6</t>
  </si>
  <si>
    <t>KID=831-5</t>
  </si>
  <si>
    <t>KID=831-12</t>
  </si>
  <si>
    <t>chiamiamo</t>
  </si>
  <si>
    <t>KID=832-13|Relation=conj:reform</t>
  </si>
  <si>
    <t>TOD1005bis_834</t>
  </si>
  <si>
    <t>KID=834-2</t>
  </si>
  <si>
    <t>KID=834-9|Relation=conj:reform</t>
  </si>
  <si>
    <t>TOD1005bis_835</t>
  </si>
  <si>
    <t>trovate</t>
  </si>
  <si>
    <t>KID=835-4</t>
  </si>
  <si>
    <t>KID=835-3</t>
  </si>
  <si>
    <t>TOD1005bis_837_838</t>
  </si>
  <si>
    <t>KID=837-4</t>
  </si>
  <si>
    <t>Begin=2138.414|KID=838-0</t>
  </si>
  <si>
    <t>TOD1005bis_841</t>
  </si>
  <si>
    <t>KID=841-5</t>
  </si>
  <si>
    <t>End=2149.899|KID=841-12</t>
  </si>
  <si>
    <t>TOD1005bis_842</t>
  </si>
  <si>
    <t>Begin=2150.569|KID=842-0</t>
  </si>
  <si>
    <t>TOD1005bis_843</t>
  </si>
  <si>
    <t>aspettar</t>
  </si>
  <si>
    <t>KID=843-7a</t>
  </si>
  <si>
    <t>KID=843-6</t>
  </si>
  <si>
    <t>TOD1005bis_844</t>
  </si>
  <si>
    <t>vivevano</t>
  </si>
  <si>
    <t>KID=844-3</t>
  </si>
  <si>
    <t>End=2158.733|Intonation=Falling|KID=844-11</t>
  </si>
  <si>
    <t>TOD1005bis_845</t>
  </si>
  <si>
    <t>andavano</t>
  </si>
  <si>
    <t>KID=845-1</t>
  </si>
  <si>
    <t>TOD1005bis_847_848_849</t>
  </si>
  <si>
    <t>KID=847-1</t>
  </si>
  <si>
    <t>KID=848-3</t>
  </si>
  <si>
    <t>KID=848-9</t>
  </si>
  <si>
    <t>KID=848-13</t>
  </si>
  <si>
    <t>End=2166.866|KID=848-16</t>
  </si>
  <si>
    <t>KID=849-3</t>
  </si>
  <si>
    <t>TOD1005bis_850</t>
  </si>
  <si>
    <t>KID=850-1</t>
  </si>
  <si>
    <t>TOD1005bis_851_852_853</t>
  </si>
  <si>
    <t>Begin=2172.201|KID=851-0</t>
  </si>
  <si>
    <t>KID=851-2|Relation=conj:reform</t>
  </si>
  <si>
    <t>KID=851-1</t>
  </si>
  <si>
    <t>TOD1005bis_854</t>
  </si>
  <si>
    <t>End=2179.976|Intonation=WeaklyRising|KID=854-1</t>
  </si>
  <si>
    <t>TOD1005bis_857</t>
  </si>
  <si>
    <t>KID=857-1</t>
  </si>
  <si>
    <t>TOD1005bis_858</t>
  </si>
  <si>
    <t>End=2185.256|Intonation=Rising|KID=858-1</t>
  </si>
  <si>
    <t>TOD1005bis_860</t>
  </si>
  <si>
    <t>annoiavano</t>
  </si>
  <si>
    <t>End=2190.291|Intonation=Falling|KID=860-3</t>
  </si>
  <si>
    <t>TOD1005bis_861a</t>
  </si>
  <si>
    <t>stavano</t>
  </si>
  <si>
    <t>KID=861-4</t>
  </si>
  <si>
    <t>TOD1005bis_861b_862</t>
  </si>
  <si>
    <t>portavano</t>
  </si>
  <si>
    <t>KID=861-14</t>
  </si>
  <si>
    <t>TOD1005bis_863_864</t>
  </si>
  <si>
    <t>KID=863-4</t>
  </si>
  <si>
    <t>seduti</t>
  </si>
  <si>
    <t>seduto</t>
  </si>
  <si>
    <t>KID=863-6</t>
  </si>
  <si>
    <t>KID=863-10</t>
  </si>
  <si>
    <t>Begin=2203.512|KID=864-0</t>
  </si>
  <si>
    <t>TOD1005bis_865a</t>
  </si>
  <si>
    <t>Intonation=Rising|KID=865-1</t>
  </si>
  <si>
    <t>TOD1005bis_866b_867_868_869</t>
  </si>
  <si>
    <t>KID=866-5</t>
  </si>
  <si>
    <t>KID=867-1|Relation=conj:reform</t>
  </si>
  <si>
    <t>Begin=2210.935|KID=867-0</t>
  </si>
  <si>
    <t>pascolare</t>
  </si>
  <si>
    <t>End=2214.662|KID=868-1|Prolonged=Yes</t>
  </si>
  <si>
    <t>TOD1005bis_870</t>
  </si>
  <si>
    <t>KID=870-1</t>
  </si>
  <si>
    <t>Begin=2216.222|KID=870-0</t>
  </si>
  <si>
    <t>End=2217.839|KID=870-6|Relation=conj:reform</t>
  </si>
  <si>
    <t>KID=870-5</t>
  </si>
  <si>
    <t>TOD1005bis_871</t>
  </si>
  <si>
    <t>speriamo</t>
  </si>
  <si>
    <t>sperare</t>
  </si>
  <si>
    <t>KID=871-1</t>
  </si>
  <si>
    <t>mandi</t>
  </si>
  <si>
    <t>KID=871-6</t>
  </si>
  <si>
    <t>TOD1005bis_872_873</t>
  </si>
  <si>
    <t>TOD1005bis_874</t>
  </si>
  <si>
    <t>KID=874-2</t>
  </si>
  <si>
    <t>KID=874-1</t>
  </si>
  <si>
    <t>KID=874-4</t>
  </si>
  <si>
    <t>TOD1005bis_875</t>
  </si>
  <si>
    <t>KID=875-8</t>
  </si>
  <si>
    <t>KID=875-6</t>
  </si>
  <si>
    <t>End=2229.373|Intonation=WeaklyRising|KID=875-10</t>
  </si>
  <si>
    <t>TOD1005bis_876</t>
  </si>
  <si>
    <t>tramandava</t>
  </si>
  <si>
    <t>tramandare</t>
  </si>
  <si>
    <t>KID=876-2|PaceSlow=Yes</t>
  </si>
  <si>
    <t>TOD1005bis_877_878</t>
  </si>
  <si>
    <t>Begin=2236.214|KID=878-0</t>
  </si>
  <si>
    <t>End=2236.014|KID=877-4</t>
  </si>
  <si>
    <t>KID=878-2</t>
  </si>
  <si>
    <t>KID=878-8</t>
  </si>
  <si>
    <t>TOD1005bis_879a</t>
  </si>
  <si>
    <t>serviva</t>
  </si>
  <si>
    <t>KID=879-2</t>
  </si>
  <si>
    <t>KID=879-9|Relation=conj:reform</t>
  </si>
  <si>
    <t>TOD1005bis_879b_880</t>
  </si>
  <si>
    <t>KID=879-16</t>
  </si>
  <si>
    <t>TOD1005bis_881</t>
  </si>
  <si>
    <t>KID=881-7</t>
  </si>
  <si>
    <t>KID=881-6</t>
  </si>
  <si>
    <t>TOD1005bis_882_883</t>
  </si>
  <si>
    <t>Begin=2252.569|KID=882-0</t>
  </si>
  <si>
    <t>KID=882-6</t>
  </si>
  <si>
    <t>KID=882-7|Relation=conj:reform</t>
  </si>
  <si>
    <t>TOD1005bis_885_886a</t>
  </si>
  <si>
    <t>KID=885-1</t>
  </si>
  <si>
    <t>KID=885-9</t>
  </si>
  <si>
    <t>TOD1005bis_886b</t>
  </si>
  <si>
    <t>KID=886-8</t>
  </si>
  <si>
    <t>KID=886-7</t>
  </si>
  <si>
    <t>KID=886-12</t>
  </si>
  <si>
    <t>KID=886-11</t>
  </si>
  <si>
    <t>TOD1005bis_887</t>
  </si>
  <si>
    <t>trovano</t>
  </si>
  <si>
    <t>KID=887-3</t>
  </si>
  <si>
    <t>TOD1005bis_889_890_891_892_893_894</t>
  </si>
  <si>
    <t>KID=889-3</t>
  </si>
  <si>
    <t>avesse</t>
  </si>
  <si>
    <t>End=2273.646|KID=889-6</t>
  </si>
  <si>
    <t>End=2280.713|KID=894-1</t>
  </si>
  <si>
    <t>TOD1005bis_896_897_898_899</t>
  </si>
  <si>
    <t>KID=896-5</t>
  </si>
  <si>
    <t>TOD1005bis_901</t>
  </si>
  <si>
    <t>disseminata</t>
  </si>
  <si>
    <t>disseminare</t>
  </si>
  <si>
    <t>KID=901-1|PaceSlow=Yes</t>
  </si>
  <si>
    <t>Begin=2295.06|KID=901-0</t>
  </si>
  <si>
    <t>KID=901-8</t>
  </si>
  <si>
    <t>KID=901-7</t>
  </si>
  <si>
    <t>TOD1005bis_903</t>
  </si>
  <si>
    <t>KID=903-2</t>
  </si>
  <si>
    <t>KID=903-6</t>
  </si>
  <si>
    <t>TOD1005bis_904</t>
  </si>
  <si>
    <t>gira</t>
  </si>
  <si>
    <t>girare</t>
  </si>
  <si>
    <t>KID=904-5</t>
  </si>
  <si>
    <t>KID=904-8|PauseAfter=Yes</t>
  </si>
  <si>
    <t>KID=904-13</t>
  </si>
  <si>
    <t>KID=904-12</t>
  </si>
  <si>
    <t>TOD1005bis_905a</t>
  </si>
  <si>
    <t>raccontando</t>
  </si>
  <si>
    <t>KID=905-13</t>
  </si>
  <si>
    <t>KID=905-12</t>
  </si>
  <si>
    <t>KID=905-15</t>
  </si>
  <si>
    <t>TOD1005bis_905b</t>
  </si>
  <si>
    <t>KID=905-18</t>
  </si>
  <si>
    <t>sarebbero</t>
  </si>
  <si>
    <t>KID=905-31|Relation=conj:reform</t>
  </si>
  <si>
    <t>Intonation=Falling|KID=905-28</t>
  </si>
  <si>
    <t>KID=905-27</t>
  </si>
  <si>
    <t>TOD1005bis_906</t>
  </si>
  <si>
    <t>End=2316.609|Intonation=WeaklyRising|KID=906-5</t>
  </si>
  <si>
    <t>TOD1005bis_908</t>
  </si>
  <si>
    <t>End=2322.302|Intonation=WeaklyRising|KID=908-12</t>
  </si>
  <si>
    <t>TOD1005bis_910</t>
  </si>
  <si>
    <t>racconto</t>
  </si>
  <si>
    <t>KID=910-3</t>
  </si>
  <si>
    <t>KID=910-6</t>
  </si>
  <si>
    <t>KID=910-21</t>
  </si>
  <si>
    <t>potrebbero</t>
  </si>
  <si>
    <t>KID=910-20</t>
  </si>
  <si>
    <t>TOD1005bis_911a</t>
  </si>
  <si>
    <t>KID=911-7</t>
  </si>
  <si>
    <t>TOD1005bis_911b</t>
  </si>
  <si>
    <t>KID=911-11</t>
  </si>
  <si>
    <t>guardate</t>
  </si>
  <si>
    <t>KID=911-12</t>
  </si>
  <si>
    <t>KID=911-14|Relation=conj:reform</t>
  </si>
  <si>
    <t>KID=911-13</t>
  </si>
  <si>
    <t>TOD1005bis_911c</t>
  </si>
  <si>
    <t>rivoluziona</t>
  </si>
  <si>
    <t>rivoluzionare</t>
  </si>
  <si>
    <t>KID=911-19</t>
  </si>
  <si>
    <t>conosciamo</t>
  </si>
  <si>
    <t>End=2339.659|Intonation=Falling|KID=911-32</t>
  </si>
  <si>
    <t>TOD1005bis_914</t>
  </si>
  <si>
    <t>KID=914-1</t>
  </si>
  <si>
    <t>KID=914-5</t>
  </si>
  <si>
    <t>KID=914-8|Relation=conj:reform</t>
  </si>
  <si>
    <t>TOD1005bis_915</t>
  </si>
  <si>
    <t>Begin=2346.505|KID=915-0</t>
  </si>
  <si>
    <t>TOD1005bis_916_917_918</t>
  </si>
  <si>
    <t>KID=916-3</t>
  </si>
  <si>
    <t>decifrare</t>
  </si>
  <si>
    <t>End=2352.697|KID=918-2</t>
  </si>
  <si>
    <t>TOD1005bis_919</t>
  </si>
  <si>
    <t>KID=919-1</t>
  </si>
  <si>
    <t>TOD1005bis_920</t>
  </si>
  <si>
    <t>KID=920-2</t>
  </si>
  <si>
    <t>KID=920-7</t>
  </si>
  <si>
    <t>TOD1005bis_921</t>
  </si>
  <si>
    <t>KID=921-1</t>
  </si>
  <si>
    <t>KID=921-5|Relation=conj:reform</t>
  </si>
  <si>
    <t>Interrupted=Yes|KID=921-8|Relation=conj:reform</t>
  </si>
  <si>
    <t>KID=921-10|Relation=conj:reform</t>
  </si>
  <si>
    <t>decifrate</t>
  </si>
  <si>
    <t>KID=921-19</t>
  </si>
  <si>
    <t>KID=921-15</t>
  </si>
  <si>
    <t>TOD1005bis_926_927_928</t>
  </si>
  <si>
    <t>End=2381.864|KID=926-3</t>
  </si>
  <si>
    <t>TOD1005bis_931</t>
  </si>
  <si>
    <t>Begin=2386.662|End=2387.421|KID=931-0</t>
  </si>
  <si>
    <t>TOD1005bis_937_938_939</t>
  </si>
  <si>
    <t>KID=937-1</t>
  </si>
  <si>
    <t>TOD1005bis_940</t>
  </si>
  <si>
    <t>chiamate</t>
  </si>
  <si>
    <t>End=2403.57|Intonation=WeaklyRising|KID=940-2|Volume=low</t>
  </si>
  <si>
    <t>Begin=2402.211|KID=940-0|Volume=low</t>
  </si>
  <si>
    <t>TOD1005bis_941_942</t>
  </si>
  <si>
    <t>KID=941-3</t>
  </si>
  <si>
    <t>danno</t>
  </si>
  <si>
    <t>KID=941-8|Relation=conj:reform</t>
  </si>
  <si>
    <t>End=2409.733|Intonation=WeaklyRising|KID=942-1</t>
  </si>
  <si>
    <t>TOD1005bis_943</t>
  </si>
  <si>
    <t>KID=943-3</t>
  </si>
  <si>
    <t>KID=943-9|Relation=conj:reform</t>
  </si>
  <si>
    <t>KID=943-16|Relation=conj:reform</t>
  </si>
  <si>
    <t>TOD1005bis_944_945</t>
  </si>
  <si>
    <t>KID=945-1</t>
  </si>
  <si>
    <t>KID=945-6</t>
  </si>
  <si>
    <t>KID=945-5</t>
  </si>
  <si>
    <t>TOD1005bis_946</t>
  </si>
  <si>
    <t>ritrovata</t>
  </si>
  <si>
    <t>ritrovare</t>
  </si>
  <si>
    <t>KID=946-3|PaceFast=Yes</t>
  </si>
  <si>
    <t>KID=946-2|PaceFast=Yes</t>
  </si>
  <si>
    <t>KID=946-9|PaceFast=Yes</t>
  </si>
  <si>
    <t>TOD1005bis_948_949</t>
  </si>
  <si>
    <t>End=2426.602|Intonation=WeaklyRising|KID=948-5</t>
  </si>
  <si>
    <t>TOD1005bis_950_951_952</t>
  </si>
  <si>
    <t>KID=950-4</t>
  </si>
  <si>
    <t>analizzate</t>
  </si>
  <si>
    <t>Intonation=WeaklyRising|KID=950-12</t>
  </si>
  <si>
    <t>KID=950-13</t>
  </si>
  <si>
    <t>KID=950-15</t>
  </si>
  <si>
    <t>KID=950-18</t>
  </si>
  <si>
    <t>End=2436.623|Intonation=WeaklyRising|KID=950-20|Prolonged=Yes</t>
  </si>
  <si>
    <t>TOD1005bis_953</t>
  </si>
  <si>
    <t>KID=953-1</t>
  </si>
  <si>
    <t>KID=953-5</t>
  </si>
  <si>
    <t>End=2442.952|Intonation=Falling|KID=953-13</t>
  </si>
  <si>
    <t>TOD1005bis_954</t>
  </si>
  <si>
    <t>KID=954-3</t>
  </si>
  <si>
    <t>KID=954-5</t>
  </si>
  <si>
    <t>KID=954-7</t>
  </si>
  <si>
    <t>TOD1005bis_957</t>
  </si>
  <si>
    <t>KID=957-10</t>
  </si>
  <si>
    <t>End=2452.737|Intonation=Falling|KID=957-16</t>
  </si>
  <si>
    <t>TOD1005bis_960</t>
  </si>
  <si>
    <t>risalgono</t>
  </si>
  <si>
    <t>End=2460.749|Intonation=Rising|KID=960-3</t>
  </si>
  <si>
    <t>TOD1005bis_961</t>
  </si>
  <si>
    <t>KID=961-2</t>
  </si>
  <si>
    <t>KID=961-1</t>
  </si>
  <si>
    <t>KID=961-7</t>
  </si>
  <si>
    <t>KID=961-6</t>
  </si>
  <si>
    <t>TOD1005bis_962</t>
  </si>
  <si>
    <t>KID=962-7</t>
  </si>
  <si>
    <t>KID=962-14</t>
  </si>
  <si>
    <t>TOD1005bis_963_964_965</t>
  </si>
  <si>
    <t>KID=965-1</t>
  </si>
  <si>
    <t>TOD1005bis_969</t>
  </si>
  <si>
    <t>KID=969-2</t>
  </si>
  <si>
    <t>KID=969-4a</t>
  </si>
  <si>
    <t>successe</t>
  </si>
  <si>
    <t>End=2482.694|Intonation=Falling|KID=969-13</t>
  </si>
  <si>
    <t>KID=969-12</t>
  </si>
  <si>
    <t>Interrupted=Yes|KID=969-9</t>
  </si>
  <si>
    <t>TOD1005bis_970</t>
  </si>
  <si>
    <t>datate</t>
  </si>
  <si>
    <t>KID=970-3|PauseAfter=Yes</t>
  </si>
  <si>
    <t>KID=970-2</t>
  </si>
  <si>
    <t>TOD1005bis_975</t>
  </si>
  <si>
    <t>KID=975-3</t>
  </si>
  <si>
    <t>KID=975-7</t>
  </si>
  <si>
    <t>essercene</t>
  </si>
  <si>
    <t>KID=975-9|Relation=conj:reform</t>
  </si>
  <si>
    <t>KID=975-8</t>
  </si>
  <si>
    <t>KID=975-15|Relation=conj:reform</t>
  </si>
  <si>
    <t>KID=975-14</t>
  </si>
  <si>
    <t>TOD1005bis_977_978_979_980</t>
  </si>
  <si>
    <t>Begin=2506.258|End=2506.605|Intonation=WeaklyRising|KID=978-0</t>
  </si>
  <si>
    <t>Begin=2508.951|KID=980-0</t>
  </si>
  <si>
    <t>incerta</t>
  </si>
  <si>
    <t>incerto</t>
  </si>
  <si>
    <t>End=2509.916|Intonation=Falling|KID=980-1</t>
  </si>
  <si>
    <t>TOD1005bis_982</t>
  </si>
  <si>
    <t>pensa</t>
  </si>
  <si>
    <t>End=2514.176|KID=982-2|PaceSlow=Yes</t>
  </si>
  <si>
    <t>TOD1005bis_984</t>
  </si>
  <si>
    <t>KID=984-3</t>
  </si>
  <si>
    <t>datati</t>
  </si>
  <si>
    <t>KID=984-6|PaceFast=Yes</t>
  </si>
  <si>
    <t>KID=984-5</t>
  </si>
  <si>
    <t>TOD1005bis_985</t>
  </si>
  <si>
    <t>End=2521.654|Intonation=WeaklyRising|KID=985-11</t>
  </si>
  <si>
    <t>KID=985-9</t>
  </si>
  <si>
    <t>TOD1005bis_986</t>
  </si>
  <si>
    <t>KID=986-1|Volume=low</t>
  </si>
  <si>
    <t>KID=986-5|Volume=low</t>
  </si>
  <si>
    <t>TOD1005bis_987</t>
  </si>
  <si>
    <t>KID=987-2|Volume=low</t>
  </si>
  <si>
    <t>TOD1005bis_992</t>
  </si>
  <si>
    <t>Begin=2531.83|KID=992-0</t>
  </si>
  <si>
    <t>assomiglia</t>
  </si>
  <si>
    <t>assomigliare</t>
  </si>
  <si>
    <t>KID=992-2</t>
  </si>
  <si>
    <t>KID=992-9</t>
  </si>
  <si>
    <t>KID=992-15</t>
  </si>
  <si>
    <t>KID=992-14</t>
  </si>
  <si>
    <t>TOD1005bis_994</t>
  </si>
  <si>
    <t>KID=994-2</t>
  </si>
  <si>
    <t>KID=994-10</t>
  </si>
  <si>
    <t>KID=994-17</t>
  </si>
  <si>
    <t>KID=994-15</t>
  </si>
  <si>
    <t>TOD1005bis_995</t>
  </si>
  <si>
    <t>Begin=2549.793|KID=995-0|PauseAfter=Yes</t>
  </si>
  <si>
    <t>TOD1005bis_998_999a</t>
  </si>
  <si>
    <t>Begin=2558.725|KID=999-0|Prolonged=Yes</t>
  </si>
  <si>
    <t>TOD1005bis_999b</t>
  </si>
  <si>
    <t>KID=999-3</t>
  </si>
  <si>
    <t>End=2562.97|Intonation=WeaklyRising|KID=999-13</t>
  </si>
  <si>
    <t>KID=999-12</t>
  </si>
  <si>
    <t>TOD1005bis_1000_1001_1002_1003</t>
  </si>
  <si>
    <t>Begin=2564.15|KID=1000-0|PaceSlow=Yes</t>
  </si>
  <si>
    <t>KID=1000-4</t>
  </si>
  <si>
    <t>KID=1000-2</t>
  </si>
  <si>
    <t>TOD1005bis_1004</t>
  </si>
  <si>
    <t>KID=1004-7</t>
  </si>
  <si>
    <t>TOD1005bis_1007_1008_1009</t>
  </si>
  <si>
    <t>esistevano</t>
  </si>
  <si>
    <t>KID=1007-1</t>
  </si>
  <si>
    <t>End=2585.992|Intonation=WeaklyRising|KID=1007-10</t>
  </si>
  <si>
    <t>KID=1007-9</t>
  </si>
  <si>
    <t>TOD1005bis_1010</t>
  </si>
  <si>
    <t>KID=1010-6</t>
  </si>
  <si>
    <t>KID=1010-4</t>
  </si>
  <si>
    <t>TOD1005bis_1011a</t>
  </si>
  <si>
    <t>Begin=2592.661|KID=1011-0</t>
  </si>
  <si>
    <t>Interrupted=Yes|KID=1011-6|Relation=conj:reform</t>
  </si>
  <si>
    <t>KID=1011-5</t>
  </si>
  <si>
    <t>TOD1005bis_1011b_1012_1013_1014_1015</t>
  </si>
  <si>
    <t>KID=1011-12</t>
  </si>
  <si>
    <t>KID=1011-10</t>
  </si>
  <si>
    <t>KID=1011-16</t>
  </si>
  <si>
    <t>KID=1011-15</t>
  </si>
  <si>
    <t>KID=1012-6</t>
  </si>
  <si>
    <t>End=2602.983|Intonation=WeaklyRising|KID=1012-11</t>
  </si>
  <si>
    <t>KID=1013-1</t>
  </si>
  <si>
    <t>End=2606.729|Intonation=Falling|KID=1014-2</t>
  </si>
  <si>
    <t>TOD1005bis_1018</t>
  </si>
  <si>
    <t>fossero</t>
  </si>
  <si>
    <t>KID=1018-11</t>
  </si>
  <si>
    <t>KID=1018-15</t>
  </si>
  <si>
    <t>TOD1005bis_1019</t>
  </si>
  <si>
    <t>KID=1019-3</t>
  </si>
  <si>
    <t>TOD1005bis_1023_1024_1025</t>
  </si>
  <si>
    <t>End=2643.585|Intonation=WeaklyRising|KID=1023-5</t>
  </si>
  <si>
    <t>KID=1025-1</t>
  </si>
  <si>
    <t>KID=1025-5|Relation=conj:reform</t>
  </si>
  <si>
    <t>TOD1005bis_1026</t>
  </si>
  <si>
    <t>End=2649.484|Intonation=WeaklyRising|KID=1026-2</t>
  </si>
  <si>
    <t>TOD1005bis_1027</t>
  </si>
  <si>
    <t>KID=1027-1|PaceSlow=Yes</t>
  </si>
  <si>
    <t>TOD1005bis_1029</t>
  </si>
  <si>
    <t>KID=1029-2</t>
  </si>
  <si>
    <t>TOD1005bis_1030</t>
  </si>
  <si>
    <t>veneravano</t>
  </si>
  <si>
    <t>venerare</t>
  </si>
  <si>
    <t>KID=1030-1</t>
  </si>
  <si>
    <t>TOD1005bis_1031a</t>
  </si>
  <si>
    <t>Intonation=WeaklyRising|KID=1031-2</t>
  </si>
  <si>
    <t>TOD1005bis_1031b</t>
  </si>
  <si>
    <t>KID=1031-4</t>
  </si>
  <si>
    <t>TOD1005bis_1034</t>
  </si>
  <si>
    <t>KID=1034-1</t>
  </si>
  <si>
    <t>TOD1005bis_1036_1037_1038</t>
  </si>
  <si>
    <t>sembrerebbe</t>
  </si>
  <si>
    <t>Begin=2677.031|End=2678.331|Intonation=WeaklyRising|KID=1036-0</t>
  </si>
  <si>
    <t>Begin=2678.584|End=2679.354|Intonation=WeaklyRising|KID=1037-0</t>
  </si>
  <si>
    <t>TOD1005bis_1041</t>
  </si>
  <si>
    <t>Begin=2687.912|KID=1041-0</t>
  </si>
  <si>
    <t>TOD1005bis_1042_1043</t>
  </si>
  <si>
    <t>KID=1042-3</t>
  </si>
  <si>
    <t>pensiamo</t>
  </si>
  <si>
    <t>KID=1042-6</t>
  </si>
  <si>
    <t>KID=1042-8</t>
  </si>
  <si>
    <t>troviamo</t>
  </si>
  <si>
    <t>End=2695.687|Intonation=WeaklyRising|KID=1042-16</t>
  </si>
  <si>
    <t>TOD1005bis_1046</t>
  </si>
  <si>
    <t>KID=1046-5</t>
  </si>
  <si>
    <t>KID=1046-4</t>
  </si>
  <si>
    <t>KID=1046-6</t>
  </si>
  <si>
    <t>TOD1005bis_1047</t>
  </si>
  <si>
    <t>KID=1047-7</t>
  </si>
  <si>
    <t>TOD1005bis_1048</t>
  </si>
  <si>
    <t>Begin=2706.251|KID=1048-0</t>
  </si>
  <si>
    <t>TOD1005bis_1049a</t>
  </si>
  <si>
    <t>KID=1049-1</t>
  </si>
  <si>
    <t>TOD1005bis_1052</t>
  </si>
  <si>
    <t>KID=1052-6</t>
  </si>
  <si>
    <t>TOD1005bis_1059</t>
  </si>
  <si>
    <t>KID=1059-1</t>
  </si>
  <si>
    <t>TOD1005bis_1061</t>
  </si>
  <si>
    <t>KID=1061-1</t>
  </si>
  <si>
    <t>KID=1061-7|Relation=conj:reform</t>
  </si>
  <si>
    <t>marca</t>
  </si>
  <si>
    <t>marcare</t>
  </si>
  <si>
    <t>KID=1061-11</t>
  </si>
  <si>
    <t>TOD1005bis_1062_1063</t>
  </si>
  <si>
    <t>KID=1062-2</t>
  </si>
  <si>
    <t>KID=1063-4</t>
  </si>
  <si>
    <t>TOD1005bis_1065_1066_1067_1068_1069</t>
  </si>
  <si>
    <t>KID=1065-4</t>
  </si>
  <si>
    <t>dimenticato</t>
  </si>
  <si>
    <t>dimenticare</t>
  </si>
  <si>
    <t>KID=1065-6</t>
  </si>
  <si>
    <t>KID=1065-5</t>
  </si>
  <si>
    <t>segnava</t>
  </si>
  <si>
    <t>End=2750.14|Intonation=WeaklyRising|KID=1067-2</t>
  </si>
  <si>
    <t>TOD1005bis_1070a</t>
  </si>
  <si>
    <t>Interrupted=Yes|KID=1070-3</t>
  </si>
  <si>
    <t>KID=1070-2</t>
  </si>
  <si>
    <t>TOD1005bis_1070b_1071_1072</t>
  </si>
  <si>
    <t>KID=1070-6</t>
  </si>
  <si>
    <t>confermare</t>
  </si>
  <si>
    <t>KID=1070-7</t>
  </si>
  <si>
    <t>End=2759.508|Intonation=WeaklyRising|KID=1070-17</t>
  </si>
  <si>
    <t>KID=1072-4|PaceFast=Yes</t>
  </si>
  <si>
    <t>KID=1072-9</t>
  </si>
  <si>
    <t>KID=1072-12</t>
  </si>
  <si>
    <t>KID=1072-11</t>
  </si>
  <si>
    <t>TOD1005bis_1075</t>
  </si>
  <si>
    <t>riassumendo</t>
  </si>
  <si>
    <t>riassumere</t>
  </si>
  <si>
    <t>End=2775.681|KID=1075-1</t>
  </si>
  <si>
    <t>TOD1005bis_1076_1077</t>
  </si>
  <si>
    <t>Begin=2778.162|KID=1077-0</t>
  </si>
  <si>
    <t>TOD1005bis_1078a</t>
  </si>
  <si>
    <t>studiato</t>
  </si>
  <si>
    <t>KID=1078-2</t>
  </si>
  <si>
    <t>KID=1078-1</t>
  </si>
  <si>
    <t>KID=1078-8|Relation=conj:insert</t>
  </si>
  <si>
    <t>TOD1005bis_1079</t>
  </si>
  <si>
    <t>KID=1079-1</t>
  </si>
  <si>
    <t>TOD1005bis_1082</t>
  </si>
  <si>
    <t>KID=1082-2|Relation=conj:reform</t>
  </si>
  <si>
    <t>KID=1082-6</t>
  </si>
  <si>
    <t>TOD1005bis_1086_1087</t>
  </si>
  <si>
    <t>End=2801.936|Intonation=WeaklyRising|KID=1086-1</t>
  </si>
  <si>
    <t>TOD1005bis_1088a</t>
  </si>
  <si>
    <t>KID=1088-2</t>
  </si>
  <si>
    <t>spostavano</t>
  </si>
  <si>
    <t>KID=1088-9</t>
  </si>
  <si>
    <t>TOD1005bis_1088b</t>
  </si>
  <si>
    <t>KID=1088-13</t>
  </si>
  <si>
    <t>KID=1088-12</t>
  </si>
  <si>
    <t>KID=1088-14</t>
  </si>
  <si>
    <t>TOD1005bis_1089_1090</t>
  </si>
  <si>
    <t>KID=1089-3|PauseAfter=Yes</t>
  </si>
  <si>
    <t>KID=1089-2</t>
  </si>
  <si>
    <t>KID=1090-1</t>
  </si>
  <si>
    <t>TOD1005bis_1098</t>
  </si>
  <si>
    <t>KID=1098-1</t>
  </si>
  <si>
    <t>KID=1098-4</t>
  </si>
  <si>
    <t>KID=1098-10</t>
  </si>
  <si>
    <t>TOD1005bis_1099</t>
  </si>
  <si>
    <t>KID=1099-3</t>
  </si>
  <si>
    <t>KID=1099-8|Relation=conj:reform</t>
  </si>
  <si>
    <t>KID=1099-13|Relation=conj:reform</t>
  </si>
  <si>
    <t>TOD1005bis_1100_1101</t>
  </si>
  <si>
    <t>KID=1100-6</t>
  </si>
  <si>
    <t>avessero</t>
  </si>
  <si>
    <t>KID=1100-5</t>
  </si>
  <si>
    <t>avremmo</t>
  </si>
  <si>
    <t>KID=1101-1</t>
  </si>
  <si>
    <t>TOD1005bis_1103</t>
  </si>
  <si>
    <t>avuto</t>
  </si>
  <si>
    <t>KID=1103-3</t>
  </si>
  <si>
    <t>avrebbero</t>
  </si>
  <si>
    <t>TOD1005bis_1105b_1106_1107</t>
  </si>
  <si>
    <t>KID=1105-8</t>
  </si>
  <si>
    <t>definissero</t>
  </si>
  <si>
    <t>definire</t>
  </si>
  <si>
    <t>KID=1106-5</t>
  </si>
  <si>
    <t>TOD1005bis_1109_1110_1111</t>
  </si>
  <si>
    <t>KID=1110-1</t>
  </si>
  <si>
    <t>KID=1110-2</t>
  </si>
  <si>
    <t>parlassero</t>
  </si>
  <si>
    <t>KID=1110-4</t>
  </si>
  <si>
    <t>TOD1005bis_1113</t>
  </si>
  <si>
    <t>Begin=2860.617|KID=1113-0</t>
  </si>
  <si>
    <t>KID=1113-5|Relation=conj:reform</t>
  </si>
  <si>
    <t>TOD1005bis_1114a</t>
  </si>
  <si>
    <t>TOD1005bis_1114b_1115_1116</t>
  </si>
  <si>
    <t>KID=1114-11</t>
  </si>
  <si>
    <t>End=2871.528|Intonation=WeaklyRising|KID=1114-15</t>
  </si>
  <si>
    <t>basiamo</t>
  </si>
  <si>
    <t>KID=1115-3</t>
  </si>
  <si>
    <t>KID=1116-3</t>
  </si>
  <si>
    <t>TOD1005bis_1118_1119_1120</t>
  </si>
  <si>
    <t>Begin=2876.928|KID=1118-0</t>
  </si>
  <si>
    <t>Begin=2878.705|End=2879.376|KID=1119-0</t>
  </si>
  <si>
    <t>TOD1005bis_1128_1129_1130</t>
  </si>
  <si>
    <t>KID=1128-3</t>
  </si>
  <si>
    <t>TOD1005bis_1131</t>
  </si>
  <si>
    <t>pascolavano</t>
  </si>
  <si>
    <t>KID=1131-3</t>
  </si>
  <si>
    <t>TOD1005bis_1132</t>
  </si>
  <si>
    <t>KID=1132-2</t>
  </si>
  <si>
    <t>TOD1005bis_1133b</t>
  </si>
  <si>
    <t>KID=1133-6</t>
  </si>
  <si>
    <t>KID=1133-5</t>
  </si>
  <si>
    <t>TOD1005bis_1135</t>
  </si>
  <si>
    <t>fermare</t>
  </si>
  <si>
    <t>KID=1135-2</t>
  </si>
  <si>
    <t>raggiunto</t>
  </si>
  <si>
    <t>raggiungere</t>
  </si>
  <si>
    <t>KID=1135-7</t>
  </si>
  <si>
    <t>KID=1135-6</t>
  </si>
  <si>
    <t>TOD1005bis_1136</t>
  </si>
  <si>
    <t>Begin=2924.846|KID=1136-0</t>
  </si>
  <si>
    <t>risponderemo</t>
  </si>
  <si>
    <t>KID=1136-8</t>
  </si>
  <si>
    <t>TOD1005bis_1137_1138</t>
  </si>
  <si>
    <t>KID=1137-5</t>
  </si>
  <si>
    <t>TOD1005bis_1139_1140_1141_1142_1143_1144</t>
  </si>
  <si>
    <t>End=2943.618|Intonation=WeaklyRising|KID=1141-7</t>
  </si>
  <si>
    <t>KID=1143-5</t>
  </si>
  <si>
    <t>TOD1005bis_1145</t>
  </si>
  <si>
    <t>KID=1145-3</t>
  </si>
  <si>
    <t>TOD1005bis_1146</t>
  </si>
  <si>
    <t>KID=1146-3</t>
  </si>
  <si>
    <t>KID=1146-8</t>
  </si>
  <si>
    <t>KID=1146-11</t>
  </si>
  <si>
    <t>KID=1146-10</t>
  </si>
  <si>
    <t>TOD1005bis_1149</t>
  </si>
  <si>
    <t>KID=1149-1</t>
  </si>
  <si>
    <t>TOD1005bis_1154</t>
  </si>
  <si>
    <t>KID=1154-1</t>
  </si>
  <si>
    <t>Begin=3000.806|KID=1154-0</t>
  </si>
  <si>
    <t>1sg</t>
  </si>
  <si>
    <t>1pl</t>
  </si>
  <si>
    <t>2sg</t>
  </si>
  <si>
    <t>2pl</t>
  </si>
  <si>
    <t>3sg</t>
  </si>
  <si>
    <t>3pl</t>
  </si>
  <si>
    <t>KIParla</t>
  </si>
  <si>
    <t>TrIttokGen</t>
  </si>
  <si>
    <t>TrIttok</t>
  </si>
  <si>
    <t>TrIttokPolSo</t>
  </si>
  <si>
    <t>ParlaMint</t>
  </si>
  <si>
    <t>ISDT</t>
  </si>
  <si>
    <t>1SG</t>
  </si>
  <si>
    <t>1PL</t>
  </si>
  <si>
    <t>2SG</t>
  </si>
  <si>
    <t>2PL</t>
  </si>
  <si>
    <t>3SG</t>
  </si>
  <si>
    <t>3PL</t>
  </si>
  <si>
    <t>Congiuntivo</t>
  </si>
  <si>
    <t>Indicativo</t>
  </si>
  <si>
    <t>Imperativo</t>
  </si>
  <si>
    <t>Condizionale</t>
  </si>
  <si>
    <t>Gerundio</t>
  </si>
  <si>
    <t>Infinito</t>
  </si>
  <si>
    <t>Participio</t>
  </si>
  <si>
    <t>pos</t>
  </si>
  <si>
    <t>feat</t>
  </si>
  <si>
    <t>value</t>
  </si>
  <si>
    <t>count</t>
  </si>
  <si>
    <t>isdt</t>
  </si>
  <si>
    <t>Mood</t>
  </si>
  <si>
    <t>Number</t>
  </si>
  <si>
    <t>Person</t>
  </si>
  <si>
    <t>Tense</t>
  </si>
  <si>
    <t>VerbForm</t>
  </si>
  <si>
    <t>ExtPos</t>
  </si>
  <si>
    <t>ADV</t>
  </si>
  <si>
    <t>Gender</t>
  </si>
  <si>
    <t>kiparla</t>
  </si>
  <si>
    <t>PronType</t>
  </si>
  <si>
    <t>parlamint</t>
  </si>
  <si>
    <t>tr-it-tok</t>
  </si>
  <si>
    <t>Case</t>
  </si>
  <si>
    <t>Dat</t>
  </si>
  <si>
    <t>Voice</t>
  </si>
  <si>
    <t>Pass</t>
  </si>
  <si>
    <t>Aspect</t>
  </si>
  <si>
    <t>Acc</t>
  </si>
  <si>
    <t>Clitic</t>
  </si>
  <si>
    <t>Yes</t>
  </si>
  <si>
    <t>Foreign</t>
  </si>
  <si>
    <t>Prp</t>
  </si>
  <si>
    <t>Inv</t>
  </si>
  <si>
    <t>Prs</t>
  </si>
  <si>
    <t>trittok_gen</t>
  </si>
  <si>
    <t>trittok_polso</t>
  </si>
  <si>
    <t>Etichette di riga</t>
  </si>
  <si>
    <t>Totale complessivo</t>
  </si>
  <si>
    <t>Somma di count</t>
  </si>
  <si>
    <t>Etichette di colonna</t>
  </si>
  <si>
    <t>ModoCalcolato</t>
  </si>
  <si>
    <t>Progressivo</t>
  </si>
  <si>
    <t>PersonaCalcolata</t>
  </si>
  <si>
    <t>TempoCalcolato</t>
  </si>
  <si>
    <t>Futuro anteriore</t>
  </si>
  <si>
    <t>Futuro semplice</t>
  </si>
  <si>
    <t>Imperfetto</t>
  </si>
  <si>
    <t>Passato</t>
  </si>
  <si>
    <t>Passato prossimo</t>
  </si>
  <si>
    <t>Passato remoto</t>
  </si>
  <si>
    <t>Presente</t>
  </si>
  <si>
    <t>Sta + imperfetto</t>
  </si>
  <si>
    <t>Sta + presente</t>
  </si>
  <si>
    <t>Trapassato</t>
  </si>
  <si>
    <t>Trapassato prossimo</t>
  </si>
  <si>
    <t>Trapassato remoto</t>
  </si>
  <si>
    <t>Composto</t>
  </si>
  <si>
    <t>Indefinito</t>
  </si>
  <si>
    <t>Ausiliare</t>
  </si>
  <si>
    <t>Sconosciuto</t>
  </si>
  <si>
    <t xml:space="preserve">Semplice </t>
  </si>
  <si>
    <t xml:space="preserve">Finito </t>
  </si>
  <si>
    <t>Sta + congiuntivo presente</t>
  </si>
  <si>
    <t>Semplice</t>
  </si>
  <si>
    <t>Prog</t>
  </si>
  <si>
    <t>modi finiti</t>
  </si>
  <si>
    <t>modi indefiniti</t>
  </si>
  <si>
    <t>TriIttokPolSo</t>
  </si>
  <si>
    <t>Saturazione media delle valenze</t>
  </si>
  <si>
    <t>cartella</t>
  </si>
  <si>
    <t>SN_testa_nominale</t>
  </si>
  <si>
    <t>SN_testa_pronominale</t>
  </si>
  <si>
    <t>Totale_SN</t>
  </si>
  <si>
    <t>Ittok</t>
  </si>
  <si>
    <t>gen</t>
  </si>
  <si>
    <t>polso</t>
  </si>
  <si>
    <t>tipo</t>
  </si>
  <si>
    <t>POS</t>
  </si>
  <si>
    <t>total</t>
  </si>
  <si>
    <t>SV</t>
  </si>
  <si>
    <t>VS</t>
  </si>
  <si>
    <t>OV</t>
  </si>
  <si>
    <t>VO</t>
  </si>
  <si>
    <t>soggetto</t>
  </si>
  <si>
    <t>PRON</t>
  </si>
  <si>
    <t>PROPN</t>
  </si>
  <si>
    <t>NOUN</t>
  </si>
  <si>
    <t>CCONJ</t>
  </si>
  <si>
    <t>SCONJ</t>
  </si>
  <si>
    <t>ADJ</t>
  </si>
  <si>
    <t>oggetto</t>
  </si>
  <si>
    <t>NUM</t>
  </si>
  <si>
    <t>DET</t>
  </si>
  <si>
    <t>INTJ</t>
  </si>
  <si>
    <t>X</t>
  </si>
  <si>
    <t>SYM</t>
  </si>
  <si>
    <t>kiparla2,18</t>
  </si>
  <si>
    <t>(vuoto)</t>
  </si>
  <si>
    <t>Somma di total</t>
  </si>
  <si>
    <t>oggetto Totale</t>
  </si>
  <si>
    <t>soggetto Totale</t>
  </si>
  <si>
    <t>(vuoto) Totale</t>
  </si>
  <si>
    <t>ogg</t>
  </si>
  <si>
    <t>sogg</t>
  </si>
  <si>
    <t>N</t>
  </si>
  <si>
    <t>Pesantezza</t>
  </si>
  <si>
    <t>Corpus</t>
  </si>
  <si>
    <t>Ruolo</t>
  </si>
  <si>
    <t>NOBJ</t>
  </si>
  <si>
    <t>OBJ</t>
  </si>
  <si>
    <t>SOGG</t>
  </si>
  <si>
    <t>i, DET+NP+REL</t>
  </si>
  <si>
    <t>ii, DET+NP+MOD</t>
  </si>
  <si>
    <t>iii, NP+MOD</t>
  </si>
  <si>
    <t>iv, DET+NP</t>
  </si>
  <si>
    <t>v, NP Nudo</t>
  </si>
  <si>
    <t>vi, PRON</t>
  </si>
  <si>
    <t>ModN</t>
  </si>
  <si>
    <t>NMod</t>
  </si>
  <si>
    <t>ModNMod</t>
  </si>
  <si>
    <t>Somma di SV</t>
  </si>
  <si>
    <t>Somma di VS</t>
  </si>
  <si>
    <t>Somma di OV</t>
  </si>
  <si>
    <t>Somma di VO</t>
  </si>
  <si>
    <t>Tr-It-tok_Gen</t>
  </si>
  <si>
    <t>Tr-It-tok_PolSo</t>
  </si>
  <si>
    <t>Dimostrativi su 1 000 token</t>
  </si>
  <si>
    <r>
      <t>Dimostrativi_</t>
    </r>
    <r>
      <rPr>
        <b/>
        <sz val="9"/>
        <color rgb="FF000000"/>
        <rFont val="Courier New"/>
        <family val="1"/>
      </rPr>
      <t xml:space="preserve">DET </t>
    </r>
    <r>
      <rPr>
        <b/>
        <sz val="10"/>
        <color rgb="FF000000"/>
        <rFont val="Times New Roman"/>
        <family val="1"/>
      </rPr>
      <t>su 1 000 token</t>
    </r>
  </si>
  <si>
    <r>
      <t>Dimostrativi_</t>
    </r>
    <r>
      <rPr>
        <b/>
        <sz val="9"/>
        <color rgb="FF000000"/>
        <rFont val="Courier New"/>
        <family val="1"/>
      </rPr>
      <t xml:space="preserve">PRON </t>
    </r>
    <r>
      <rPr>
        <b/>
        <sz val="10"/>
        <color rgb="FF000000"/>
        <rFont val="Times New Roman"/>
        <family val="1"/>
      </rPr>
      <t>su 1 000 token</t>
    </r>
  </si>
  <si>
    <t>Tr-It-tok</t>
  </si>
  <si>
    <t>23.53</t>
  </si>
  <si>
    <t>14.28</t>
  </si>
  <si>
    <t>9.24</t>
  </si>
  <si>
    <t>17.95</t>
  </si>
  <si>
    <t>11.16</t>
  </si>
  <si>
    <t>6.79</t>
  </si>
  <si>
    <t>7.02</t>
  </si>
  <si>
    <t>3.54</t>
  </si>
  <si>
    <t>3.47</t>
  </si>
  <si>
    <t>Tot_Dimostrativi</t>
  </si>
  <si>
    <t>DET_count</t>
  </si>
  <si>
    <t>DET_perc</t>
  </si>
  <si>
    <t>PRON_count</t>
  </si>
  <si>
    <t>PRON_perc</t>
  </si>
  <si>
    <t>56.10%</t>
  </si>
  <si>
    <t>43.90%</t>
  </si>
  <si>
    <t>45.24%</t>
  </si>
  <si>
    <t>54.76%</t>
  </si>
  <si>
    <t>50.51%</t>
  </si>
  <si>
    <t>49.49%</t>
  </si>
  <si>
    <t>37.04%</t>
  </si>
  <si>
    <t>62.96%</t>
  </si>
  <si>
    <t>60.70%</t>
  </si>
  <si>
    <t>39.30%</t>
  </si>
  <si>
    <t>66.04%</t>
  </si>
  <si>
    <t>33.96%</t>
  </si>
  <si>
    <t>62.20%</t>
  </si>
  <si>
    <t>37.80%</t>
  </si>
  <si>
    <t>UPOS</t>
  </si>
  <si>
    <t>Lemma</t>
  </si>
  <si>
    <t>Forma</t>
  </si>
  <si>
    <t>questo</t>
  </si>
  <si>
    <t>questi</t>
  </si>
  <si>
    <t>quello</t>
  </si>
  <si>
    <t>quella</t>
  </si>
  <si>
    <t>quel</t>
  </si>
  <si>
    <t>questa</t>
  </si>
  <si>
    <t>queste</t>
  </si>
  <si>
    <t>quelle</t>
  </si>
  <si>
    <t>quegli</t>
  </si>
  <si>
    <t>quelli</t>
  </si>
  <si>
    <t>quell'</t>
  </si>
  <si>
    <t>quei</t>
  </si>
  <si>
    <t>quest'</t>
  </si>
  <si>
    <t>'sta</t>
  </si>
  <si>
    <t>'sto</t>
  </si>
  <si>
    <t>stesso</t>
  </si>
  <si>
    <t>ciò</t>
  </si>
  <si>
    <t>'sti</t>
  </si>
  <si>
    <t>'ste</t>
  </si>
  <si>
    <t>stessa</t>
  </si>
  <si>
    <t>ello</t>
  </si>
  <si>
    <t>elle</t>
  </si>
  <si>
    <t>quel~</t>
  </si>
  <si>
    <t>st'</t>
  </si>
  <si>
    <t>stessi</t>
  </si>
  <si>
    <t>Questa</t>
  </si>
  <si>
    <t>Queste</t>
  </si>
  <si>
    <t>Questi</t>
  </si>
  <si>
    <t>tale</t>
  </si>
  <si>
    <t>colui</t>
  </si>
  <si>
    <t>Questo</t>
  </si>
  <si>
    <t>tal</t>
  </si>
  <si>
    <t>Quello</t>
  </si>
  <si>
    <t>Quel</t>
  </si>
  <si>
    <t>Quegli</t>
  </si>
  <si>
    <t>codesto</t>
  </si>
  <si>
    <t>Codesto</t>
  </si>
  <si>
    <t>stesse</t>
  </si>
  <si>
    <t>tali</t>
  </si>
  <si>
    <t>costoro</t>
  </si>
  <si>
    <t>Quest'</t>
  </si>
  <si>
    <t>coloro</t>
  </si>
  <si>
    <t>costui</t>
  </si>
  <si>
    <t>Tali</t>
  </si>
  <si>
    <t>Quelle</t>
  </si>
  <si>
    <t>Ciò</t>
  </si>
  <si>
    <t>Colonna1</t>
  </si>
  <si>
    <t>Colonna2</t>
  </si>
  <si>
    <t>Colonna3</t>
  </si>
  <si>
    <t>Colonna4</t>
  </si>
  <si>
    <t>Gen</t>
  </si>
  <si>
    <t>PolSo</t>
  </si>
  <si>
    <t>isst_tanl</t>
  </si>
  <si>
    <t>KIParla FOREST</t>
  </si>
  <si>
    <t>ParlaMint-It</t>
  </si>
  <si>
    <t>18.57</t>
  </si>
  <si>
    <t>10.17</t>
  </si>
  <si>
    <t>Depth</t>
  </si>
  <si>
    <t>Length</t>
  </si>
  <si>
    <t>0.78</t>
  </si>
  <si>
    <t>16.27</t>
  </si>
  <si>
    <t>0.36</t>
  </si>
  <si>
    <t>8.20</t>
  </si>
  <si>
    <t>1.28</t>
  </si>
  <si>
    <t>21.04</t>
  </si>
  <si>
    <t>1.02</t>
  </si>
  <si>
    <t>16.90</t>
  </si>
  <si>
    <t>1.16</t>
  </si>
  <si>
    <t>18.02</t>
  </si>
  <si>
    <t>Coefficiente</t>
  </si>
  <si>
    <t>p-value</t>
  </si>
  <si>
    <t>Intercept</t>
  </si>
  <si>
    <t>-0.106029</t>
  </si>
  <si>
    <t>C(Corpus)[T.kiparla2.18]</t>
  </si>
  <si>
    <t>0.017072</t>
  </si>
  <si>
    <t>C(Corpus)[T.parlamint]</t>
  </si>
  <si>
    <t>0.236275</t>
  </si>
  <si>
    <t>C(Corpus)[T.trittok_gen]</t>
  </si>
  <si>
    <t>0.199155</t>
  </si>
  <si>
    <t>C(Corpus)[T.trittok_polso]</t>
  </si>
  <si>
    <t>0.281860</t>
  </si>
  <si>
    <t>0.054743</t>
  </si>
  <si>
    <t>&lt;0.001</t>
  </si>
  <si>
    <t>&lt;0.003</t>
  </si>
  <si>
    <t>&lt;0.004</t>
  </si>
  <si>
    <t>&lt;0.005</t>
  </si>
  <si>
    <t>&lt;0.006</t>
  </si>
  <si>
    <t>0.382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</si>
</sst>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</font>
    <font>
      <b/>
      <sz val="10"/>
      <color rgb="FF000000"/>
      <name val="Times New Roman"/>
      <family val="1"/>
    </font>
    <font>
      <sz val="9"/>
      <color rgb="FF000000"/>
      <name val="Courier New"/>
      <family val="1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sz val="9"/>
      <color rgb="FF000000"/>
      <name val="Courier New"/>
      <family val="1"/>
    </font>
    <font>
      <sz val="10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horizontal="left" indent="1"/>
    </xf>
    <xf numFmtId="0" fontId="1" fillId="2" borderId="0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2" fillId="0" borderId="0" xfId="0" applyFont="1"/>
    <xf numFmtId="0" fontId="3" fillId="0" borderId="2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4" fillId="3" borderId="0" xfId="0" applyFont="1" applyFill="1" applyAlignment="1">
      <alignment horizontal="justify" vertical="center"/>
    </xf>
    <xf numFmtId="0" fontId="5" fillId="3" borderId="0" xfId="0" applyFont="1" applyFill="1" applyAlignment="1">
      <alignment horizontal="justify" vertical="center"/>
    </xf>
    <xf numFmtId="0" fontId="6" fillId="3" borderId="0" xfId="0" applyFont="1" applyFill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8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Foglio2!$B$40</c:f>
              <c:strCache>
                <c:ptCount val="1"/>
                <c:pt idx="0">
                  <c:v>1SG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Foglio2!$A$44:$A$48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Foglio2!$B$44:$B$48</c:f>
              <c:numCache>
                <c:formatCode>General</c:formatCode>
                <c:ptCount val="5"/>
                <c:pt idx="0">
                  <c:v>18.239999999999998</c:v>
                </c:pt>
                <c:pt idx="1">
                  <c:v>30.77</c:v>
                </c:pt>
                <c:pt idx="2">
                  <c:v>9.6199999999999992</c:v>
                </c:pt>
                <c:pt idx="3">
                  <c:v>11.83</c:v>
                </c:pt>
                <c:pt idx="4">
                  <c:v>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4-3A4C-8652-484A4231B79A}"/>
            </c:ext>
          </c:extLst>
        </c:ser>
        <c:ser>
          <c:idx val="1"/>
          <c:order val="1"/>
          <c:tx>
            <c:strRef>
              <c:f>Foglio2!$C$40</c:f>
              <c:strCache>
                <c:ptCount val="1"/>
                <c:pt idx="0">
                  <c:v>1PL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5094339622641509E-3"/>
                  <c:y val="4.95495495495496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D74-3A4C-8652-484A4231B79A}"/>
                </c:ext>
              </c:extLst>
            </c:dLbl>
            <c:dLbl>
              <c:idx val="4"/>
              <c:layout>
                <c:manualLayout>
                  <c:x val="-2.7612107080775137E-17"/>
                  <c:y val="-5.566539609304308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74-3A4C-8652-484A4231B7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Foglio2!$A$44:$A$48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Foglio2!$C$44:$C$48</c:f>
              <c:numCache>
                <c:formatCode>General</c:formatCode>
                <c:ptCount val="5"/>
                <c:pt idx="0">
                  <c:v>9.8800000000000008</c:v>
                </c:pt>
                <c:pt idx="1">
                  <c:v>3.11</c:v>
                </c:pt>
                <c:pt idx="2">
                  <c:v>8.4499999999999993</c:v>
                </c:pt>
                <c:pt idx="3">
                  <c:v>10.130000000000001</c:v>
                </c:pt>
                <c:pt idx="4">
                  <c:v>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4-3A4C-8652-484A4231B79A}"/>
            </c:ext>
          </c:extLst>
        </c:ser>
        <c:ser>
          <c:idx val="2"/>
          <c:order val="2"/>
          <c:tx>
            <c:strRef>
              <c:f>Foglio2!$D$40</c:f>
              <c:strCache>
                <c:ptCount val="1"/>
                <c:pt idx="0">
                  <c:v>2SG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FD74-3A4C-8652-484A4231B79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FD74-3A4C-8652-484A4231B79A}"/>
                </c:ext>
              </c:extLst>
            </c:dLbl>
            <c:dLbl>
              <c:idx val="2"/>
              <c:layout>
                <c:manualLayout>
                  <c:x val="0"/>
                  <c:y val="-5.40540540540540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74-3A4C-8652-484A4231B79A}"/>
                </c:ext>
              </c:extLst>
            </c:dLbl>
            <c:dLbl>
              <c:idx val="3"/>
              <c:layout>
                <c:manualLayout>
                  <c:x val="-1.5094339622641509E-3"/>
                  <c:y val="6.30630630630630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74-3A4C-8652-484A4231B79A}"/>
                </c:ext>
              </c:extLst>
            </c:dLbl>
            <c:dLbl>
              <c:idx val="4"/>
              <c:layout>
                <c:manualLayout>
                  <c:x val="0"/>
                  <c:y val="5.78920119367648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74-3A4C-8652-484A4231B7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Foglio2!$A$44:$A$48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Foglio2!$D$44:$D$48</c:f>
              <c:numCache>
                <c:formatCode>General</c:formatCode>
                <c:ptCount val="5"/>
                <c:pt idx="0">
                  <c:v>8.75</c:v>
                </c:pt>
                <c:pt idx="1">
                  <c:v>6.41</c:v>
                </c:pt>
                <c:pt idx="2">
                  <c:v>2.62</c:v>
                </c:pt>
                <c:pt idx="3">
                  <c:v>0.55000000000000004</c:v>
                </c:pt>
                <c:pt idx="4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74-3A4C-8652-484A4231B79A}"/>
            </c:ext>
          </c:extLst>
        </c:ser>
        <c:ser>
          <c:idx val="3"/>
          <c:order val="3"/>
          <c:tx>
            <c:strRef>
              <c:f>Foglio2!$E$40</c:f>
              <c:strCache>
                <c:ptCount val="1"/>
                <c:pt idx="0">
                  <c:v>2PL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345272596373704E-17"/>
                  <c:y val="-5.8558558558558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74-3A4C-8652-484A4231B79A}"/>
                </c:ext>
              </c:extLst>
            </c:dLbl>
            <c:dLbl>
              <c:idx val="1"/>
              <c:layout>
                <c:manualLayout>
                  <c:x val="0"/>
                  <c:y val="-5.85585585585585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74-3A4C-8652-484A4231B79A}"/>
                </c:ext>
              </c:extLst>
            </c:dLbl>
            <c:dLbl>
              <c:idx val="3"/>
              <c:layout>
                <c:manualLayout>
                  <c:x val="1.5094339622640956E-3"/>
                  <c:y val="-5.40540540540540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74-3A4C-8652-484A4231B79A}"/>
                </c:ext>
              </c:extLst>
            </c:dLbl>
            <c:dLbl>
              <c:idx val="4"/>
              <c:layout>
                <c:manualLayout>
                  <c:x val="0"/>
                  <c:y val="-5.566539609304308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74-3A4C-8652-484A4231B7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Foglio2!$A$44:$A$48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Foglio2!$E$44:$E$48</c:f>
              <c:numCache>
                <c:formatCode>General</c:formatCode>
                <c:ptCount val="5"/>
                <c:pt idx="0">
                  <c:v>3.98</c:v>
                </c:pt>
                <c:pt idx="1">
                  <c:v>2.2000000000000002</c:v>
                </c:pt>
                <c:pt idx="2">
                  <c:v>7.29</c:v>
                </c:pt>
                <c:pt idx="3">
                  <c:v>0.49</c:v>
                </c:pt>
                <c:pt idx="4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74-3A4C-8652-484A4231B79A}"/>
            </c:ext>
          </c:extLst>
        </c:ser>
        <c:ser>
          <c:idx val="4"/>
          <c:order val="4"/>
          <c:tx>
            <c:strRef>
              <c:f>Foglio2!$F$40</c:f>
              <c:strCache>
                <c:ptCount val="1"/>
                <c:pt idx="0">
                  <c:v>3SG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Foglio2!$A$44:$A$48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Foglio2!$F$44:$F$48</c:f>
              <c:numCache>
                <c:formatCode>General</c:formatCode>
                <c:ptCount val="5"/>
                <c:pt idx="0">
                  <c:v>43.17</c:v>
                </c:pt>
                <c:pt idx="1">
                  <c:v>46.89</c:v>
                </c:pt>
                <c:pt idx="2">
                  <c:v>46.06</c:v>
                </c:pt>
                <c:pt idx="3">
                  <c:v>55.4</c:v>
                </c:pt>
                <c:pt idx="4">
                  <c:v>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74-3A4C-8652-484A4231B79A}"/>
            </c:ext>
          </c:extLst>
        </c:ser>
        <c:ser>
          <c:idx val="5"/>
          <c:order val="5"/>
          <c:tx>
            <c:strRef>
              <c:f>Foglio2!$G$40</c:f>
              <c:strCache>
                <c:ptCount val="1"/>
                <c:pt idx="0">
                  <c:v>3PL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Foglio2!$A$44:$A$48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Foglio2!$G$44:$G$48</c:f>
              <c:numCache>
                <c:formatCode>General</c:formatCode>
                <c:ptCount val="5"/>
                <c:pt idx="0">
                  <c:v>15.98</c:v>
                </c:pt>
                <c:pt idx="1">
                  <c:v>10.62</c:v>
                </c:pt>
                <c:pt idx="2">
                  <c:v>25.95</c:v>
                </c:pt>
                <c:pt idx="3">
                  <c:v>21.6</c:v>
                </c:pt>
                <c:pt idx="4">
                  <c:v>22.62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74-3A4C-8652-484A4231B7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11113487"/>
        <c:axId val="945905199"/>
      </c:barChart>
      <c:catAx>
        <c:axId val="91111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945905199"/>
        <c:crosses val="autoZero"/>
        <c:auto val="1"/>
        <c:lblAlgn val="ctr"/>
        <c:lblOffset val="100"/>
        <c:noMultiLvlLbl val="0"/>
      </c:catAx>
      <c:valAx>
        <c:axId val="94590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9111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Foglio3!$B$23</c:f>
              <c:strCache>
                <c:ptCount val="1"/>
                <c:pt idx="0">
                  <c:v>Indicativo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Foglio3!$B$24:$B$28</c:f>
              <c:numCache>
                <c:formatCode>General</c:formatCode>
                <c:ptCount val="5"/>
                <c:pt idx="0">
                  <c:v>47.99</c:v>
                </c:pt>
                <c:pt idx="1">
                  <c:v>59.5</c:v>
                </c:pt>
                <c:pt idx="2">
                  <c:v>62.46</c:v>
                </c:pt>
                <c:pt idx="3">
                  <c:v>63.97</c:v>
                </c:pt>
                <c:pt idx="4">
                  <c:v>67.78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5-E44B-8F71-D4834FC5E490}"/>
            </c:ext>
          </c:extLst>
        </c:ser>
        <c:ser>
          <c:idx val="1"/>
          <c:order val="1"/>
          <c:tx>
            <c:strRef>
              <c:f>Foglio3!$C$23</c:f>
              <c:strCache>
                <c:ptCount val="1"/>
                <c:pt idx="0">
                  <c:v>Congiuntivo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6.4310270826248234E-3"/>
                  <c:y val="-2.432807578712863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115-E44B-8F71-D4834FC5E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Foglio3!$C$24:$C$28</c:f>
              <c:numCache>
                <c:formatCode>General</c:formatCode>
                <c:ptCount val="5"/>
                <c:pt idx="0">
                  <c:v>5.98</c:v>
                </c:pt>
                <c:pt idx="1">
                  <c:v>2.99</c:v>
                </c:pt>
                <c:pt idx="2">
                  <c:v>3.34</c:v>
                </c:pt>
                <c:pt idx="3">
                  <c:v>1.35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5-E44B-8F71-D4834FC5E490}"/>
            </c:ext>
          </c:extLst>
        </c:ser>
        <c:ser>
          <c:idx val="2"/>
          <c:order val="2"/>
          <c:tx>
            <c:strRef>
              <c:f>Foglio3!$D$23</c:f>
              <c:strCache>
                <c:ptCount val="1"/>
                <c:pt idx="0">
                  <c:v>Condizionale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0034379156747526E-3"/>
                  <c:y val="-5.8520707406807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115-E44B-8F71-D4834FC5E490}"/>
                </c:ext>
              </c:extLst>
            </c:dLbl>
            <c:dLbl>
              <c:idx val="1"/>
              <c:layout>
                <c:manualLayout>
                  <c:x val="0"/>
                  <c:y val="-5.85207722821968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115-E44B-8F71-D4834FC5E490}"/>
                </c:ext>
              </c:extLst>
            </c:dLbl>
            <c:dLbl>
              <c:idx val="2"/>
              <c:layout>
                <c:manualLayout>
                  <c:x val="-7.7172324991497876E-3"/>
                  <c:y val="5.36439817895731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115-E44B-8F71-D4834FC5E490}"/>
                </c:ext>
              </c:extLst>
            </c:dLbl>
            <c:dLbl>
              <c:idx val="3"/>
              <c:layout>
                <c:manualLayout>
                  <c:x val="-3.8535524487224334E-3"/>
                  <c:y val="5.48603855789296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229265204011418E-2"/>
                      <c:h val="4.74397477848999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D115-E44B-8F71-D4834FC5E490}"/>
                </c:ext>
              </c:extLst>
            </c:dLbl>
            <c:dLbl>
              <c:idx val="4"/>
              <c:layout>
                <c:manualLayout>
                  <c:x val="-9.4688385323633513E-17"/>
                  <c:y val="-6.09591377939550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Foglio3!$D$24:$D$28</c:f>
              <c:numCache>
                <c:formatCode>General</c:formatCode>
                <c:ptCount val="5"/>
                <c:pt idx="0">
                  <c:v>2.79</c:v>
                </c:pt>
                <c:pt idx="1">
                  <c:v>1.77</c:v>
                </c:pt>
                <c:pt idx="2">
                  <c:v>2.52</c:v>
                </c:pt>
                <c:pt idx="3">
                  <c:v>1.85</c:v>
                </c:pt>
                <c:pt idx="4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15-E44B-8F71-D4834FC5E490}"/>
            </c:ext>
          </c:extLst>
        </c:ser>
        <c:ser>
          <c:idx val="3"/>
          <c:order val="3"/>
          <c:tx>
            <c:strRef>
              <c:f>Foglio3!$E$23</c:f>
              <c:strCache>
                <c:ptCount val="1"/>
                <c:pt idx="0">
                  <c:v>Imperativo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115-E44B-8F71-D4834FC5E490}"/>
                </c:ext>
              </c:extLst>
            </c:dLbl>
            <c:dLbl>
              <c:idx val="1"/>
              <c:layout>
                <c:manualLayout>
                  <c:x val="-3.8736605115794929E-3"/>
                  <c:y val="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115-E44B-8F71-D4834FC5E490}"/>
                </c:ext>
              </c:extLst>
            </c:dLbl>
            <c:dLbl>
              <c:idx val="2"/>
              <c:layout>
                <c:manualLayout>
                  <c:x val="-1.291220170526466E-3"/>
                  <c:y val="-5.1205675746922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115-E44B-8F71-D4834FC5E490}"/>
                </c:ext>
              </c:extLst>
            </c:dLbl>
            <c:dLbl>
              <c:idx val="3"/>
              <c:layout>
                <c:manualLayout>
                  <c:x val="-9.4688385323633513E-17"/>
                  <c:y val="-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115-E44B-8F71-D4834FC5E49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115-E44B-8F71-D4834FC5E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Foglio3!$E$24:$E$28</c:f>
              <c:numCache>
                <c:formatCode>General</c:formatCode>
                <c:ptCount val="5"/>
                <c:pt idx="0">
                  <c:v>0.39</c:v>
                </c:pt>
                <c:pt idx="1">
                  <c:v>1.51</c:v>
                </c:pt>
                <c:pt idx="2">
                  <c:v>1.85</c:v>
                </c:pt>
                <c:pt idx="3">
                  <c:v>1.01</c:v>
                </c:pt>
                <c:pt idx="4">
                  <c:v>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15-E44B-8F71-D4834FC5E490}"/>
            </c:ext>
          </c:extLst>
        </c:ser>
        <c:ser>
          <c:idx val="4"/>
          <c:order val="4"/>
          <c:tx>
            <c:strRef>
              <c:f>Foglio3!$F$23</c:f>
              <c:strCache>
                <c:ptCount val="1"/>
                <c:pt idx="0">
                  <c:v>Progressivo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1397578652473035E-3"/>
                  <c:y val="-5.60823445981902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115-E44B-8F71-D4834FC5E490}"/>
                </c:ext>
              </c:extLst>
            </c:dLbl>
            <c:dLbl>
              <c:idx val="1"/>
              <c:layout>
                <c:manualLayout>
                  <c:x val="9.0034379156746589E-3"/>
                  <c:y val="-5.60823445981902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115-E44B-8F71-D4834FC5E490}"/>
                </c:ext>
              </c:extLst>
            </c:dLbl>
            <c:dLbl>
              <c:idx val="2"/>
              <c:layout>
                <c:manualLayout>
                  <c:x val="0"/>
                  <c:y val="6.06868639501209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115-E44B-8F71-D4834FC5E490}"/>
                </c:ext>
              </c:extLst>
            </c:dLbl>
            <c:dLbl>
              <c:idx val="3"/>
              <c:layout>
                <c:manualLayout>
                  <c:x val="2.57747463390239E-3"/>
                  <c:y val="5.33884412139824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15-E44B-8F71-D4834FC5E490}"/>
                </c:ext>
              </c:extLst>
            </c:dLbl>
            <c:dLbl>
              <c:idx val="4"/>
              <c:layout>
                <c:manualLayout>
                  <c:x val="-1.8937677064726703E-16"/>
                  <c:y val="-5.36440412586804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15-E44B-8F71-D4834FC5E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Foglio3!$F$24:$F$28</c:f>
              <c:numCache>
                <c:formatCode>General</c:formatCode>
                <c:ptCount val="5"/>
                <c:pt idx="0">
                  <c:v>1.18</c:v>
                </c:pt>
                <c:pt idx="1">
                  <c:v>0.62</c:v>
                </c:pt>
                <c:pt idx="2">
                  <c:v>2.15</c:v>
                </c:pt>
                <c:pt idx="3">
                  <c:v>2.19</c:v>
                </c:pt>
                <c:pt idx="4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15-E44B-8F71-D4834FC5E490}"/>
            </c:ext>
          </c:extLst>
        </c:ser>
        <c:ser>
          <c:idx val="5"/>
          <c:order val="5"/>
          <c:tx>
            <c:strRef>
              <c:f>Foglio3!$G$23</c:f>
              <c:strCache>
                <c:ptCount val="1"/>
                <c:pt idx="0">
                  <c:v>Gerundio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867117966102107E-2"/>
                  <c:y val="5.60823445981900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1.2867117966102012E-2"/>
                  <c:y val="5.60823445981901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9.4688385323633513E-17"/>
                  <c:y val="-5.85207722821968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3.8736605115793033E-3"/>
                  <c:y val="-5.85207722821968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"/>
                  <c:y val="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Foglio3!$G$24:$G$28</c:f>
              <c:numCache>
                <c:formatCode>General</c:formatCode>
                <c:ptCount val="5"/>
                <c:pt idx="0">
                  <c:v>2.5499999999999998</c:v>
                </c:pt>
                <c:pt idx="1">
                  <c:v>2.48</c:v>
                </c:pt>
                <c:pt idx="2">
                  <c:v>2.08</c:v>
                </c:pt>
                <c:pt idx="3">
                  <c:v>1.68</c:v>
                </c:pt>
                <c:pt idx="4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15-E44B-8F71-D4834FC5E490}"/>
            </c:ext>
          </c:extLst>
        </c:ser>
        <c:ser>
          <c:idx val="6"/>
          <c:order val="6"/>
          <c:tx>
            <c:strRef>
              <c:f>Foglio3!$H$23</c:f>
              <c:strCache>
                <c:ptCount val="1"/>
                <c:pt idx="0">
                  <c:v>Infinito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Foglio3!$H$24:$H$28</c:f>
              <c:numCache>
                <c:formatCode>General</c:formatCode>
                <c:ptCount val="5"/>
                <c:pt idx="0">
                  <c:v>21.32</c:v>
                </c:pt>
                <c:pt idx="1">
                  <c:v>18.53</c:v>
                </c:pt>
                <c:pt idx="2">
                  <c:v>19.07</c:v>
                </c:pt>
                <c:pt idx="3">
                  <c:v>20.71</c:v>
                </c:pt>
                <c:pt idx="4">
                  <c:v>21.37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15-E44B-8F71-D4834FC5E490}"/>
            </c:ext>
          </c:extLst>
        </c:ser>
        <c:ser>
          <c:idx val="7"/>
          <c:order val="7"/>
          <c:tx>
            <c:strRef>
              <c:f>Foglio3!$I$23</c:f>
              <c:strCache>
                <c:ptCount val="1"/>
                <c:pt idx="0">
                  <c:v>Participio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D115-E44B-8F71-D4834FC5E49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D115-E44B-8F71-D4834FC5E490}"/>
                </c:ext>
              </c:extLst>
            </c:dLbl>
            <c:dLbl>
              <c:idx val="2"/>
              <c:layout>
                <c:manualLayout>
                  <c:x val="0"/>
                  <c:y val="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115-E44B-8F71-D4834FC5E490}"/>
                </c:ext>
              </c:extLst>
            </c:dLbl>
            <c:dLbl>
              <c:idx val="3"/>
              <c:layout>
                <c:manualLayout>
                  <c:x val="0"/>
                  <c:y val="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15-E44B-8F71-D4834FC5E490}"/>
                </c:ext>
              </c:extLst>
            </c:dLbl>
            <c:dLbl>
              <c:idx val="4"/>
              <c:layout>
                <c:manualLayout>
                  <c:x val="-1.2912201705266553E-3"/>
                  <c:y val="5.6082406770438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115-E44B-8F71-D4834FC5E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Foglio3!$A$24:$A$28</c:f>
              <c:strCache>
                <c:ptCount val="5"/>
                <c:pt idx="0">
                  <c:v>ParlaMint</c:v>
                </c:pt>
                <c:pt idx="1">
                  <c:v>ISDT</c:v>
                </c:pt>
                <c:pt idx="2">
                  <c:v>TrIttokPolSo</c:v>
                </c:pt>
                <c:pt idx="3">
                  <c:v>TrIttokGen</c:v>
                </c:pt>
                <c:pt idx="4">
                  <c:v>KIParla</c:v>
                </c:pt>
              </c:strCache>
            </c:strRef>
          </c:cat>
          <c:val>
            <c:numRef>
              <c:f>Foglio3!$I$24:$I$28</c:f>
              <c:numCache>
                <c:formatCode>General</c:formatCode>
                <c:ptCount val="5"/>
                <c:pt idx="0">
                  <c:v>12.75</c:v>
                </c:pt>
                <c:pt idx="1">
                  <c:v>10.87</c:v>
                </c:pt>
                <c:pt idx="2">
                  <c:v>3.19</c:v>
                </c:pt>
                <c:pt idx="3">
                  <c:v>2.86</c:v>
                </c:pt>
                <c:pt idx="4">
                  <c:v>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15-E44B-8F71-D4834FC5E4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2617968"/>
        <c:axId val="1966402736"/>
      </c:barChart>
      <c:catAx>
        <c:axId val="197261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66402736"/>
        <c:crosses val="autoZero"/>
        <c:auto val="1"/>
        <c:lblAlgn val="ctr"/>
        <c:lblOffset val="100"/>
        <c:noMultiLvlLbl val="0"/>
      </c:catAx>
      <c:valAx>
        <c:axId val="196640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726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Foglio8!$B$27</c:f>
              <c:strCache>
                <c:ptCount val="1"/>
                <c:pt idx="0">
                  <c:v>Saturazione media delle valenze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3020907897876402E-2"/>
                  <c:y val="4.01354958835273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0B-F44F-8DFB-27474040AB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Foglio8!$A$28:$A$32</c:f>
              <c:strCache>
                <c:ptCount val="5"/>
                <c:pt idx="0">
                  <c:v>KIParla</c:v>
                </c:pt>
                <c:pt idx="1">
                  <c:v>TrIttokGen</c:v>
                </c:pt>
                <c:pt idx="2">
                  <c:v>TriIttokPolSo</c:v>
                </c:pt>
                <c:pt idx="3">
                  <c:v>ParlaMint</c:v>
                </c:pt>
                <c:pt idx="4">
                  <c:v>ISDT</c:v>
                </c:pt>
              </c:strCache>
            </c:strRef>
          </c:cat>
          <c:val>
            <c:numRef>
              <c:f>Foglio8!$B$28:$B$32</c:f>
              <c:numCache>
                <c:formatCode>General</c:formatCode>
                <c:ptCount val="5"/>
                <c:pt idx="0">
                  <c:v>37.83</c:v>
                </c:pt>
                <c:pt idx="1">
                  <c:v>38.25</c:v>
                </c:pt>
                <c:pt idx="2">
                  <c:v>38.28</c:v>
                </c:pt>
                <c:pt idx="3">
                  <c:v>39.4</c:v>
                </c:pt>
                <c:pt idx="4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B-F44F-8DFB-27474040AB8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27448320"/>
        <c:axId val="2026991280"/>
      </c:lineChart>
      <c:catAx>
        <c:axId val="20274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026991280"/>
        <c:crosses val="autoZero"/>
        <c:auto val="1"/>
        <c:lblAlgn val="ctr"/>
        <c:lblOffset val="100"/>
        <c:noMultiLvlLbl val="0"/>
      </c:catAx>
      <c:valAx>
        <c:axId val="20269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02744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Foglio9!$B$16</c:f>
              <c:strCache>
                <c:ptCount val="1"/>
                <c:pt idx="0">
                  <c:v>SN_testa_nominale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Foglio9!$A$17:$A$20</c:f>
              <c:strCache>
                <c:ptCount val="4"/>
                <c:pt idx="0">
                  <c:v>KIParla</c:v>
                </c:pt>
                <c:pt idx="1">
                  <c:v>TrIttok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Foglio9!$B$17:$B$20</c:f>
              <c:numCache>
                <c:formatCode>General</c:formatCode>
                <c:ptCount val="4"/>
                <c:pt idx="0">
                  <c:v>62.163248894250103</c:v>
                </c:pt>
                <c:pt idx="1">
                  <c:v>64.075931232091691</c:v>
                </c:pt>
                <c:pt idx="2">
                  <c:v>79.406978846501545</c:v>
                </c:pt>
                <c:pt idx="3">
                  <c:v>84.645912337948673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5541-84C8-AAB9BA23F6CC}"/>
            </c:ext>
          </c:extLst>
        </c:ser>
        <c:ser>
          <c:idx val="1"/>
          <c:order val="1"/>
          <c:tx>
            <c:strRef>
              <c:f>Foglio9!$C$16</c:f>
              <c:strCache>
                <c:ptCount val="1"/>
                <c:pt idx="0">
                  <c:v>SN_testa_pronominale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Foglio9!$A$17:$A$20</c:f>
              <c:strCache>
                <c:ptCount val="4"/>
                <c:pt idx="0">
                  <c:v>KIParla</c:v>
                </c:pt>
                <c:pt idx="1">
                  <c:v>TrIttok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Foglio9!$C$17:$C$20</c:f>
              <c:numCache>
                <c:formatCode>General</c:formatCode>
                <c:ptCount val="4"/>
                <c:pt idx="0">
                  <c:v>37.836751105749897</c:v>
                </c:pt>
                <c:pt idx="1">
                  <c:v>35.924068767908309</c:v>
                </c:pt>
                <c:pt idx="2">
                  <c:v>20.593021153498466</c:v>
                </c:pt>
                <c:pt idx="3">
                  <c:v>15.354087662051327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B-5541-84C8-AAB9BA23F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8129936"/>
        <c:axId val="1935428144"/>
      </c:barChart>
      <c:catAx>
        <c:axId val="19281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35428144"/>
        <c:crosses val="autoZero"/>
        <c:auto val="1"/>
        <c:lblAlgn val="ctr"/>
        <c:lblOffset val="100"/>
        <c:noMultiLvlLbl val="0"/>
      </c:catAx>
      <c:valAx>
        <c:axId val="19354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81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Foglio11!$G$44</c:f>
              <c:strCache>
                <c:ptCount val="1"/>
                <c:pt idx="0">
                  <c:v>PRON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Foglio11!$F$54:$F$58</c:f>
              <c:strCache>
                <c:ptCount val="5"/>
                <c:pt idx="0">
                  <c:v>ISDT</c:v>
                </c:pt>
                <c:pt idx="1">
                  <c:v>ParlaMint</c:v>
                </c:pt>
                <c:pt idx="2">
                  <c:v>KIParla</c:v>
                </c:pt>
                <c:pt idx="3">
                  <c:v>TrIttokPolSo</c:v>
                </c:pt>
                <c:pt idx="4">
                  <c:v>TrIttokGen</c:v>
                </c:pt>
              </c:strCache>
            </c:strRef>
          </c:cat>
          <c:val>
            <c:numRef>
              <c:f>Foglio11!$G$54:$G$58</c:f>
              <c:numCache>
                <c:formatCode>General</c:formatCode>
                <c:ptCount val="5"/>
                <c:pt idx="0">
                  <c:v>28.46</c:v>
                </c:pt>
                <c:pt idx="1">
                  <c:v>40.700000000000003</c:v>
                </c:pt>
                <c:pt idx="2">
                  <c:v>52.46</c:v>
                </c:pt>
                <c:pt idx="3">
                  <c:v>52.99</c:v>
                </c:pt>
                <c:pt idx="4">
                  <c:v>60.89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D-9641-B191-DE08DDD6AEC1}"/>
            </c:ext>
          </c:extLst>
        </c:ser>
        <c:ser>
          <c:idx val="1"/>
          <c:order val="1"/>
          <c:tx>
            <c:strRef>
              <c:f>Foglio11!$H$44</c:f>
              <c:strCache>
                <c:ptCount val="1"/>
                <c:pt idx="0">
                  <c:v>NOUN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Foglio11!$F$54:$F$58</c:f>
              <c:strCache>
                <c:ptCount val="5"/>
                <c:pt idx="0">
                  <c:v>ISDT</c:v>
                </c:pt>
                <c:pt idx="1">
                  <c:v>ParlaMint</c:v>
                </c:pt>
                <c:pt idx="2">
                  <c:v>KIParla</c:v>
                </c:pt>
                <c:pt idx="3">
                  <c:v>TrIttokPolSo</c:v>
                </c:pt>
                <c:pt idx="4">
                  <c:v>TrIttokGen</c:v>
                </c:pt>
              </c:strCache>
            </c:strRef>
          </c:cat>
          <c:val>
            <c:numRef>
              <c:f>Foglio11!$H$54:$H$58</c:f>
              <c:numCache>
                <c:formatCode>General</c:formatCode>
                <c:ptCount val="5"/>
                <c:pt idx="0">
                  <c:v>71.540000000000006</c:v>
                </c:pt>
                <c:pt idx="1">
                  <c:v>59.3</c:v>
                </c:pt>
                <c:pt idx="2">
                  <c:v>47.54</c:v>
                </c:pt>
                <c:pt idx="3">
                  <c:v>47.01</c:v>
                </c:pt>
                <c:pt idx="4">
                  <c:v>39.11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D-9641-B191-DE08DDD6AE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7524271"/>
        <c:axId val="1928707680"/>
      </c:barChart>
      <c:catAx>
        <c:axId val="9275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8707680"/>
        <c:crosses val="autoZero"/>
        <c:auto val="1"/>
        <c:lblAlgn val="ctr"/>
        <c:lblOffset val="100"/>
        <c:noMultiLvlLbl val="0"/>
      </c:catAx>
      <c:valAx>
        <c:axId val="19287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92752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Foglio11!$B$44</c:f>
              <c:strCache>
                <c:ptCount val="1"/>
                <c:pt idx="0">
                  <c:v>PRON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Foglio11!$A$54:$A$59</c:f>
              <c:strCache>
                <c:ptCount val="6"/>
                <c:pt idx="0">
                  <c:v>ParlaMint</c:v>
                </c:pt>
                <c:pt idx="1">
                  <c:v>ISDT</c:v>
                </c:pt>
                <c:pt idx="2">
                  <c:v>TrIttokGen</c:v>
                </c:pt>
                <c:pt idx="3">
                  <c:v>TrIttok</c:v>
                </c:pt>
                <c:pt idx="4">
                  <c:v>TrIttokPolSo</c:v>
                </c:pt>
                <c:pt idx="5">
                  <c:v>KIParla</c:v>
                </c:pt>
              </c:strCache>
            </c:strRef>
          </c:cat>
          <c:val>
            <c:numRef>
              <c:f>Foglio11!$B$54:$B$59</c:f>
              <c:numCache>
                <c:formatCode>General</c:formatCode>
                <c:ptCount val="6"/>
                <c:pt idx="0">
                  <c:v>20.399999999999999</c:v>
                </c:pt>
                <c:pt idx="1">
                  <c:v>23.7</c:v>
                </c:pt>
                <c:pt idx="2">
                  <c:v>33.200000000000003</c:v>
                </c:pt>
                <c:pt idx="3">
                  <c:v>33.51</c:v>
                </c:pt>
                <c:pt idx="4">
                  <c:v>33.75</c:v>
                </c:pt>
                <c:pt idx="5">
                  <c:v>42.67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9-E34D-96A4-BDAE0027A932}"/>
            </c:ext>
          </c:extLst>
        </c:ser>
        <c:ser>
          <c:idx val="1"/>
          <c:order val="1"/>
          <c:tx>
            <c:strRef>
              <c:f>Foglio11!$C$44</c:f>
              <c:strCache>
                <c:ptCount val="1"/>
                <c:pt idx="0">
                  <c:v>NOUN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Foglio11!$A$54:$A$59</c:f>
              <c:strCache>
                <c:ptCount val="6"/>
                <c:pt idx="0">
                  <c:v>ParlaMint</c:v>
                </c:pt>
                <c:pt idx="1">
                  <c:v>ISDT</c:v>
                </c:pt>
                <c:pt idx="2">
                  <c:v>TrIttokGen</c:v>
                </c:pt>
                <c:pt idx="3">
                  <c:v>TrIttok</c:v>
                </c:pt>
                <c:pt idx="4">
                  <c:v>TrIttokPolSo</c:v>
                </c:pt>
                <c:pt idx="5">
                  <c:v>KIParla</c:v>
                </c:pt>
              </c:strCache>
            </c:strRef>
          </c:cat>
          <c:val>
            <c:numRef>
              <c:f>Foglio11!$C$54:$C$59</c:f>
              <c:numCache>
                <c:formatCode>General</c:formatCode>
                <c:ptCount val="6"/>
                <c:pt idx="0">
                  <c:v>79.599999999999994</c:v>
                </c:pt>
                <c:pt idx="1">
                  <c:v>76.3</c:v>
                </c:pt>
                <c:pt idx="2">
                  <c:v>66.8</c:v>
                </c:pt>
                <c:pt idx="3">
                  <c:v>66.489999999999995</c:v>
                </c:pt>
                <c:pt idx="4">
                  <c:v>66.25</c:v>
                </c:pt>
                <c:pt idx="5">
                  <c:v>57.33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9-E34D-96A4-BDAE0027A9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6"/>
        <c:overlap val="100"/>
        <c:axId val="1978905200"/>
        <c:axId val="1979445056"/>
      </c:barChart>
      <c:catAx>
        <c:axId val="19789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79445056"/>
        <c:crosses val="autoZero"/>
        <c:auto val="1"/>
        <c:lblAlgn val="ctr"/>
        <c:lblOffset val="100"/>
        <c:noMultiLvlLbl val="0"/>
      </c:catAx>
      <c:valAx>
        <c:axId val="19794450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7890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Foglio13!$B$1</c:f>
              <c:strCache>
                <c:ptCount val="1"/>
                <c:pt idx="0">
                  <c:v>NMod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Foglio13!$A$2:$A$5</c:f>
              <c:strCache>
                <c:ptCount val="4"/>
                <c:pt idx="0">
                  <c:v>TrIttok</c:v>
                </c:pt>
                <c:pt idx="1">
                  <c:v>KIParla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Foglio13!$B$2:$B$5</c:f>
              <c:numCache>
                <c:formatCode>General</c:formatCode>
                <c:ptCount val="4"/>
                <c:pt idx="0">
                  <c:v>119</c:v>
                </c:pt>
                <c:pt idx="1">
                  <c:v>247</c:v>
                </c:pt>
                <c:pt idx="2">
                  <c:v>519</c:v>
                </c:pt>
                <c:pt idx="3">
                  <c:v>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9-DD4F-88DB-D94778D0F0D8}"/>
            </c:ext>
          </c:extLst>
        </c:ser>
        <c:ser>
          <c:idx val="1"/>
          <c:order val="1"/>
          <c:tx>
            <c:strRef>
              <c:f>Foglio13!$C$1</c:f>
              <c:strCache>
                <c:ptCount val="1"/>
                <c:pt idx="0">
                  <c:v>ModN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Foglio13!$A$2:$A$5</c:f>
              <c:strCache>
                <c:ptCount val="4"/>
                <c:pt idx="0">
                  <c:v>TrIttok</c:v>
                </c:pt>
                <c:pt idx="1">
                  <c:v>KIParla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Foglio13!$C$2:$C$5</c:f>
              <c:numCache>
                <c:formatCode>General</c:formatCode>
                <c:ptCount val="4"/>
                <c:pt idx="0">
                  <c:v>759</c:v>
                </c:pt>
                <c:pt idx="1">
                  <c:v>1099</c:v>
                </c:pt>
                <c:pt idx="2">
                  <c:v>1343</c:v>
                </c:pt>
                <c:pt idx="3">
                  <c:v>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9-DD4F-88DB-D94778D0F0D8}"/>
            </c:ext>
          </c:extLst>
        </c:ser>
        <c:ser>
          <c:idx val="2"/>
          <c:order val="2"/>
          <c:tx>
            <c:strRef>
              <c:f>Foglio13!$D$1</c:f>
              <c:strCache>
                <c:ptCount val="1"/>
                <c:pt idx="0">
                  <c:v>ModNMod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Foglio13!$A$2:$A$5</c:f>
              <c:strCache>
                <c:ptCount val="4"/>
                <c:pt idx="0">
                  <c:v>TrIttok</c:v>
                </c:pt>
                <c:pt idx="1">
                  <c:v>KIParla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Foglio13!$D$2:$D$5</c:f>
              <c:numCache>
                <c:formatCode>General</c:formatCode>
                <c:ptCount val="4"/>
                <c:pt idx="0">
                  <c:v>468</c:v>
                </c:pt>
                <c:pt idx="1">
                  <c:v>780</c:v>
                </c:pt>
                <c:pt idx="2">
                  <c:v>1727</c:v>
                </c:pt>
                <c:pt idx="3">
                  <c:v>6007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39-DD4F-88DB-D94778D0F0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7488495"/>
        <c:axId val="1928484704"/>
      </c:barChart>
      <c:catAx>
        <c:axId val="9274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8484704"/>
        <c:crosses val="autoZero"/>
        <c:auto val="1"/>
        <c:lblAlgn val="ctr"/>
        <c:lblOffset val="100"/>
        <c:noMultiLvlLbl val="0"/>
      </c:catAx>
      <c:valAx>
        <c:axId val="192848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92748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Foglio13!$E$1</c:f>
              <c:strCache>
                <c:ptCount val="1"/>
                <c:pt idx="0">
                  <c:v>NMod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Foglio13!$A$2:$A$5</c:f>
              <c:strCache>
                <c:ptCount val="4"/>
                <c:pt idx="0">
                  <c:v>TrIttok</c:v>
                </c:pt>
                <c:pt idx="1">
                  <c:v>KIParla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Foglio13!$E$2:$E$5</c:f>
              <c:numCache>
                <c:formatCode>General</c:formatCode>
                <c:ptCount val="4"/>
                <c:pt idx="0">
                  <c:v>71</c:v>
                </c:pt>
                <c:pt idx="1">
                  <c:v>104</c:v>
                </c:pt>
                <c:pt idx="2">
                  <c:v>122</c:v>
                </c:pt>
                <c:pt idx="3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2-7B46-AF6C-E7A6F1C7F1AA}"/>
            </c:ext>
          </c:extLst>
        </c:ser>
        <c:ser>
          <c:idx val="1"/>
          <c:order val="1"/>
          <c:tx>
            <c:strRef>
              <c:f>Foglio13!$F$1</c:f>
              <c:strCache>
                <c:ptCount val="1"/>
                <c:pt idx="0">
                  <c:v>ModN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Foglio13!$A$2:$A$5</c:f>
              <c:strCache>
                <c:ptCount val="4"/>
                <c:pt idx="0">
                  <c:v>TrIttok</c:v>
                </c:pt>
                <c:pt idx="1">
                  <c:v>KIParla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Foglio13!$F$2:$F$5</c:f>
              <c:numCache>
                <c:formatCode>General</c:formatCode>
                <c:ptCount val="4"/>
                <c:pt idx="0">
                  <c:v>14</c:v>
                </c:pt>
                <c:pt idx="1">
                  <c:v>40</c:v>
                </c:pt>
                <c:pt idx="2">
                  <c:v>46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2-7B46-AF6C-E7A6F1C7F1AA}"/>
            </c:ext>
          </c:extLst>
        </c:ser>
        <c:ser>
          <c:idx val="2"/>
          <c:order val="2"/>
          <c:tx>
            <c:strRef>
              <c:f>Foglio13!$G$1</c:f>
              <c:strCache>
                <c:ptCount val="1"/>
                <c:pt idx="0">
                  <c:v>ModNMod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Foglio13!$A$2:$A$5</c:f>
              <c:strCache>
                <c:ptCount val="4"/>
                <c:pt idx="0">
                  <c:v>TrIttok</c:v>
                </c:pt>
                <c:pt idx="1">
                  <c:v>KIParla</c:v>
                </c:pt>
                <c:pt idx="2">
                  <c:v>ParlaMint</c:v>
                </c:pt>
                <c:pt idx="3">
                  <c:v>ISDT</c:v>
                </c:pt>
              </c:strCache>
            </c:strRef>
          </c:cat>
          <c:val>
            <c:numRef>
              <c:f>Foglio13!$G$2:$G$5</c:f>
              <c:numCache>
                <c:formatCode>General</c:formatCode>
                <c:ptCount val="4"/>
                <c:pt idx="0">
                  <c:v>1</c:v>
                </c:pt>
                <c:pt idx="1">
                  <c:v>12</c:v>
                </c:pt>
                <c:pt idx="2">
                  <c:v>13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72-7B46-AF6C-E7A6F1C7F1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6205392"/>
        <c:axId val="1975354496"/>
      </c:barChart>
      <c:catAx>
        <c:axId val="21362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75354496"/>
        <c:crosses val="autoZero"/>
        <c:auto val="1"/>
        <c:lblAlgn val="ctr"/>
        <c:lblOffset val="100"/>
        <c:noMultiLvlLbl val="0"/>
      </c:catAx>
      <c:valAx>
        <c:axId val="19753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1362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212725</xdr:colOff>
      <xdr:row>49</xdr:row>
      <xdr:rowOff>73025</xdr:rowOff>
    </xdr:from>
    <xdr:to>
      <xdr:col>14</xdr:col>
      <xdr:colOff>371475</xdr:colOff>
      <xdr:row>77</xdr:row>
      <xdr:rowOff>22225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C4D530F-519C-E8B6-3E8D-31873C301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184978</xdr:colOff>
      <xdr:row>29</xdr:row>
      <xdr:rowOff>22638</xdr:rowOff>
    </xdr:from>
    <xdr:to>
      <xdr:col>16</xdr:col>
      <xdr:colOff>138042</xdr:colOff>
      <xdr:row>54</xdr:row>
      <xdr:rowOff>138042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912A7C9-C178-565F-2F4D-403666C3C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510428</xdr:colOff>
      <xdr:row>23</xdr:row>
      <xdr:rowOff>139700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CF297B1-340D-4406-C57D-DD7BE6469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904"/>
        <a:stretch>
          <a:fillRect/>
        </a:stretch>
      </xdr:blipFill>
      <xdr:spPr bwMode="auto">
        <a:xfrm>
          <a:off x="0" y="0"/>
          <a:ext cx="14543928" cy="4813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</xdr:col>
      <xdr:colOff>800100</xdr:colOff>
      <xdr:row>24</xdr:row>
      <xdr:rowOff>190500</xdr:rowOff>
    </xdr:from>
    <xdr:to>
      <xdr:col>12</xdr:col>
      <xdr:colOff>76200</xdr:colOff>
      <xdr:row>46</xdr:row>
      <xdr:rowOff>177800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592125C-29DA-C06A-F02A-33DE7D680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18</xdr:row>
      <xdr:rowOff>88900</xdr:rowOff>
    </xdr:from>
    <xdr:to>
      <xdr:col>12</xdr:col>
      <xdr:colOff>546100</xdr:colOff>
      <xdr:row>39</xdr:row>
      <xdr:rowOff>152400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16C751D-1A3C-686C-723E-EBD3A60F1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61</xdr:row>
      <xdr:rowOff>114300</xdr:rowOff>
    </xdr:from>
    <xdr:to>
      <xdr:col>16</xdr:col>
      <xdr:colOff>469900</xdr:colOff>
      <xdr:row>84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02E2E03-8B56-EBAF-86A5-006ADA62E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279400</xdr:colOff>
      <xdr:row>61</xdr:row>
      <xdr:rowOff>101600</xdr:rowOff>
    </xdr:from>
    <xdr:to>
      <xdr:col>27</xdr:col>
      <xdr:colOff>863600</xdr:colOff>
      <xdr:row>83</xdr:row>
      <xdr:rowOff>177800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BE13339-7C76-6781-5913-84B3BDB53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9</xdr:row>
      <xdr:rowOff>63500</xdr:rowOff>
    </xdr:from>
    <xdr:to>
      <xdr:col>6</xdr:col>
      <xdr:colOff>584200</xdr:colOff>
      <xdr:row>31</xdr:row>
      <xdr:rowOff>165100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1492DD-CD73-D838-63D0-A4829E989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596900</xdr:colOff>
      <xdr:row>9</xdr:row>
      <xdr:rowOff>25400</xdr:rowOff>
    </xdr:from>
    <xdr:to>
      <xdr:col>12</xdr:col>
      <xdr:colOff>190500</xdr:colOff>
      <xdr:row>31</xdr:row>
      <xdr:rowOff>165100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D2F2E4F-B7C3-BCB1-3728-A4B61E5EC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Troncone" refreshedDate="46199.401797800929" createdVersion="8" refreshedVersion="8" minRefreshableVersion="3" recordCount="276" xr:uid="{4A73A278-6B56-1541-B60E-432A73B2B4A3}">
  <cacheSource type="worksheet">
    <worksheetSource name="Tabella1"/>
  </cacheSource>
  <cacheFields count="5">
    <cacheField name="corpus" numFmtId="0">
      <sharedItems count="7">
        <s v="isdt"/>
        <s v="kiparla"/>
        <s v="kiparla2.18"/>
        <s v="parlamint"/>
        <s v="tr-it-tok"/>
        <s v="trittok_gen"/>
        <s v="trittok_polso"/>
      </sharedItems>
    </cacheField>
    <cacheField name="pos" numFmtId="0">
      <sharedItems/>
    </cacheField>
    <cacheField name="feat" numFmtId="0">
      <sharedItems count="13">
        <s v="Mood"/>
        <s v="Number"/>
        <s v="Person"/>
        <s v="Tense"/>
        <s v="VerbForm"/>
        <s v="ExtPos"/>
        <s v="Gender"/>
        <s v="PronType"/>
        <s v="Case"/>
        <s v="Voice"/>
        <s v="Aspect"/>
        <s v="Clitic"/>
        <s v="Foreign"/>
      </sharedItems>
    </cacheField>
    <cacheField name="value" numFmtId="0">
      <sharedItems containsMixedTypes="1" containsNumber="1" containsInteger="1" minValue="1" maxValue="3" count="26">
        <s v="Cnd"/>
        <s v="Imp"/>
        <s v="Ind"/>
        <s v="Sub"/>
        <s v="Plur"/>
        <s v="Sing"/>
        <n v="1"/>
        <n v="2"/>
        <n v="3"/>
        <s v="Fut"/>
        <s v="Past"/>
        <s v="Pres"/>
        <s v="Fin"/>
        <s v="Ger"/>
        <s v="Inf"/>
        <s v="ADV"/>
        <s v="Fem"/>
        <s v="Masc"/>
        <s v="Part"/>
        <s v="Dat"/>
        <s v="Pass"/>
        <s v="Acc"/>
        <s v="Yes"/>
        <s v="Prp"/>
        <s v="Inv"/>
        <s v="Prs"/>
      </sharedItems>
    </cacheField>
    <cacheField name="count" numFmtId="0">
      <sharedItems containsSemiMixedTypes="0" containsString="0" containsNumber="1" containsInteger="1" minValue="1" maxValue="40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Troncone" refreshedDate="46199.405923148151" createdVersion="8" refreshedVersion="8" minRefreshableVersion="3" recordCount="459" xr:uid="{E2DB4197-7252-0E45-B8F0-10B641EEEDC5}">
  <cacheSource type="worksheet">
    <worksheetSource name="Tabella2"/>
  </cacheSource>
  <cacheFields count="5">
    <cacheField name="corpus" numFmtId="0">
      <sharedItems count="7">
        <s v="isdt"/>
        <s v="kiparla"/>
        <s v="kiparla2.18"/>
        <s v="parlamint"/>
        <s v="tr-it-tok"/>
        <s v="trittok_gen"/>
        <s v="trittok_polso"/>
      </sharedItems>
    </cacheField>
    <cacheField name="pos" numFmtId="0">
      <sharedItems/>
    </cacheField>
    <cacheField name="feat" numFmtId="0">
      <sharedItems/>
    </cacheField>
    <cacheField name="value" numFmtId="0">
      <sharedItems containsMixedTypes="1" containsNumber="1" containsInteger="1" minValue="1" maxValue="3" count="61">
        <s v="Fem"/>
        <s v="Masc"/>
        <s v="Cnd"/>
        <s v="Imp"/>
        <s v="Ind"/>
        <s v="Sub"/>
        <s v="Plur"/>
        <s v="Sing"/>
        <n v="1"/>
        <n v="2"/>
        <n v="3"/>
        <s v="Fut"/>
        <s v="Past"/>
        <s v="Pres"/>
        <s v="Fin"/>
        <s v="Ger"/>
        <s v="Inf"/>
        <s v="Part"/>
        <s v="ADV"/>
        <s v="Condizionale"/>
        <s v="Congiuntivo"/>
        <s v="Gerundio"/>
        <s v="Imperativo"/>
        <s v="Indicativo"/>
        <s v="Infinito"/>
        <s v="Participio"/>
        <s v="Progressivo"/>
        <s v="1pl"/>
        <s v="1sg"/>
        <s v="2pl"/>
        <s v="2sg"/>
        <s v="3pl"/>
        <s v="3sg"/>
        <s v="_"/>
        <s v="Futuro anteriore"/>
        <s v="Futuro semplice"/>
        <s v="Imperfetto"/>
        <s v="Passato"/>
        <s v="Passato prossimo"/>
        <s v="Passato remoto"/>
        <s v="Presente"/>
        <s v="Sta + imperfetto"/>
        <s v="Sta + presente"/>
        <s v="Trapassato"/>
        <s v="Trapassato prossimo"/>
        <s v="Trapassato remoto"/>
        <s v="Composto"/>
        <s v="Indefinito"/>
        <s v="Ausiliare"/>
        <s v="Sconosciuto"/>
        <s v="Semplice "/>
        <s v="Finito "/>
        <s v="Sta + congiuntivo presente"/>
        <s v="Pass"/>
        <s v="Acc"/>
        <s v="Dat"/>
        <s v="Yes"/>
        <s v="Prp"/>
        <s v="Inv"/>
        <s v="Prs"/>
        <s v="Semplice"/>
      </sharedItems>
    </cacheField>
    <cacheField name="count" numFmtId="0">
      <sharedItems containsSemiMixedTypes="0" containsString="0" containsNumber="1" containsInteger="1" minValue="1" maxValue="4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Troncone" refreshedDate="46199.484557175929" createdVersion="8" refreshedVersion="8" minRefreshableVersion="3" recordCount="129" xr:uid="{F6B323BD-198A-5249-8172-8C3261BA6CA1}">
  <cacheSource type="worksheet">
    <worksheetSource name="Tabella3"/>
  </cacheSource>
  <cacheFields count="8">
    <cacheField name="corpus" numFmtId="0">
      <sharedItems containsBlank="1" count="8">
        <s v="trittok_gen"/>
        <s v="kiparla2,18"/>
        <s v="isdt"/>
        <s v="kiparla"/>
        <s v="tr-it-tok"/>
        <s v="trittok_polso"/>
        <s v="parlamint"/>
        <m/>
      </sharedItems>
    </cacheField>
    <cacheField name="tipo" numFmtId="0">
      <sharedItems containsBlank="1" count="3">
        <s v="soggetto"/>
        <s v="oggetto"/>
        <m/>
      </sharedItems>
    </cacheField>
    <cacheField name="POS" numFmtId="0">
      <sharedItems containsBlank="1" count="15">
        <s v="PRON"/>
        <s v="PROPN"/>
        <s v="NOUN"/>
        <s v="VERB"/>
        <s v="CCONJ"/>
        <s v="SCONJ"/>
        <s v="ADJ"/>
        <s v="ADV"/>
        <s v="NUM"/>
        <s v="DET"/>
        <s v="INTJ"/>
        <s v="X"/>
        <s v="AUX"/>
        <s v="SYM"/>
        <m/>
      </sharedItems>
    </cacheField>
    <cacheField name="total" numFmtId="0">
      <sharedItems containsString="0" containsBlank="1" containsNumber="1" containsInteger="1" minValue="1" maxValue="1884"/>
    </cacheField>
    <cacheField name="SV" numFmtId="0">
      <sharedItems containsString="0" containsBlank="1" containsNumber="1" containsInteger="1" minValue="0" maxValue="1283"/>
    </cacheField>
    <cacheField name="VS" numFmtId="0">
      <sharedItems containsString="0" containsBlank="1" containsNumber="1" containsInteger="1" minValue="0" maxValue="478"/>
    </cacheField>
    <cacheField name="OV" numFmtId="0">
      <sharedItems containsString="0" containsBlank="1" containsNumber="1" containsInteger="1" minValue="0" maxValue="391"/>
    </cacheField>
    <cacheField name="VO" numFmtId="0">
      <sharedItems containsString="0" containsBlank="1" containsNumber="1" containsInteger="1" minValue="0" maxValue="18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s v="AUX"/>
    <x v="0"/>
    <x v="0"/>
    <n v="92"/>
  </r>
  <r>
    <x v="0"/>
    <s v="AUX"/>
    <x v="0"/>
    <x v="1"/>
    <n v="2"/>
  </r>
  <r>
    <x v="0"/>
    <s v="AUX"/>
    <x v="0"/>
    <x v="2"/>
    <n v="1574"/>
  </r>
  <r>
    <x v="0"/>
    <s v="AUX"/>
    <x v="0"/>
    <x v="3"/>
    <n v="91"/>
  </r>
  <r>
    <x v="0"/>
    <s v="AUX"/>
    <x v="1"/>
    <x v="4"/>
    <n v="500"/>
  </r>
  <r>
    <x v="0"/>
    <s v="AUX"/>
    <x v="1"/>
    <x v="5"/>
    <n v="1259"/>
  </r>
  <r>
    <x v="0"/>
    <s v="AUX"/>
    <x v="2"/>
    <x v="6"/>
    <n v="158"/>
  </r>
  <r>
    <x v="0"/>
    <s v="AUX"/>
    <x v="2"/>
    <x v="7"/>
    <n v="19"/>
  </r>
  <r>
    <x v="0"/>
    <s v="AUX"/>
    <x v="2"/>
    <x v="8"/>
    <n v="1582"/>
  </r>
  <r>
    <x v="0"/>
    <s v="AUX"/>
    <x v="3"/>
    <x v="9"/>
    <n v="32"/>
  </r>
  <r>
    <x v="0"/>
    <s v="AUX"/>
    <x v="3"/>
    <x v="1"/>
    <n v="234"/>
  </r>
  <r>
    <x v="0"/>
    <s v="AUX"/>
    <x v="3"/>
    <x v="10"/>
    <n v="32"/>
  </r>
  <r>
    <x v="0"/>
    <s v="AUX"/>
    <x v="3"/>
    <x v="11"/>
    <n v="1461"/>
  </r>
  <r>
    <x v="0"/>
    <s v="AUX"/>
    <x v="4"/>
    <x v="12"/>
    <n v="1759"/>
  </r>
  <r>
    <x v="0"/>
    <s v="AUX"/>
    <x v="4"/>
    <x v="13"/>
    <n v="2"/>
  </r>
  <r>
    <x v="0"/>
    <s v="AUX"/>
    <x v="4"/>
    <x v="14"/>
    <n v="72"/>
  </r>
  <r>
    <x v="0"/>
    <s v="VERB"/>
    <x v="5"/>
    <x v="15"/>
    <n v="1"/>
  </r>
  <r>
    <x v="0"/>
    <s v="VERB"/>
    <x v="6"/>
    <x v="16"/>
    <n v="560"/>
  </r>
  <r>
    <x v="0"/>
    <s v="VERB"/>
    <x v="6"/>
    <x v="17"/>
    <n v="1688"/>
  </r>
  <r>
    <x v="0"/>
    <s v="VERB"/>
    <x v="0"/>
    <x v="0"/>
    <n v="41"/>
  </r>
  <r>
    <x v="0"/>
    <s v="VERB"/>
    <x v="0"/>
    <x v="1"/>
    <n v="105"/>
  </r>
  <r>
    <x v="0"/>
    <s v="VERB"/>
    <x v="0"/>
    <x v="2"/>
    <n v="2801"/>
  </r>
  <r>
    <x v="0"/>
    <s v="VERB"/>
    <x v="0"/>
    <x v="3"/>
    <n v="138"/>
  </r>
  <r>
    <x v="0"/>
    <s v="VERB"/>
    <x v="1"/>
    <x v="4"/>
    <n v="1307"/>
  </r>
  <r>
    <x v="0"/>
    <s v="VERB"/>
    <x v="1"/>
    <x v="5"/>
    <n v="4038"/>
  </r>
  <r>
    <x v="0"/>
    <s v="VERB"/>
    <x v="2"/>
    <x v="6"/>
    <n v="277"/>
  </r>
  <r>
    <x v="0"/>
    <s v="VERB"/>
    <x v="2"/>
    <x v="7"/>
    <n v="167"/>
  </r>
  <r>
    <x v="0"/>
    <s v="VERB"/>
    <x v="2"/>
    <x v="8"/>
    <n v="2641"/>
  </r>
  <r>
    <x v="0"/>
    <s v="VERB"/>
    <x v="3"/>
    <x v="9"/>
    <n v="132"/>
  </r>
  <r>
    <x v="0"/>
    <s v="VERB"/>
    <x v="3"/>
    <x v="1"/>
    <n v="313"/>
  </r>
  <r>
    <x v="0"/>
    <s v="VERB"/>
    <x v="3"/>
    <x v="10"/>
    <n v="2421"/>
  </r>
  <r>
    <x v="0"/>
    <s v="VERB"/>
    <x v="3"/>
    <x v="11"/>
    <n v="2481"/>
  </r>
  <r>
    <x v="0"/>
    <s v="VERB"/>
    <x v="4"/>
    <x v="12"/>
    <n v="3085"/>
  </r>
  <r>
    <x v="0"/>
    <s v="VERB"/>
    <x v="4"/>
    <x v="13"/>
    <n v="219"/>
  </r>
  <r>
    <x v="0"/>
    <s v="VERB"/>
    <x v="4"/>
    <x v="14"/>
    <n v="1500"/>
  </r>
  <r>
    <x v="0"/>
    <s v="VERB"/>
    <x v="4"/>
    <x v="18"/>
    <n v="2262"/>
  </r>
  <r>
    <x v="1"/>
    <s v="AUX"/>
    <x v="6"/>
    <x v="16"/>
    <n v="1"/>
  </r>
  <r>
    <x v="1"/>
    <s v="AUX"/>
    <x v="6"/>
    <x v="17"/>
    <n v="1"/>
  </r>
  <r>
    <x v="1"/>
    <s v="AUX"/>
    <x v="0"/>
    <x v="0"/>
    <n v="6"/>
  </r>
  <r>
    <x v="1"/>
    <s v="AUX"/>
    <x v="0"/>
    <x v="1"/>
    <n v="6"/>
  </r>
  <r>
    <x v="1"/>
    <s v="AUX"/>
    <x v="0"/>
    <x v="2"/>
    <n v="258"/>
  </r>
  <r>
    <x v="1"/>
    <s v="AUX"/>
    <x v="0"/>
    <x v="3"/>
    <n v="3"/>
  </r>
  <r>
    <x v="1"/>
    <s v="AUX"/>
    <x v="1"/>
    <x v="4"/>
    <n v="51"/>
  </r>
  <r>
    <x v="1"/>
    <s v="AUX"/>
    <x v="1"/>
    <x v="5"/>
    <n v="225"/>
  </r>
  <r>
    <x v="1"/>
    <s v="AUX"/>
    <x v="2"/>
    <x v="6"/>
    <n v="117"/>
  </r>
  <r>
    <x v="1"/>
    <s v="AUX"/>
    <x v="2"/>
    <x v="7"/>
    <n v="55"/>
  </r>
  <r>
    <x v="1"/>
    <s v="AUX"/>
    <x v="2"/>
    <x v="8"/>
    <n v="101"/>
  </r>
  <r>
    <x v="1"/>
    <s v="AUX"/>
    <x v="3"/>
    <x v="9"/>
    <n v="2"/>
  </r>
  <r>
    <x v="1"/>
    <s v="AUX"/>
    <x v="3"/>
    <x v="1"/>
    <n v="32"/>
  </r>
  <r>
    <x v="1"/>
    <s v="AUX"/>
    <x v="3"/>
    <x v="10"/>
    <n v="1"/>
  </r>
  <r>
    <x v="1"/>
    <s v="AUX"/>
    <x v="3"/>
    <x v="11"/>
    <n v="239"/>
  </r>
  <r>
    <x v="1"/>
    <s v="AUX"/>
    <x v="4"/>
    <x v="12"/>
    <n v="273"/>
  </r>
  <r>
    <x v="1"/>
    <s v="AUX"/>
    <x v="4"/>
    <x v="13"/>
    <n v="1"/>
  </r>
  <r>
    <x v="1"/>
    <s v="AUX"/>
    <x v="4"/>
    <x v="14"/>
    <n v="2"/>
  </r>
  <r>
    <x v="1"/>
    <s v="AUX"/>
    <x v="4"/>
    <x v="18"/>
    <n v="1"/>
  </r>
  <r>
    <x v="1"/>
    <s v="VERB"/>
    <x v="6"/>
    <x v="16"/>
    <n v="53"/>
  </r>
  <r>
    <x v="1"/>
    <s v="VERB"/>
    <x v="6"/>
    <x v="17"/>
    <n v="152"/>
  </r>
  <r>
    <x v="1"/>
    <s v="VERB"/>
    <x v="0"/>
    <x v="0"/>
    <n v="15"/>
  </r>
  <r>
    <x v="1"/>
    <s v="VERB"/>
    <x v="0"/>
    <x v="1"/>
    <n v="45"/>
  </r>
  <r>
    <x v="1"/>
    <s v="VERB"/>
    <x v="0"/>
    <x v="2"/>
    <n v="649"/>
  </r>
  <r>
    <x v="1"/>
    <s v="VERB"/>
    <x v="0"/>
    <x v="3"/>
    <n v="28"/>
  </r>
  <r>
    <x v="1"/>
    <s v="VERB"/>
    <x v="1"/>
    <x v="4"/>
    <n v="131"/>
  </r>
  <r>
    <x v="1"/>
    <s v="VERB"/>
    <x v="1"/>
    <x v="5"/>
    <n v="812"/>
  </r>
  <r>
    <x v="1"/>
    <s v="VERB"/>
    <x v="2"/>
    <x v="6"/>
    <n v="227"/>
  </r>
  <r>
    <x v="1"/>
    <s v="VERB"/>
    <x v="2"/>
    <x v="7"/>
    <n v="119"/>
  </r>
  <r>
    <x v="1"/>
    <s v="VERB"/>
    <x v="2"/>
    <x v="8"/>
    <n v="390"/>
  </r>
  <r>
    <x v="1"/>
    <s v="VERB"/>
    <x v="3"/>
    <x v="9"/>
    <n v="17"/>
  </r>
  <r>
    <x v="1"/>
    <s v="VERB"/>
    <x v="3"/>
    <x v="1"/>
    <n v="75"/>
  </r>
  <r>
    <x v="1"/>
    <s v="VERB"/>
    <x v="3"/>
    <x v="10"/>
    <n v="178"/>
  </r>
  <r>
    <x v="1"/>
    <s v="VERB"/>
    <x v="3"/>
    <x v="11"/>
    <n v="638"/>
  </r>
  <r>
    <x v="1"/>
    <s v="VERB"/>
    <x v="4"/>
    <x v="12"/>
    <n v="736"/>
  </r>
  <r>
    <x v="1"/>
    <s v="VERB"/>
    <x v="4"/>
    <x v="13"/>
    <n v="25"/>
  </r>
  <r>
    <x v="1"/>
    <s v="VERB"/>
    <x v="4"/>
    <x v="14"/>
    <n v="180"/>
  </r>
  <r>
    <x v="1"/>
    <s v="VERB"/>
    <x v="4"/>
    <x v="18"/>
    <n v="173"/>
  </r>
  <r>
    <x v="2"/>
    <s v="AUX"/>
    <x v="6"/>
    <x v="16"/>
    <n v="2"/>
  </r>
  <r>
    <x v="2"/>
    <s v="AUX"/>
    <x v="6"/>
    <x v="17"/>
    <n v="3"/>
  </r>
  <r>
    <x v="2"/>
    <s v="AUX"/>
    <x v="0"/>
    <x v="0"/>
    <n v="24"/>
  </r>
  <r>
    <x v="2"/>
    <s v="AUX"/>
    <x v="0"/>
    <x v="1"/>
    <n v="15"/>
  </r>
  <r>
    <x v="2"/>
    <s v="AUX"/>
    <x v="0"/>
    <x v="2"/>
    <n v="504"/>
  </r>
  <r>
    <x v="2"/>
    <s v="AUX"/>
    <x v="0"/>
    <x v="3"/>
    <n v="10"/>
  </r>
  <r>
    <x v="2"/>
    <s v="AUX"/>
    <x v="1"/>
    <x v="4"/>
    <n v="172"/>
  </r>
  <r>
    <x v="2"/>
    <s v="AUX"/>
    <x v="1"/>
    <x v="5"/>
    <n v="387"/>
  </r>
  <r>
    <x v="2"/>
    <s v="AUX"/>
    <x v="2"/>
    <x v="6"/>
    <n v="221"/>
  </r>
  <r>
    <x v="2"/>
    <s v="AUX"/>
    <x v="2"/>
    <x v="7"/>
    <n v="78"/>
  </r>
  <r>
    <x v="2"/>
    <s v="AUX"/>
    <x v="2"/>
    <x v="8"/>
    <n v="254"/>
  </r>
  <r>
    <x v="2"/>
    <s v="AUX"/>
    <x v="3"/>
    <x v="9"/>
    <n v="5"/>
  </r>
  <r>
    <x v="2"/>
    <s v="AUX"/>
    <x v="3"/>
    <x v="1"/>
    <n v="60"/>
  </r>
  <r>
    <x v="2"/>
    <s v="AUX"/>
    <x v="3"/>
    <x v="10"/>
    <n v="5"/>
  </r>
  <r>
    <x v="2"/>
    <s v="AUX"/>
    <x v="3"/>
    <x v="11"/>
    <n v="484"/>
  </r>
  <r>
    <x v="2"/>
    <s v="AUX"/>
    <x v="4"/>
    <x v="12"/>
    <n v="553"/>
  </r>
  <r>
    <x v="2"/>
    <s v="AUX"/>
    <x v="4"/>
    <x v="13"/>
    <n v="1"/>
  </r>
  <r>
    <x v="2"/>
    <s v="AUX"/>
    <x v="4"/>
    <x v="14"/>
    <n v="3"/>
  </r>
  <r>
    <x v="2"/>
    <s v="AUX"/>
    <x v="4"/>
    <x v="18"/>
    <n v="1"/>
  </r>
  <r>
    <x v="2"/>
    <s v="VERB"/>
    <x v="6"/>
    <x v="16"/>
    <n v="102"/>
  </r>
  <r>
    <x v="2"/>
    <s v="VERB"/>
    <x v="6"/>
    <x v="17"/>
    <n v="287"/>
  </r>
  <r>
    <x v="2"/>
    <s v="VERB"/>
    <x v="0"/>
    <x v="0"/>
    <n v="31"/>
  </r>
  <r>
    <x v="2"/>
    <s v="VERB"/>
    <x v="0"/>
    <x v="1"/>
    <n v="94"/>
  </r>
  <r>
    <x v="2"/>
    <s v="VERB"/>
    <x v="0"/>
    <x v="2"/>
    <n v="1336"/>
  </r>
  <r>
    <x v="2"/>
    <s v="VERB"/>
    <x v="0"/>
    <x v="3"/>
    <n v="48"/>
  </r>
  <r>
    <x v="2"/>
    <s v="VERB"/>
    <x v="1"/>
    <x v="4"/>
    <n v="504"/>
  </r>
  <r>
    <x v="2"/>
    <s v="VERB"/>
    <x v="1"/>
    <x v="5"/>
    <n v="1396"/>
  </r>
  <r>
    <x v="2"/>
    <s v="VERB"/>
    <x v="2"/>
    <x v="6"/>
    <n v="424"/>
  </r>
  <r>
    <x v="2"/>
    <s v="VERB"/>
    <x v="2"/>
    <x v="7"/>
    <n v="192"/>
  </r>
  <r>
    <x v="2"/>
    <s v="VERB"/>
    <x v="2"/>
    <x v="8"/>
    <n v="892"/>
  </r>
  <r>
    <x v="2"/>
    <s v="VERB"/>
    <x v="7"/>
    <x v="2"/>
    <n v="1"/>
  </r>
  <r>
    <x v="2"/>
    <s v="VERB"/>
    <x v="3"/>
    <x v="9"/>
    <n v="27"/>
  </r>
  <r>
    <x v="2"/>
    <s v="VERB"/>
    <x v="3"/>
    <x v="1"/>
    <n v="201"/>
  </r>
  <r>
    <x v="2"/>
    <s v="VERB"/>
    <x v="3"/>
    <x v="10"/>
    <n v="345"/>
  </r>
  <r>
    <x v="2"/>
    <s v="VERB"/>
    <x v="3"/>
    <x v="11"/>
    <n v="1269"/>
  </r>
  <r>
    <x v="2"/>
    <s v="VERB"/>
    <x v="4"/>
    <x v="12"/>
    <n v="1508"/>
  </r>
  <r>
    <x v="2"/>
    <s v="VERB"/>
    <x v="4"/>
    <x v="13"/>
    <n v="44"/>
  </r>
  <r>
    <x v="2"/>
    <s v="VERB"/>
    <x v="4"/>
    <x v="14"/>
    <n v="362"/>
  </r>
  <r>
    <x v="2"/>
    <s v="VERB"/>
    <x v="4"/>
    <x v="18"/>
    <n v="335"/>
  </r>
  <r>
    <x v="3"/>
    <s v="AUX"/>
    <x v="0"/>
    <x v="0"/>
    <n v="45"/>
  </r>
  <r>
    <x v="3"/>
    <s v="AUX"/>
    <x v="0"/>
    <x v="2"/>
    <n v="487"/>
  </r>
  <r>
    <x v="3"/>
    <s v="AUX"/>
    <x v="0"/>
    <x v="3"/>
    <n v="54"/>
  </r>
  <r>
    <x v="3"/>
    <s v="AUX"/>
    <x v="1"/>
    <x v="4"/>
    <n v="225"/>
  </r>
  <r>
    <x v="3"/>
    <s v="AUX"/>
    <x v="1"/>
    <x v="5"/>
    <n v="361"/>
  </r>
  <r>
    <x v="3"/>
    <s v="AUX"/>
    <x v="2"/>
    <x v="6"/>
    <n v="127"/>
  </r>
  <r>
    <x v="3"/>
    <s v="AUX"/>
    <x v="2"/>
    <x v="7"/>
    <n v="2"/>
  </r>
  <r>
    <x v="3"/>
    <s v="AUX"/>
    <x v="2"/>
    <x v="8"/>
    <n v="457"/>
  </r>
  <r>
    <x v="3"/>
    <s v="AUX"/>
    <x v="3"/>
    <x v="9"/>
    <n v="21"/>
  </r>
  <r>
    <x v="3"/>
    <s v="AUX"/>
    <x v="3"/>
    <x v="1"/>
    <n v="33"/>
  </r>
  <r>
    <x v="3"/>
    <s v="AUX"/>
    <x v="3"/>
    <x v="11"/>
    <n v="532"/>
  </r>
  <r>
    <x v="3"/>
    <s v="AUX"/>
    <x v="4"/>
    <x v="12"/>
    <n v="586"/>
  </r>
  <r>
    <x v="3"/>
    <s v="AUX"/>
    <x v="4"/>
    <x v="13"/>
    <n v="4"/>
  </r>
  <r>
    <x v="3"/>
    <s v="AUX"/>
    <x v="4"/>
    <x v="14"/>
    <n v="26"/>
  </r>
  <r>
    <x v="3"/>
    <s v="VERB"/>
    <x v="6"/>
    <x v="16"/>
    <n v="120"/>
  </r>
  <r>
    <x v="3"/>
    <s v="VERB"/>
    <x v="6"/>
    <x v="17"/>
    <n v="423"/>
  </r>
  <r>
    <x v="3"/>
    <s v="VERB"/>
    <x v="0"/>
    <x v="0"/>
    <n v="21"/>
  </r>
  <r>
    <x v="3"/>
    <s v="VERB"/>
    <x v="0"/>
    <x v="1"/>
    <n v="8"/>
  </r>
  <r>
    <x v="3"/>
    <s v="VERB"/>
    <x v="0"/>
    <x v="2"/>
    <n v="702"/>
  </r>
  <r>
    <x v="3"/>
    <s v="VERB"/>
    <x v="0"/>
    <x v="3"/>
    <n v="76"/>
  </r>
  <r>
    <x v="3"/>
    <s v="VERB"/>
    <x v="1"/>
    <x v="4"/>
    <n v="390"/>
  </r>
  <r>
    <x v="3"/>
    <s v="VERB"/>
    <x v="1"/>
    <x v="5"/>
    <n v="968"/>
  </r>
  <r>
    <x v="3"/>
    <s v="VERB"/>
    <x v="2"/>
    <x v="6"/>
    <n v="222"/>
  </r>
  <r>
    <x v="3"/>
    <s v="VERB"/>
    <x v="2"/>
    <x v="7"/>
    <n v="15"/>
  </r>
  <r>
    <x v="3"/>
    <s v="VERB"/>
    <x v="2"/>
    <x v="8"/>
    <n v="570"/>
  </r>
  <r>
    <x v="3"/>
    <s v="VERB"/>
    <x v="3"/>
    <x v="9"/>
    <n v="35"/>
  </r>
  <r>
    <x v="3"/>
    <s v="VERB"/>
    <x v="3"/>
    <x v="1"/>
    <n v="45"/>
  </r>
  <r>
    <x v="3"/>
    <s v="VERB"/>
    <x v="3"/>
    <x v="10"/>
    <n v="543"/>
  </r>
  <r>
    <x v="3"/>
    <s v="VERB"/>
    <x v="3"/>
    <x v="11"/>
    <n v="735"/>
  </r>
  <r>
    <x v="3"/>
    <s v="VERB"/>
    <x v="4"/>
    <x v="12"/>
    <n v="808"/>
  </r>
  <r>
    <x v="3"/>
    <s v="VERB"/>
    <x v="4"/>
    <x v="13"/>
    <n v="75"/>
  </r>
  <r>
    <x v="3"/>
    <s v="VERB"/>
    <x v="4"/>
    <x v="14"/>
    <n v="607"/>
  </r>
  <r>
    <x v="3"/>
    <s v="VERB"/>
    <x v="4"/>
    <x v="18"/>
    <n v="550"/>
  </r>
  <r>
    <x v="4"/>
    <s v="AUX"/>
    <x v="8"/>
    <x v="19"/>
    <n v="1"/>
  </r>
  <r>
    <x v="4"/>
    <s v="AUX"/>
    <x v="6"/>
    <x v="17"/>
    <n v="6"/>
  </r>
  <r>
    <x v="4"/>
    <s v="AUX"/>
    <x v="0"/>
    <x v="0"/>
    <n v="15"/>
  </r>
  <r>
    <x v="4"/>
    <s v="AUX"/>
    <x v="0"/>
    <x v="1"/>
    <n v="1"/>
  </r>
  <r>
    <x v="4"/>
    <s v="AUX"/>
    <x v="0"/>
    <x v="2"/>
    <n v="255"/>
  </r>
  <r>
    <x v="4"/>
    <s v="AUX"/>
    <x v="0"/>
    <x v="3"/>
    <n v="19"/>
  </r>
  <r>
    <x v="4"/>
    <s v="AUX"/>
    <x v="1"/>
    <x v="4"/>
    <n v="87"/>
  </r>
  <r>
    <x v="4"/>
    <s v="AUX"/>
    <x v="1"/>
    <x v="5"/>
    <n v="210"/>
  </r>
  <r>
    <x v="4"/>
    <s v="AUX"/>
    <x v="2"/>
    <x v="6"/>
    <n v="109"/>
  </r>
  <r>
    <x v="4"/>
    <s v="AUX"/>
    <x v="2"/>
    <x v="7"/>
    <n v="14"/>
  </r>
  <r>
    <x v="4"/>
    <s v="AUX"/>
    <x v="2"/>
    <x v="8"/>
    <n v="168"/>
  </r>
  <r>
    <x v="4"/>
    <s v="AUX"/>
    <x v="3"/>
    <x v="9"/>
    <n v="1"/>
  </r>
  <r>
    <x v="4"/>
    <s v="AUX"/>
    <x v="3"/>
    <x v="1"/>
    <n v="35"/>
  </r>
  <r>
    <x v="4"/>
    <s v="AUX"/>
    <x v="3"/>
    <x v="10"/>
    <n v="2"/>
  </r>
  <r>
    <x v="4"/>
    <s v="AUX"/>
    <x v="3"/>
    <x v="11"/>
    <n v="252"/>
  </r>
  <r>
    <x v="4"/>
    <s v="AUX"/>
    <x v="4"/>
    <x v="12"/>
    <n v="28"/>
  </r>
  <r>
    <x v="4"/>
    <s v="AUX"/>
    <x v="4"/>
    <x v="14"/>
    <n v="13"/>
  </r>
  <r>
    <x v="4"/>
    <s v="AUX"/>
    <x v="4"/>
    <x v="18"/>
    <n v="8"/>
  </r>
  <r>
    <x v="4"/>
    <s v="AUX"/>
    <x v="9"/>
    <x v="20"/>
    <n v="7"/>
  </r>
  <r>
    <x v="4"/>
    <s v="VERB"/>
    <x v="10"/>
    <x v="1"/>
    <n v="1"/>
  </r>
  <r>
    <x v="4"/>
    <s v="VERB"/>
    <x v="8"/>
    <x v="21"/>
    <n v="5"/>
  </r>
  <r>
    <x v="4"/>
    <s v="VERB"/>
    <x v="8"/>
    <x v="19"/>
    <n v="8"/>
  </r>
  <r>
    <x v="4"/>
    <s v="VERB"/>
    <x v="11"/>
    <x v="22"/>
    <n v="6"/>
  </r>
  <r>
    <x v="4"/>
    <s v="VERB"/>
    <x v="12"/>
    <x v="22"/>
    <n v="3"/>
  </r>
  <r>
    <x v="4"/>
    <s v="VERB"/>
    <x v="6"/>
    <x v="16"/>
    <n v="47"/>
  </r>
  <r>
    <x v="4"/>
    <s v="VERB"/>
    <x v="6"/>
    <x v="17"/>
    <n v="98"/>
  </r>
  <r>
    <x v="4"/>
    <s v="VERB"/>
    <x v="0"/>
    <x v="0"/>
    <n v="17"/>
  </r>
  <r>
    <x v="4"/>
    <s v="VERB"/>
    <x v="0"/>
    <x v="1"/>
    <n v="25"/>
  </r>
  <r>
    <x v="4"/>
    <s v="VERB"/>
    <x v="0"/>
    <x v="2"/>
    <n v="599"/>
  </r>
  <r>
    <x v="4"/>
    <s v="VERB"/>
    <x v="0"/>
    <x v="23"/>
    <n v="1"/>
  </r>
  <r>
    <x v="4"/>
    <s v="VERB"/>
    <x v="0"/>
    <x v="3"/>
    <n v="33"/>
  </r>
  <r>
    <x v="4"/>
    <s v="VERB"/>
    <x v="1"/>
    <x v="24"/>
    <n v="1"/>
  </r>
  <r>
    <x v="4"/>
    <s v="VERB"/>
    <x v="1"/>
    <x v="4"/>
    <n v="272"/>
  </r>
  <r>
    <x v="4"/>
    <s v="VERB"/>
    <x v="1"/>
    <x v="5"/>
    <n v="551"/>
  </r>
  <r>
    <x v="4"/>
    <s v="VERB"/>
    <x v="2"/>
    <x v="6"/>
    <n v="168"/>
  </r>
  <r>
    <x v="4"/>
    <s v="VERB"/>
    <x v="2"/>
    <x v="7"/>
    <n v="91"/>
  </r>
  <r>
    <x v="4"/>
    <s v="VERB"/>
    <x v="2"/>
    <x v="8"/>
    <n v="421"/>
  </r>
  <r>
    <x v="4"/>
    <s v="VERB"/>
    <x v="7"/>
    <x v="25"/>
    <n v="10"/>
  </r>
  <r>
    <x v="4"/>
    <s v="VERB"/>
    <x v="3"/>
    <x v="9"/>
    <n v="21"/>
  </r>
  <r>
    <x v="4"/>
    <s v="VERB"/>
    <x v="3"/>
    <x v="1"/>
    <n v="50"/>
  </r>
  <r>
    <x v="4"/>
    <s v="VERB"/>
    <x v="3"/>
    <x v="10"/>
    <n v="28"/>
  </r>
  <r>
    <x v="4"/>
    <s v="VERB"/>
    <x v="3"/>
    <x v="11"/>
    <n v="575"/>
  </r>
  <r>
    <x v="4"/>
    <s v="VERB"/>
    <x v="4"/>
    <x v="12"/>
    <n v="49"/>
  </r>
  <r>
    <x v="4"/>
    <s v="VERB"/>
    <x v="4"/>
    <x v="13"/>
    <n v="56"/>
  </r>
  <r>
    <x v="4"/>
    <s v="VERB"/>
    <x v="4"/>
    <x v="14"/>
    <n v="321"/>
  </r>
  <r>
    <x v="4"/>
    <s v="VERB"/>
    <x v="4"/>
    <x v="18"/>
    <n v="203"/>
  </r>
  <r>
    <x v="4"/>
    <s v="VERB"/>
    <x v="9"/>
    <x v="20"/>
    <n v="4"/>
  </r>
  <r>
    <x v="5"/>
    <s v="AUX"/>
    <x v="8"/>
    <x v="19"/>
    <n v="1"/>
  </r>
  <r>
    <x v="5"/>
    <s v="AUX"/>
    <x v="6"/>
    <x v="17"/>
    <n v="3"/>
  </r>
  <r>
    <x v="5"/>
    <s v="AUX"/>
    <x v="0"/>
    <x v="0"/>
    <n v="7"/>
  </r>
  <r>
    <x v="5"/>
    <s v="AUX"/>
    <x v="0"/>
    <x v="2"/>
    <n v="136"/>
  </r>
  <r>
    <x v="5"/>
    <s v="AUX"/>
    <x v="0"/>
    <x v="3"/>
    <n v="4"/>
  </r>
  <r>
    <x v="5"/>
    <s v="AUX"/>
    <x v="1"/>
    <x v="4"/>
    <n v="23"/>
  </r>
  <r>
    <x v="5"/>
    <s v="AUX"/>
    <x v="1"/>
    <x v="5"/>
    <n v="127"/>
  </r>
  <r>
    <x v="5"/>
    <s v="AUX"/>
    <x v="2"/>
    <x v="6"/>
    <n v="77"/>
  </r>
  <r>
    <x v="5"/>
    <s v="AUX"/>
    <x v="2"/>
    <x v="7"/>
    <n v="4"/>
  </r>
  <r>
    <x v="5"/>
    <s v="AUX"/>
    <x v="2"/>
    <x v="8"/>
    <n v="66"/>
  </r>
  <r>
    <x v="5"/>
    <s v="AUX"/>
    <x v="3"/>
    <x v="9"/>
    <n v="1"/>
  </r>
  <r>
    <x v="5"/>
    <s v="AUX"/>
    <x v="3"/>
    <x v="1"/>
    <n v="24"/>
  </r>
  <r>
    <x v="5"/>
    <s v="AUX"/>
    <x v="3"/>
    <x v="10"/>
    <n v="2"/>
  </r>
  <r>
    <x v="5"/>
    <s v="AUX"/>
    <x v="3"/>
    <x v="11"/>
    <n v="120"/>
  </r>
  <r>
    <x v="5"/>
    <s v="AUX"/>
    <x v="4"/>
    <x v="12"/>
    <n v="28"/>
  </r>
  <r>
    <x v="5"/>
    <s v="AUX"/>
    <x v="4"/>
    <x v="14"/>
    <n v="11"/>
  </r>
  <r>
    <x v="5"/>
    <s v="AUX"/>
    <x v="4"/>
    <x v="18"/>
    <n v="4"/>
  </r>
  <r>
    <x v="5"/>
    <s v="AUX"/>
    <x v="9"/>
    <x v="20"/>
    <n v="4"/>
  </r>
  <r>
    <x v="5"/>
    <s v="VERB"/>
    <x v="10"/>
    <x v="1"/>
    <n v="1"/>
  </r>
  <r>
    <x v="5"/>
    <s v="VERB"/>
    <x v="8"/>
    <x v="21"/>
    <n v="3"/>
  </r>
  <r>
    <x v="5"/>
    <s v="VERB"/>
    <x v="8"/>
    <x v="19"/>
    <n v="7"/>
  </r>
  <r>
    <x v="5"/>
    <s v="VERB"/>
    <x v="11"/>
    <x v="22"/>
    <n v="6"/>
  </r>
  <r>
    <x v="5"/>
    <s v="VERB"/>
    <x v="12"/>
    <x v="22"/>
    <n v="1"/>
  </r>
  <r>
    <x v="5"/>
    <s v="VERB"/>
    <x v="6"/>
    <x v="16"/>
    <n v="29"/>
  </r>
  <r>
    <x v="5"/>
    <s v="VERB"/>
    <x v="6"/>
    <x v="17"/>
    <n v="51"/>
  </r>
  <r>
    <x v="5"/>
    <s v="VERB"/>
    <x v="0"/>
    <x v="0"/>
    <n v="2"/>
  </r>
  <r>
    <x v="5"/>
    <s v="VERB"/>
    <x v="0"/>
    <x v="1"/>
    <n v="6"/>
  </r>
  <r>
    <x v="5"/>
    <s v="VERB"/>
    <x v="0"/>
    <x v="2"/>
    <n v="259"/>
  </r>
  <r>
    <x v="5"/>
    <s v="VERB"/>
    <x v="0"/>
    <x v="23"/>
    <n v="1"/>
  </r>
  <r>
    <x v="5"/>
    <s v="VERB"/>
    <x v="0"/>
    <x v="3"/>
    <n v="7"/>
  </r>
  <r>
    <x v="5"/>
    <s v="VERB"/>
    <x v="1"/>
    <x v="24"/>
    <n v="1"/>
  </r>
  <r>
    <x v="5"/>
    <s v="VERB"/>
    <x v="1"/>
    <x v="4"/>
    <n v="63"/>
  </r>
  <r>
    <x v="5"/>
    <s v="VERB"/>
    <x v="1"/>
    <x v="5"/>
    <n v="293"/>
  </r>
  <r>
    <x v="5"/>
    <s v="VERB"/>
    <x v="2"/>
    <x v="6"/>
    <n v="89"/>
  </r>
  <r>
    <x v="5"/>
    <s v="VERB"/>
    <x v="2"/>
    <x v="7"/>
    <n v="40"/>
  </r>
  <r>
    <x v="5"/>
    <s v="VERB"/>
    <x v="2"/>
    <x v="8"/>
    <n v="150"/>
  </r>
  <r>
    <x v="5"/>
    <s v="VERB"/>
    <x v="7"/>
    <x v="25"/>
    <n v="7"/>
  </r>
  <r>
    <x v="5"/>
    <s v="VERB"/>
    <x v="3"/>
    <x v="9"/>
    <n v="14"/>
  </r>
  <r>
    <x v="5"/>
    <s v="VERB"/>
    <x v="3"/>
    <x v="1"/>
    <n v="35"/>
  </r>
  <r>
    <x v="5"/>
    <s v="VERB"/>
    <x v="3"/>
    <x v="10"/>
    <n v="28"/>
  </r>
  <r>
    <x v="5"/>
    <s v="VERB"/>
    <x v="3"/>
    <x v="11"/>
    <n v="197"/>
  </r>
  <r>
    <x v="5"/>
    <s v="VERB"/>
    <x v="4"/>
    <x v="12"/>
    <n v="49"/>
  </r>
  <r>
    <x v="5"/>
    <s v="VERB"/>
    <x v="4"/>
    <x v="13"/>
    <n v="22"/>
  </r>
  <r>
    <x v="5"/>
    <s v="VERB"/>
    <x v="4"/>
    <x v="14"/>
    <n v="144"/>
  </r>
  <r>
    <x v="5"/>
    <s v="VERB"/>
    <x v="4"/>
    <x v="18"/>
    <n v="116"/>
  </r>
  <r>
    <x v="5"/>
    <s v="VERB"/>
    <x v="9"/>
    <x v="20"/>
    <n v="1"/>
  </r>
  <r>
    <x v="6"/>
    <s v="AUX"/>
    <x v="6"/>
    <x v="17"/>
    <n v="3"/>
  </r>
  <r>
    <x v="6"/>
    <s v="AUX"/>
    <x v="0"/>
    <x v="0"/>
    <n v="8"/>
  </r>
  <r>
    <x v="6"/>
    <s v="AUX"/>
    <x v="0"/>
    <x v="1"/>
    <n v="1"/>
  </r>
  <r>
    <x v="6"/>
    <s v="AUX"/>
    <x v="0"/>
    <x v="2"/>
    <n v="119"/>
  </r>
  <r>
    <x v="6"/>
    <s v="AUX"/>
    <x v="0"/>
    <x v="3"/>
    <n v="15"/>
  </r>
  <r>
    <x v="6"/>
    <s v="AUX"/>
    <x v="1"/>
    <x v="4"/>
    <n v="64"/>
  </r>
  <r>
    <x v="6"/>
    <s v="AUX"/>
    <x v="1"/>
    <x v="5"/>
    <n v="83"/>
  </r>
  <r>
    <x v="6"/>
    <s v="AUX"/>
    <x v="2"/>
    <x v="6"/>
    <n v="32"/>
  </r>
  <r>
    <x v="6"/>
    <s v="AUX"/>
    <x v="2"/>
    <x v="7"/>
    <n v="10"/>
  </r>
  <r>
    <x v="6"/>
    <s v="AUX"/>
    <x v="2"/>
    <x v="8"/>
    <n v="102"/>
  </r>
  <r>
    <x v="6"/>
    <s v="AUX"/>
    <x v="3"/>
    <x v="1"/>
    <n v="11"/>
  </r>
  <r>
    <x v="6"/>
    <s v="AUX"/>
    <x v="3"/>
    <x v="11"/>
    <n v="132"/>
  </r>
  <r>
    <x v="6"/>
    <s v="AUX"/>
    <x v="4"/>
    <x v="14"/>
    <n v="2"/>
  </r>
  <r>
    <x v="6"/>
    <s v="AUX"/>
    <x v="4"/>
    <x v="18"/>
    <n v="4"/>
  </r>
  <r>
    <x v="6"/>
    <s v="AUX"/>
    <x v="9"/>
    <x v="20"/>
    <n v="3"/>
  </r>
  <r>
    <x v="6"/>
    <s v="VERB"/>
    <x v="8"/>
    <x v="21"/>
    <n v="2"/>
  </r>
  <r>
    <x v="6"/>
    <s v="VERB"/>
    <x v="8"/>
    <x v="19"/>
    <n v="1"/>
  </r>
  <r>
    <x v="6"/>
    <s v="VERB"/>
    <x v="12"/>
    <x v="22"/>
    <n v="2"/>
  </r>
  <r>
    <x v="6"/>
    <s v="VERB"/>
    <x v="6"/>
    <x v="16"/>
    <n v="18"/>
  </r>
  <r>
    <x v="6"/>
    <s v="VERB"/>
    <x v="6"/>
    <x v="17"/>
    <n v="47"/>
  </r>
  <r>
    <x v="6"/>
    <s v="VERB"/>
    <x v="0"/>
    <x v="0"/>
    <n v="15"/>
  </r>
  <r>
    <x v="6"/>
    <s v="VERB"/>
    <x v="0"/>
    <x v="1"/>
    <n v="19"/>
  </r>
  <r>
    <x v="6"/>
    <s v="VERB"/>
    <x v="0"/>
    <x v="2"/>
    <n v="340"/>
  </r>
  <r>
    <x v="6"/>
    <s v="VERB"/>
    <x v="0"/>
    <x v="3"/>
    <n v="26"/>
  </r>
  <r>
    <x v="6"/>
    <s v="VERB"/>
    <x v="1"/>
    <x v="4"/>
    <n v="209"/>
  </r>
  <r>
    <x v="6"/>
    <s v="VERB"/>
    <x v="1"/>
    <x v="5"/>
    <n v="258"/>
  </r>
  <r>
    <x v="6"/>
    <s v="VERB"/>
    <x v="2"/>
    <x v="6"/>
    <n v="79"/>
  </r>
  <r>
    <x v="6"/>
    <s v="VERB"/>
    <x v="2"/>
    <x v="7"/>
    <n v="51"/>
  </r>
  <r>
    <x v="6"/>
    <s v="VERB"/>
    <x v="2"/>
    <x v="8"/>
    <n v="271"/>
  </r>
  <r>
    <x v="6"/>
    <s v="VERB"/>
    <x v="7"/>
    <x v="25"/>
    <n v="3"/>
  </r>
  <r>
    <x v="6"/>
    <s v="VERB"/>
    <x v="3"/>
    <x v="9"/>
    <n v="7"/>
  </r>
  <r>
    <x v="6"/>
    <s v="VERB"/>
    <x v="3"/>
    <x v="1"/>
    <n v="15"/>
  </r>
  <r>
    <x v="6"/>
    <s v="VERB"/>
    <x v="3"/>
    <x v="11"/>
    <n v="378"/>
  </r>
  <r>
    <x v="6"/>
    <s v="VERB"/>
    <x v="4"/>
    <x v="13"/>
    <n v="34"/>
  </r>
  <r>
    <x v="6"/>
    <s v="VERB"/>
    <x v="4"/>
    <x v="14"/>
    <n v="177"/>
  </r>
  <r>
    <x v="6"/>
    <s v="VERB"/>
    <x v="4"/>
    <x v="18"/>
    <n v="87"/>
  </r>
  <r>
    <x v="6"/>
    <s v="VERB"/>
    <x v="9"/>
    <x v="20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x v="0"/>
    <s v="AUX"/>
    <s v="Gender"/>
    <x v="0"/>
    <n v="38"/>
  </r>
  <r>
    <x v="0"/>
    <s v="AUX"/>
    <s v="Gender"/>
    <x v="1"/>
    <n v="126"/>
  </r>
  <r>
    <x v="0"/>
    <s v="AUX"/>
    <s v="Mood"/>
    <x v="2"/>
    <n v="92"/>
  </r>
  <r>
    <x v="0"/>
    <s v="AUX"/>
    <s v="Mood"/>
    <x v="3"/>
    <n v="2"/>
  </r>
  <r>
    <x v="0"/>
    <s v="AUX"/>
    <s v="Mood"/>
    <x v="4"/>
    <n v="1573"/>
  </r>
  <r>
    <x v="0"/>
    <s v="AUX"/>
    <s v="Mood"/>
    <x v="5"/>
    <n v="91"/>
  </r>
  <r>
    <x v="0"/>
    <s v="AUX"/>
    <s v="Number"/>
    <x v="6"/>
    <n v="542"/>
  </r>
  <r>
    <x v="0"/>
    <s v="AUX"/>
    <s v="Number"/>
    <x v="7"/>
    <n v="1380"/>
  </r>
  <r>
    <x v="0"/>
    <s v="AUX"/>
    <s v="Person"/>
    <x v="8"/>
    <n v="158"/>
  </r>
  <r>
    <x v="0"/>
    <s v="AUX"/>
    <s v="Person"/>
    <x v="9"/>
    <n v="19"/>
  </r>
  <r>
    <x v="0"/>
    <s v="AUX"/>
    <s v="Person"/>
    <x v="10"/>
    <n v="1581"/>
  </r>
  <r>
    <x v="0"/>
    <s v="AUX"/>
    <s v="Tense"/>
    <x v="11"/>
    <n v="32"/>
  </r>
  <r>
    <x v="0"/>
    <s v="AUX"/>
    <s v="Tense"/>
    <x v="3"/>
    <n v="234"/>
  </r>
  <r>
    <x v="0"/>
    <s v="AUX"/>
    <s v="Tense"/>
    <x v="12"/>
    <n v="196"/>
  </r>
  <r>
    <x v="0"/>
    <s v="AUX"/>
    <s v="Tense"/>
    <x v="13"/>
    <n v="1460"/>
  </r>
  <r>
    <x v="0"/>
    <s v="AUX"/>
    <s v="VerbForm"/>
    <x v="14"/>
    <n v="1758"/>
  </r>
  <r>
    <x v="0"/>
    <s v="AUX"/>
    <s v="VerbForm"/>
    <x v="15"/>
    <n v="2"/>
  </r>
  <r>
    <x v="0"/>
    <s v="AUX"/>
    <s v="VerbForm"/>
    <x v="16"/>
    <n v="97"/>
  </r>
  <r>
    <x v="0"/>
    <s v="AUX"/>
    <s v="VerbForm"/>
    <x v="17"/>
    <n v="164"/>
  </r>
  <r>
    <x v="0"/>
    <s v="VERB"/>
    <s v="ExtPos"/>
    <x v="18"/>
    <n v="1"/>
  </r>
  <r>
    <x v="0"/>
    <s v="VERB"/>
    <s v="Gender"/>
    <x v="0"/>
    <n v="560"/>
  </r>
  <r>
    <x v="0"/>
    <s v="VERB"/>
    <s v="Gender"/>
    <x v="1"/>
    <n v="1688"/>
  </r>
  <r>
    <x v="0"/>
    <s v="VERB"/>
    <s v="ModoCalcolato"/>
    <x v="19"/>
    <n v="82"/>
  </r>
  <r>
    <x v="0"/>
    <s v="VERB"/>
    <s v="ModoCalcolato"/>
    <x v="20"/>
    <n v="194"/>
  </r>
  <r>
    <x v="0"/>
    <s v="VERB"/>
    <s v="ModoCalcolato"/>
    <x v="21"/>
    <n v="176"/>
  </r>
  <r>
    <x v="0"/>
    <s v="VERB"/>
    <s v="ModoCalcolato"/>
    <x v="22"/>
    <n v="105"/>
  </r>
  <r>
    <x v="0"/>
    <s v="VERB"/>
    <s v="ModoCalcolato"/>
    <x v="23"/>
    <n v="4039"/>
  </r>
  <r>
    <x v="0"/>
    <s v="VERB"/>
    <s v="ModoCalcolato"/>
    <x v="24"/>
    <n v="1582"/>
  </r>
  <r>
    <x v="0"/>
    <s v="VERB"/>
    <s v="ModoCalcolato"/>
    <x v="25"/>
    <n v="844"/>
  </r>
  <r>
    <x v="0"/>
    <s v="VERB"/>
    <s v="ModoCalcolato"/>
    <x v="26"/>
    <n v="44"/>
  </r>
  <r>
    <x v="0"/>
    <s v="VERB"/>
    <s v="Mood"/>
    <x v="2"/>
    <n v="41"/>
  </r>
  <r>
    <x v="0"/>
    <s v="VERB"/>
    <s v="Mood"/>
    <x v="3"/>
    <n v="105"/>
  </r>
  <r>
    <x v="0"/>
    <s v="VERB"/>
    <s v="Mood"/>
    <x v="4"/>
    <n v="2801"/>
  </r>
  <r>
    <x v="0"/>
    <s v="VERB"/>
    <s v="Mood"/>
    <x v="5"/>
    <n v="138"/>
  </r>
  <r>
    <x v="0"/>
    <s v="VERB"/>
    <s v="Number"/>
    <x v="6"/>
    <n v="1307"/>
  </r>
  <r>
    <x v="0"/>
    <s v="VERB"/>
    <s v="Number"/>
    <x v="7"/>
    <n v="4038"/>
  </r>
  <r>
    <x v="0"/>
    <s v="VERB"/>
    <s v="Person"/>
    <x v="8"/>
    <n v="277"/>
  </r>
  <r>
    <x v="0"/>
    <s v="VERB"/>
    <s v="Person"/>
    <x v="9"/>
    <n v="167"/>
  </r>
  <r>
    <x v="0"/>
    <s v="VERB"/>
    <s v="Person"/>
    <x v="10"/>
    <n v="2641"/>
  </r>
  <r>
    <x v="0"/>
    <s v="VERB"/>
    <s v="PersonaCalcolata"/>
    <x v="27"/>
    <n v="125"/>
  </r>
  <r>
    <x v="0"/>
    <s v="VERB"/>
    <s v="PersonaCalcolata"/>
    <x v="28"/>
    <n v="268"/>
  </r>
  <r>
    <x v="0"/>
    <s v="VERB"/>
    <s v="PersonaCalcolata"/>
    <x v="29"/>
    <n v="33"/>
  </r>
  <r>
    <x v="0"/>
    <s v="VERB"/>
    <s v="PersonaCalcolata"/>
    <x v="30"/>
    <n v="141"/>
  </r>
  <r>
    <x v="0"/>
    <s v="VERB"/>
    <s v="PersonaCalcolata"/>
    <x v="31"/>
    <n v="1032"/>
  </r>
  <r>
    <x v="0"/>
    <s v="VERB"/>
    <s v="PersonaCalcolata"/>
    <x v="32"/>
    <n v="2865"/>
  </r>
  <r>
    <x v="0"/>
    <s v="VERB"/>
    <s v="PersonaCalcolata"/>
    <x v="33"/>
    <n v="2602"/>
  </r>
  <r>
    <x v="0"/>
    <s v="VERB"/>
    <s v="TempoCalcolato"/>
    <x v="34"/>
    <n v="9"/>
  </r>
  <r>
    <x v="0"/>
    <s v="VERB"/>
    <s v="TempoCalcolato"/>
    <x v="35"/>
    <n v="132"/>
  </r>
  <r>
    <x v="0"/>
    <s v="VERB"/>
    <s v="TempoCalcolato"/>
    <x v="36"/>
    <n v="313"/>
  </r>
  <r>
    <x v="0"/>
    <s v="VERB"/>
    <s v="TempoCalcolato"/>
    <x v="37"/>
    <n v="991"/>
  </r>
  <r>
    <x v="0"/>
    <s v="VERB"/>
    <s v="TempoCalcolato"/>
    <x v="38"/>
    <n v="1045"/>
  </r>
  <r>
    <x v="0"/>
    <s v="VERB"/>
    <s v="TempoCalcolato"/>
    <x v="39"/>
    <n v="171"/>
  </r>
  <r>
    <x v="0"/>
    <s v="VERB"/>
    <s v="TempoCalcolato"/>
    <x v="40"/>
    <n v="4156"/>
  </r>
  <r>
    <x v="0"/>
    <s v="VERB"/>
    <s v="TempoCalcolato"/>
    <x v="41"/>
    <n v="12"/>
  </r>
  <r>
    <x v="0"/>
    <s v="VERB"/>
    <s v="TempoCalcolato"/>
    <x v="42"/>
    <n v="32"/>
  </r>
  <r>
    <x v="0"/>
    <s v="VERB"/>
    <s v="TempoCalcolato"/>
    <x v="43"/>
    <n v="21"/>
  </r>
  <r>
    <x v="0"/>
    <s v="VERB"/>
    <s v="TempoCalcolato"/>
    <x v="44"/>
    <n v="163"/>
  </r>
  <r>
    <x v="0"/>
    <s v="VERB"/>
    <s v="TempoCalcolato"/>
    <x v="45"/>
    <n v="21"/>
  </r>
  <r>
    <x v="0"/>
    <s v="VERB"/>
    <s v="Tense"/>
    <x v="11"/>
    <n v="132"/>
  </r>
  <r>
    <x v="0"/>
    <s v="VERB"/>
    <s v="Tense"/>
    <x v="3"/>
    <n v="313"/>
  </r>
  <r>
    <x v="0"/>
    <s v="VERB"/>
    <s v="Tense"/>
    <x v="12"/>
    <n v="2421"/>
  </r>
  <r>
    <x v="0"/>
    <s v="VERB"/>
    <s v="Tense"/>
    <x v="13"/>
    <n v="2481"/>
  </r>
  <r>
    <x v="0"/>
    <s v="VERB"/>
    <s v="VerbForm"/>
    <x v="14"/>
    <n v="3085"/>
  </r>
  <r>
    <x v="0"/>
    <s v="VERB"/>
    <s v="VerbForm"/>
    <x v="15"/>
    <n v="219"/>
  </r>
  <r>
    <x v="0"/>
    <s v="VERB"/>
    <s v="VerbForm"/>
    <x v="16"/>
    <n v="1500"/>
  </r>
  <r>
    <x v="0"/>
    <s v="VERB"/>
    <s v="VerbForm"/>
    <x v="17"/>
    <n v="2262"/>
  </r>
  <r>
    <x v="1"/>
    <s v="AUX"/>
    <s v="Gender"/>
    <x v="0"/>
    <n v="4"/>
  </r>
  <r>
    <x v="1"/>
    <s v="AUX"/>
    <s v="Gender"/>
    <x v="1"/>
    <n v="1"/>
  </r>
  <r>
    <x v="1"/>
    <s v="AUX"/>
    <s v="Mood"/>
    <x v="2"/>
    <n v="6"/>
  </r>
  <r>
    <x v="1"/>
    <s v="AUX"/>
    <s v="Mood"/>
    <x v="3"/>
    <n v="6"/>
  </r>
  <r>
    <x v="1"/>
    <s v="AUX"/>
    <s v="Mood"/>
    <x v="4"/>
    <n v="261"/>
  </r>
  <r>
    <x v="1"/>
    <s v="AUX"/>
    <s v="Mood"/>
    <x v="5"/>
    <n v="2"/>
  </r>
  <r>
    <x v="1"/>
    <s v="AUX"/>
    <s v="Number"/>
    <x v="6"/>
    <n v="49"/>
  </r>
  <r>
    <x v="1"/>
    <s v="AUX"/>
    <s v="Number"/>
    <x v="7"/>
    <n v="232"/>
  </r>
  <r>
    <x v="1"/>
    <s v="AUX"/>
    <s v="Person"/>
    <x v="8"/>
    <n v="118"/>
  </r>
  <r>
    <x v="1"/>
    <s v="AUX"/>
    <s v="Person"/>
    <x v="9"/>
    <n v="56"/>
  </r>
  <r>
    <x v="1"/>
    <s v="AUX"/>
    <s v="Person"/>
    <x v="10"/>
    <n v="101"/>
  </r>
  <r>
    <x v="1"/>
    <s v="AUX"/>
    <s v="Tense"/>
    <x v="11"/>
    <n v="2"/>
  </r>
  <r>
    <x v="1"/>
    <s v="AUX"/>
    <s v="Tense"/>
    <x v="3"/>
    <n v="32"/>
  </r>
  <r>
    <x v="1"/>
    <s v="AUX"/>
    <s v="Tense"/>
    <x v="12"/>
    <n v="4"/>
  </r>
  <r>
    <x v="1"/>
    <s v="AUX"/>
    <s v="Tense"/>
    <x v="13"/>
    <n v="241"/>
  </r>
  <r>
    <x v="1"/>
    <s v="AUX"/>
    <s v="VerbForm"/>
    <x v="14"/>
    <n v="275"/>
  </r>
  <r>
    <x v="1"/>
    <s v="AUX"/>
    <s v="VerbForm"/>
    <x v="15"/>
    <n v="1"/>
  </r>
  <r>
    <x v="1"/>
    <s v="AUX"/>
    <s v="VerbForm"/>
    <x v="16"/>
    <n v="3"/>
  </r>
  <r>
    <x v="1"/>
    <s v="AUX"/>
    <s v="VerbForm"/>
    <x v="17"/>
    <n v="4"/>
  </r>
  <r>
    <x v="1"/>
    <s v="VERB"/>
    <s v="Gender"/>
    <x v="0"/>
    <n v="53"/>
  </r>
  <r>
    <x v="1"/>
    <s v="VERB"/>
    <s v="Gender"/>
    <x v="1"/>
    <n v="152"/>
  </r>
  <r>
    <x v="1"/>
    <s v="VERB"/>
    <s v="ModoCalcolato"/>
    <x v="46"/>
    <n v="1"/>
  </r>
  <r>
    <x v="1"/>
    <s v="VERB"/>
    <s v="ModoCalcolato"/>
    <x v="19"/>
    <n v="15"/>
  </r>
  <r>
    <x v="1"/>
    <s v="VERB"/>
    <s v="ModoCalcolato"/>
    <x v="20"/>
    <n v="28"/>
  </r>
  <r>
    <x v="1"/>
    <s v="VERB"/>
    <s v="ModoCalcolato"/>
    <x v="21"/>
    <n v="15"/>
  </r>
  <r>
    <x v="1"/>
    <s v="VERB"/>
    <s v="ModoCalcolato"/>
    <x v="22"/>
    <n v="47"/>
  </r>
  <r>
    <x v="1"/>
    <s v="VERB"/>
    <s v="ModoCalcolato"/>
    <x v="47"/>
    <n v="84"/>
  </r>
  <r>
    <x v="1"/>
    <s v="VERB"/>
    <s v="ModoCalcolato"/>
    <x v="23"/>
    <n v="787"/>
  </r>
  <r>
    <x v="1"/>
    <s v="VERB"/>
    <s v="ModoCalcolato"/>
    <x v="24"/>
    <n v="182"/>
  </r>
  <r>
    <x v="1"/>
    <s v="VERB"/>
    <s v="ModoCalcolato"/>
    <x v="25"/>
    <n v="28"/>
  </r>
  <r>
    <x v="1"/>
    <s v="VERB"/>
    <s v="ModoCalcolato"/>
    <x v="26"/>
    <n v="11"/>
  </r>
  <r>
    <x v="1"/>
    <s v="VERB"/>
    <s v="Mood"/>
    <x v="2"/>
    <n v="15"/>
  </r>
  <r>
    <x v="1"/>
    <s v="VERB"/>
    <s v="Mood"/>
    <x v="3"/>
    <n v="45"/>
  </r>
  <r>
    <x v="1"/>
    <s v="VERB"/>
    <s v="Mood"/>
    <x v="4"/>
    <n v="649"/>
  </r>
  <r>
    <x v="1"/>
    <s v="VERB"/>
    <s v="Mood"/>
    <x v="5"/>
    <n v="28"/>
  </r>
  <r>
    <x v="1"/>
    <s v="VERB"/>
    <s v="Number"/>
    <x v="6"/>
    <n v="131"/>
  </r>
  <r>
    <x v="1"/>
    <s v="VERB"/>
    <s v="Number"/>
    <x v="7"/>
    <n v="812"/>
  </r>
  <r>
    <x v="1"/>
    <s v="VERB"/>
    <s v="Person"/>
    <x v="8"/>
    <n v="227"/>
  </r>
  <r>
    <x v="1"/>
    <s v="VERB"/>
    <s v="Person"/>
    <x v="9"/>
    <n v="119"/>
  </r>
  <r>
    <x v="1"/>
    <s v="VERB"/>
    <s v="Person"/>
    <x v="10"/>
    <n v="390"/>
  </r>
  <r>
    <x v="1"/>
    <s v="VERB"/>
    <s v="PersonaCalcolata"/>
    <x v="27"/>
    <n v="47"/>
  </r>
  <r>
    <x v="1"/>
    <s v="VERB"/>
    <s v="PersonaCalcolata"/>
    <x v="28"/>
    <n v="248"/>
  </r>
  <r>
    <x v="1"/>
    <s v="VERB"/>
    <s v="PersonaCalcolata"/>
    <x v="29"/>
    <n v="8"/>
  </r>
  <r>
    <x v="1"/>
    <s v="VERB"/>
    <s v="PersonaCalcolata"/>
    <x v="30"/>
    <n v="123"/>
  </r>
  <r>
    <x v="1"/>
    <s v="VERB"/>
    <s v="PersonaCalcolata"/>
    <x v="31"/>
    <n v="78"/>
  </r>
  <r>
    <x v="1"/>
    <s v="VERB"/>
    <s v="PersonaCalcolata"/>
    <x v="32"/>
    <n v="382"/>
  </r>
  <r>
    <x v="1"/>
    <s v="VERB"/>
    <s v="PersonaCalcolata"/>
    <x v="33"/>
    <n v="312"/>
  </r>
  <r>
    <x v="1"/>
    <s v="VERB"/>
    <s v="TempoCalcolato"/>
    <x v="48"/>
    <n v="1"/>
  </r>
  <r>
    <x v="1"/>
    <s v="VERB"/>
    <s v="TempoCalcolato"/>
    <x v="35"/>
    <n v="17"/>
  </r>
  <r>
    <x v="1"/>
    <s v="VERB"/>
    <s v="TempoCalcolato"/>
    <x v="36"/>
    <n v="74"/>
  </r>
  <r>
    <x v="1"/>
    <s v="VERB"/>
    <s v="TempoCalcolato"/>
    <x v="37"/>
    <n v="33"/>
  </r>
  <r>
    <x v="1"/>
    <s v="VERB"/>
    <s v="TempoCalcolato"/>
    <x v="38"/>
    <n v="127"/>
  </r>
  <r>
    <x v="1"/>
    <s v="VERB"/>
    <s v="TempoCalcolato"/>
    <x v="39"/>
    <n v="6"/>
  </r>
  <r>
    <x v="1"/>
    <s v="VERB"/>
    <s v="TempoCalcolato"/>
    <x v="40"/>
    <n v="833"/>
  </r>
  <r>
    <x v="1"/>
    <s v="VERB"/>
    <s v="TempoCalcolato"/>
    <x v="49"/>
    <n v="84"/>
  </r>
  <r>
    <x v="1"/>
    <s v="VERB"/>
    <s v="TempoCalcolato"/>
    <x v="50"/>
    <n v="1"/>
  </r>
  <r>
    <x v="1"/>
    <s v="VERB"/>
    <s v="TempoCalcolato"/>
    <x v="41"/>
    <n v="3"/>
  </r>
  <r>
    <x v="1"/>
    <s v="VERB"/>
    <s v="TempoCalcolato"/>
    <x v="42"/>
    <n v="8"/>
  </r>
  <r>
    <x v="1"/>
    <s v="VERB"/>
    <s v="TempoCalcolato"/>
    <x v="44"/>
    <n v="11"/>
  </r>
  <r>
    <x v="1"/>
    <s v="VERB"/>
    <s v="Tense"/>
    <x v="11"/>
    <n v="17"/>
  </r>
  <r>
    <x v="1"/>
    <s v="VERB"/>
    <s v="Tense"/>
    <x v="3"/>
    <n v="75"/>
  </r>
  <r>
    <x v="1"/>
    <s v="VERB"/>
    <s v="Tense"/>
    <x v="12"/>
    <n v="178"/>
  </r>
  <r>
    <x v="1"/>
    <s v="VERB"/>
    <s v="Tense"/>
    <x v="13"/>
    <n v="638"/>
  </r>
  <r>
    <x v="1"/>
    <s v="VERB"/>
    <s v="VerbForm"/>
    <x v="14"/>
    <n v="736"/>
  </r>
  <r>
    <x v="1"/>
    <s v="VERB"/>
    <s v="VerbForm"/>
    <x v="15"/>
    <n v="25"/>
  </r>
  <r>
    <x v="1"/>
    <s v="VERB"/>
    <s v="VerbForm"/>
    <x v="16"/>
    <n v="180"/>
  </r>
  <r>
    <x v="1"/>
    <s v="VERB"/>
    <s v="VerbForm"/>
    <x v="17"/>
    <n v="173"/>
  </r>
  <r>
    <x v="2"/>
    <s v="AUX"/>
    <s v="Gender"/>
    <x v="0"/>
    <n v="14"/>
  </r>
  <r>
    <x v="2"/>
    <s v="AUX"/>
    <s v="Gender"/>
    <x v="1"/>
    <n v="10"/>
  </r>
  <r>
    <x v="2"/>
    <s v="AUX"/>
    <s v="Mood"/>
    <x v="2"/>
    <n v="24"/>
  </r>
  <r>
    <x v="2"/>
    <s v="AUX"/>
    <s v="Mood"/>
    <x v="3"/>
    <n v="15"/>
  </r>
  <r>
    <x v="2"/>
    <s v="AUX"/>
    <s v="Mood"/>
    <x v="4"/>
    <n v="510"/>
  </r>
  <r>
    <x v="2"/>
    <s v="AUX"/>
    <s v="Mood"/>
    <x v="5"/>
    <n v="9"/>
  </r>
  <r>
    <x v="2"/>
    <s v="AUX"/>
    <s v="Number"/>
    <x v="6"/>
    <n v="176"/>
  </r>
  <r>
    <x v="2"/>
    <s v="AUX"/>
    <s v="Number"/>
    <x v="7"/>
    <n v="407"/>
  </r>
  <r>
    <x v="2"/>
    <s v="AUX"/>
    <s v="Person"/>
    <x v="8"/>
    <n v="224"/>
  </r>
  <r>
    <x v="2"/>
    <s v="AUX"/>
    <s v="Person"/>
    <x v="9"/>
    <n v="79"/>
  </r>
  <r>
    <x v="2"/>
    <s v="AUX"/>
    <s v="Person"/>
    <x v="10"/>
    <n v="255"/>
  </r>
  <r>
    <x v="2"/>
    <s v="AUX"/>
    <s v="Tense"/>
    <x v="11"/>
    <n v="6"/>
  </r>
  <r>
    <x v="2"/>
    <s v="AUX"/>
    <s v="Tense"/>
    <x v="3"/>
    <n v="62"/>
  </r>
  <r>
    <x v="2"/>
    <s v="AUX"/>
    <s v="Tense"/>
    <x v="12"/>
    <n v="24"/>
  </r>
  <r>
    <x v="2"/>
    <s v="AUX"/>
    <s v="Tense"/>
    <x v="13"/>
    <n v="486"/>
  </r>
  <r>
    <x v="2"/>
    <s v="AUX"/>
    <s v="VerbForm"/>
    <x v="14"/>
    <n v="558"/>
  </r>
  <r>
    <x v="2"/>
    <s v="AUX"/>
    <s v="VerbForm"/>
    <x v="15"/>
    <n v="1"/>
  </r>
  <r>
    <x v="2"/>
    <s v="AUX"/>
    <s v="VerbForm"/>
    <x v="16"/>
    <n v="6"/>
  </r>
  <r>
    <x v="2"/>
    <s v="AUX"/>
    <s v="VerbForm"/>
    <x v="17"/>
    <n v="20"/>
  </r>
  <r>
    <x v="2"/>
    <s v="VERB"/>
    <s v="Gender"/>
    <x v="0"/>
    <n v="102"/>
  </r>
  <r>
    <x v="2"/>
    <s v="VERB"/>
    <s v="Gender"/>
    <x v="1"/>
    <n v="287"/>
  </r>
  <r>
    <x v="2"/>
    <s v="VERB"/>
    <s v="ModoCalcolato"/>
    <x v="46"/>
    <n v="3"/>
  </r>
  <r>
    <x v="2"/>
    <s v="VERB"/>
    <s v="ModoCalcolato"/>
    <x v="19"/>
    <n v="33"/>
  </r>
  <r>
    <x v="2"/>
    <s v="VERB"/>
    <s v="ModoCalcolato"/>
    <x v="20"/>
    <n v="51"/>
  </r>
  <r>
    <x v="2"/>
    <s v="VERB"/>
    <s v="ModoCalcolato"/>
    <x v="21"/>
    <n v="33"/>
  </r>
  <r>
    <x v="2"/>
    <s v="VERB"/>
    <s v="ModoCalcolato"/>
    <x v="22"/>
    <n v="102"/>
  </r>
  <r>
    <x v="2"/>
    <s v="VERB"/>
    <s v="ModoCalcolato"/>
    <x v="47"/>
    <n v="135"/>
  </r>
  <r>
    <x v="2"/>
    <s v="VERB"/>
    <s v="ModoCalcolato"/>
    <x v="23"/>
    <n v="1604"/>
  </r>
  <r>
    <x v="2"/>
    <s v="VERB"/>
    <s v="ModoCalcolato"/>
    <x v="24"/>
    <n v="366"/>
  </r>
  <r>
    <x v="2"/>
    <s v="VERB"/>
    <s v="ModoCalcolato"/>
    <x v="25"/>
    <n v="45"/>
  </r>
  <r>
    <x v="2"/>
    <s v="VERB"/>
    <s v="ModoCalcolato"/>
    <x v="26"/>
    <n v="12"/>
  </r>
  <r>
    <x v="2"/>
    <s v="VERB"/>
    <s v="Mood"/>
    <x v="2"/>
    <n v="31"/>
  </r>
  <r>
    <x v="2"/>
    <s v="VERB"/>
    <s v="Mood"/>
    <x v="3"/>
    <n v="94"/>
  </r>
  <r>
    <x v="2"/>
    <s v="VERB"/>
    <s v="Mood"/>
    <x v="4"/>
    <n v="1336"/>
  </r>
  <r>
    <x v="2"/>
    <s v="VERB"/>
    <s v="Mood"/>
    <x v="5"/>
    <n v="48"/>
  </r>
  <r>
    <x v="2"/>
    <s v="VERB"/>
    <s v="Number"/>
    <x v="6"/>
    <n v="504"/>
  </r>
  <r>
    <x v="2"/>
    <s v="VERB"/>
    <s v="Number"/>
    <x v="7"/>
    <n v="1396"/>
  </r>
  <r>
    <x v="2"/>
    <s v="VERB"/>
    <s v="Person"/>
    <x v="8"/>
    <n v="424"/>
  </r>
  <r>
    <x v="2"/>
    <s v="VERB"/>
    <s v="Person"/>
    <x v="9"/>
    <n v="192"/>
  </r>
  <r>
    <x v="2"/>
    <s v="VERB"/>
    <s v="Person"/>
    <x v="10"/>
    <n v="892"/>
  </r>
  <r>
    <x v="2"/>
    <s v="VERB"/>
    <s v="PersonaCalcolata"/>
    <x v="27"/>
    <n v="167"/>
  </r>
  <r>
    <x v="2"/>
    <s v="VERB"/>
    <s v="PersonaCalcolata"/>
    <x v="28"/>
    <n v="374"/>
  </r>
  <r>
    <x v="2"/>
    <s v="VERB"/>
    <s v="PersonaCalcolata"/>
    <x v="29"/>
    <n v="65"/>
  </r>
  <r>
    <x v="2"/>
    <s v="VERB"/>
    <s v="PersonaCalcolata"/>
    <x v="30"/>
    <n v="144"/>
  </r>
  <r>
    <x v="2"/>
    <s v="VERB"/>
    <s v="PersonaCalcolata"/>
    <x v="31"/>
    <n v="288"/>
  </r>
  <r>
    <x v="2"/>
    <s v="VERB"/>
    <s v="PersonaCalcolata"/>
    <x v="32"/>
    <n v="762"/>
  </r>
  <r>
    <x v="2"/>
    <s v="VERB"/>
    <s v="PersonaCalcolata"/>
    <x v="33"/>
    <n v="584"/>
  </r>
  <r>
    <x v="2"/>
    <s v="VERB"/>
    <s v="PronType"/>
    <x v="4"/>
    <n v="1"/>
  </r>
  <r>
    <x v="2"/>
    <s v="VERB"/>
    <s v="TempoCalcolato"/>
    <x v="48"/>
    <n v="3"/>
  </r>
  <r>
    <x v="2"/>
    <s v="VERB"/>
    <s v="TempoCalcolato"/>
    <x v="34"/>
    <n v="1"/>
  </r>
  <r>
    <x v="2"/>
    <s v="VERB"/>
    <s v="TempoCalcolato"/>
    <x v="35"/>
    <n v="27"/>
  </r>
  <r>
    <x v="2"/>
    <s v="VERB"/>
    <s v="TempoCalcolato"/>
    <x v="36"/>
    <n v="200"/>
  </r>
  <r>
    <x v="2"/>
    <s v="VERB"/>
    <s v="TempoCalcolato"/>
    <x v="37"/>
    <n v="62"/>
  </r>
  <r>
    <x v="2"/>
    <s v="VERB"/>
    <s v="TempoCalcolato"/>
    <x v="38"/>
    <n v="236"/>
  </r>
  <r>
    <x v="2"/>
    <s v="VERB"/>
    <s v="TempoCalcolato"/>
    <x v="39"/>
    <n v="11"/>
  </r>
  <r>
    <x v="2"/>
    <s v="VERB"/>
    <s v="TempoCalcolato"/>
    <x v="40"/>
    <n v="1664"/>
  </r>
  <r>
    <x v="2"/>
    <s v="VERB"/>
    <s v="TempoCalcolato"/>
    <x v="49"/>
    <n v="135"/>
  </r>
  <r>
    <x v="2"/>
    <s v="VERB"/>
    <s v="TempoCalcolato"/>
    <x v="50"/>
    <n v="1"/>
  </r>
  <r>
    <x v="2"/>
    <s v="VERB"/>
    <s v="TempoCalcolato"/>
    <x v="41"/>
    <n v="3"/>
  </r>
  <r>
    <x v="2"/>
    <s v="VERB"/>
    <s v="TempoCalcolato"/>
    <x v="42"/>
    <n v="9"/>
  </r>
  <r>
    <x v="2"/>
    <s v="VERB"/>
    <s v="TempoCalcolato"/>
    <x v="43"/>
    <n v="1"/>
  </r>
  <r>
    <x v="2"/>
    <s v="VERB"/>
    <s v="TempoCalcolato"/>
    <x v="44"/>
    <n v="29"/>
  </r>
  <r>
    <x v="2"/>
    <s v="VERB"/>
    <s v="TempoCalcolato"/>
    <x v="45"/>
    <n v="2"/>
  </r>
  <r>
    <x v="2"/>
    <s v="VERB"/>
    <s v="Tense"/>
    <x v="11"/>
    <n v="27"/>
  </r>
  <r>
    <x v="2"/>
    <s v="VERB"/>
    <s v="Tense"/>
    <x v="3"/>
    <n v="201"/>
  </r>
  <r>
    <x v="2"/>
    <s v="VERB"/>
    <s v="Tense"/>
    <x v="12"/>
    <n v="345"/>
  </r>
  <r>
    <x v="2"/>
    <s v="VERB"/>
    <s v="Tense"/>
    <x v="13"/>
    <n v="1269"/>
  </r>
  <r>
    <x v="2"/>
    <s v="VERB"/>
    <s v="VerbForm"/>
    <x v="14"/>
    <n v="1508"/>
  </r>
  <r>
    <x v="2"/>
    <s v="VERB"/>
    <s v="VerbForm"/>
    <x v="15"/>
    <n v="44"/>
  </r>
  <r>
    <x v="2"/>
    <s v="VERB"/>
    <s v="VerbForm"/>
    <x v="16"/>
    <n v="362"/>
  </r>
  <r>
    <x v="2"/>
    <s v="VERB"/>
    <s v="VerbForm"/>
    <x v="17"/>
    <n v="335"/>
  </r>
  <r>
    <x v="3"/>
    <s v="AUX"/>
    <s v="Gender"/>
    <x v="0"/>
    <n v="12"/>
  </r>
  <r>
    <x v="3"/>
    <s v="AUX"/>
    <s v="Gender"/>
    <x v="1"/>
    <n v="36"/>
  </r>
  <r>
    <x v="3"/>
    <s v="AUX"/>
    <s v="Mood"/>
    <x v="2"/>
    <n v="44"/>
  </r>
  <r>
    <x v="3"/>
    <s v="AUX"/>
    <s v="Mood"/>
    <x v="4"/>
    <n v="487"/>
  </r>
  <r>
    <x v="3"/>
    <s v="AUX"/>
    <s v="Mood"/>
    <x v="5"/>
    <n v="54"/>
  </r>
  <r>
    <x v="3"/>
    <s v="AUX"/>
    <s v="Number"/>
    <x v="6"/>
    <n v="246"/>
  </r>
  <r>
    <x v="3"/>
    <s v="AUX"/>
    <s v="Number"/>
    <x v="7"/>
    <n v="387"/>
  </r>
  <r>
    <x v="3"/>
    <s v="AUX"/>
    <s v="Person"/>
    <x v="8"/>
    <n v="127"/>
  </r>
  <r>
    <x v="3"/>
    <s v="AUX"/>
    <s v="Person"/>
    <x v="9"/>
    <n v="2"/>
  </r>
  <r>
    <x v="3"/>
    <s v="AUX"/>
    <s v="Person"/>
    <x v="10"/>
    <n v="456"/>
  </r>
  <r>
    <x v="3"/>
    <s v="AUX"/>
    <s v="Tense"/>
    <x v="11"/>
    <n v="21"/>
  </r>
  <r>
    <x v="3"/>
    <s v="AUX"/>
    <s v="Tense"/>
    <x v="3"/>
    <n v="33"/>
  </r>
  <r>
    <x v="3"/>
    <s v="AUX"/>
    <s v="Tense"/>
    <x v="12"/>
    <n v="48"/>
  </r>
  <r>
    <x v="3"/>
    <s v="AUX"/>
    <s v="Tense"/>
    <x v="13"/>
    <n v="531"/>
  </r>
  <r>
    <x v="3"/>
    <s v="AUX"/>
    <s v="VerbForm"/>
    <x v="14"/>
    <n v="585"/>
  </r>
  <r>
    <x v="3"/>
    <s v="AUX"/>
    <s v="VerbForm"/>
    <x v="15"/>
    <n v="4"/>
  </r>
  <r>
    <x v="3"/>
    <s v="AUX"/>
    <s v="VerbForm"/>
    <x v="16"/>
    <n v="59"/>
  </r>
  <r>
    <x v="3"/>
    <s v="AUX"/>
    <s v="VerbForm"/>
    <x v="17"/>
    <n v="48"/>
  </r>
  <r>
    <x v="3"/>
    <s v="VERB"/>
    <s v="Gender"/>
    <x v="0"/>
    <n v="120"/>
  </r>
  <r>
    <x v="3"/>
    <s v="VERB"/>
    <s v="Gender"/>
    <x v="1"/>
    <n v="423"/>
  </r>
  <r>
    <x v="3"/>
    <s v="VERB"/>
    <s v="ModoCalcolato"/>
    <x v="19"/>
    <n v="25"/>
  </r>
  <r>
    <x v="3"/>
    <s v="VERB"/>
    <s v="ModoCalcolato"/>
    <x v="20"/>
    <n v="96"/>
  </r>
  <r>
    <x v="3"/>
    <s v="VERB"/>
    <s v="ModoCalcolato"/>
    <x v="51"/>
    <n v="1"/>
  </r>
  <r>
    <x v="3"/>
    <s v="VERB"/>
    <s v="ModoCalcolato"/>
    <x v="21"/>
    <n v="54"/>
  </r>
  <r>
    <x v="3"/>
    <s v="VERB"/>
    <s v="ModoCalcolato"/>
    <x v="22"/>
    <n v="8"/>
  </r>
  <r>
    <x v="3"/>
    <s v="VERB"/>
    <s v="ModoCalcolato"/>
    <x v="23"/>
    <n v="975"/>
  </r>
  <r>
    <x v="3"/>
    <s v="VERB"/>
    <s v="ModoCalcolato"/>
    <x v="24"/>
    <n v="646"/>
  </r>
  <r>
    <x v="3"/>
    <s v="VERB"/>
    <s v="ModoCalcolato"/>
    <x v="25"/>
    <n v="211"/>
  </r>
  <r>
    <x v="3"/>
    <s v="VERB"/>
    <s v="ModoCalcolato"/>
    <x v="26"/>
    <n v="24"/>
  </r>
  <r>
    <x v="3"/>
    <s v="VERB"/>
    <s v="Mood"/>
    <x v="2"/>
    <n v="21"/>
  </r>
  <r>
    <x v="3"/>
    <s v="VERB"/>
    <s v="Mood"/>
    <x v="3"/>
    <n v="8"/>
  </r>
  <r>
    <x v="3"/>
    <s v="VERB"/>
    <s v="Mood"/>
    <x v="4"/>
    <n v="702"/>
  </r>
  <r>
    <x v="3"/>
    <s v="VERB"/>
    <s v="Mood"/>
    <x v="5"/>
    <n v="76"/>
  </r>
  <r>
    <x v="3"/>
    <s v="VERB"/>
    <s v="Number"/>
    <x v="6"/>
    <n v="390"/>
  </r>
  <r>
    <x v="3"/>
    <s v="VERB"/>
    <s v="Number"/>
    <x v="7"/>
    <n v="968"/>
  </r>
  <r>
    <x v="3"/>
    <s v="VERB"/>
    <s v="Person"/>
    <x v="8"/>
    <n v="222"/>
  </r>
  <r>
    <x v="3"/>
    <s v="VERB"/>
    <s v="Person"/>
    <x v="9"/>
    <n v="15"/>
  </r>
  <r>
    <x v="3"/>
    <s v="VERB"/>
    <s v="Person"/>
    <x v="10"/>
    <n v="570"/>
  </r>
  <r>
    <x v="3"/>
    <s v="VERB"/>
    <s v="PersonaCalcolata"/>
    <x v="27"/>
    <n v="116"/>
  </r>
  <r>
    <x v="3"/>
    <s v="VERB"/>
    <s v="PersonaCalcolata"/>
    <x v="28"/>
    <n v="172"/>
  </r>
  <r>
    <x v="3"/>
    <s v="VERB"/>
    <s v="PersonaCalcolata"/>
    <x v="29"/>
    <n v="7"/>
  </r>
  <r>
    <x v="3"/>
    <s v="VERB"/>
    <s v="PersonaCalcolata"/>
    <x v="30"/>
    <n v="9"/>
  </r>
  <r>
    <x v="3"/>
    <s v="VERB"/>
    <s v="PersonaCalcolata"/>
    <x v="31"/>
    <n v="245"/>
  </r>
  <r>
    <x v="3"/>
    <s v="VERB"/>
    <s v="PersonaCalcolata"/>
    <x v="32"/>
    <n v="579"/>
  </r>
  <r>
    <x v="3"/>
    <s v="VERB"/>
    <s v="PersonaCalcolata"/>
    <x v="33"/>
    <n v="912"/>
  </r>
  <r>
    <x v="3"/>
    <s v="VERB"/>
    <s v="TempoCalcolato"/>
    <x v="34"/>
    <n v="6"/>
  </r>
  <r>
    <x v="3"/>
    <s v="VERB"/>
    <s v="TempoCalcolato"/>
    <x v="35"/>
    <n v="35"/>
  </r>
  <r>
    <x v="3"/>
    <s v="VERB"/>
    <s v="TempoCalcolato"/>
    <x v="36"/>
    <n v="45"/>
  </r>
  <r>
    <x v="3"/>
    <s v="VERB"/>
    <s v="TempoCalcolato"/>
    <x v="37"/>
    <n v="260"/>
  </r>
  <r>
    <x v="3"/>
    <s v="VERB"/>
    <s v="TempoCalcolato"/>
    <x v="38"/>
    <n v="255"/>
  </r>
  <r>
    <x v="3"/>
    <s v="VERB"/>
    <s v="TempoCalcolato"/>
    <x v="39"/>
    <n v="3"/>
  </r>
  <r>
    <x v="3"/>
    <s v="VERB"/>
    <s v="TempoCalcolato"/>
    <x v="12"/>
    <n v="1"/>
  </r>
  <r>
    <x v="3"/>
    <s v="VERB"/>
    <s v="TempoCalcolato"/>
    <x v="40"/>
    <n v="1393"/>
  </r>
  <r>
    <x v="3"/>
    <s v="VERB"/>
    <s v="TempoCalcolato"/>
    <x v="52"/>
    <n v="2"/>
  </r>
  <r>
    <x v="3"/>
    <s v="VERB"/>
    <s v="TempoCalcolato"/>
    <x v="41"/>
    <n v="1"/>
  </r>
  <r>
    <x v="3"/>
    <s v="VERB"/>
    <s v="TempoCalcolato"/>
    <x v="42"/>
    <n v="21"/>
  </r>
  <r>
    <x v="3"/>
    <s v="VERB"/>
    <s v="TempoCalcolato"/>
    <x v="43"/>
    <n v="6"/>
  </r>
  <r>
    <x v="3"/>
    <s v="VERB"/>
    <s v="TempoCalcolato"/>
    <x v="44"/>
    <n v="12"/>
  </r>
  <r>
    <x v="3"/>
    <s v="VERB"/>
    <s v="Tense"/>
    <x v="11"/>
    <n v="35"/>
  </r>
  <r>
    <x v="3"/>
    <s v="VERB"/>
    <s v="Tense"/>
    <x v="3"/>
    <n v="45"/>
  </r>
  <r>
    <x v="3"/>
    <s v="VERB"/>
    <s v="Tense"/>
    <x v="12"/>
    <n v="543"/>
  </r>
  <r>
    <x v="3"/>
    <s v="VERB"/>
    <s v="Tense"/>
    <x v="13"/>
    <n v="735"/>
  </r>
  <r>
    <x v="3"/>
    <s v="VERB"/>
    <s v="VerbForm"/>
    <x v="14"/>
    <n v="808"/>
  </r>
  <r>
    <x v="3"/>
    <s v="VERB"/>
    <s v="VerbForm"/>
    <x v="15"/>
    <n v="75"/>
  </r>
  <r>
    <x v="3"/>
    <s v="VERB"/>
    <s v="VerbForm"/>
    <x v="16"/>
    <n v="607"/>
  </r>
  <r>
    <x v="3"/>
    <s v="VERB"/>
    <s v="VerbForm"/>
    <x v="17"/>
    <n v="550"/>
  </r>
  <r>
    <x v="4"/>
    <s v="AUX"/>
    <s v="Gender"/>
    <x v="0"/>
    <n v="4"/>
  </r>
  <r>
    <x v="4"/>
    <s v="AUX"/>
    <s v="Gender"/>
    <x v="1"/>
    <n v="14"/>
  </r>
  <r>
    <x v="4"/>
    <s v="AUX"/>
    <s v="Mood"/>
    <x v="2"/>
    <n v="14"/>
  </r>
  <r>
    <x v="4"/>
    <s v="AUX"/>
    <s v="Mood"/>
    <x v="3"/>
    <n v="1"/>
  </r>
  <r>
    <x v="4"/>
    <s v="AUX"/>
    <s v="Mood"/>
    <x v="4"/>
    <n v="254"/>
  </r>
  <r>
    <x v="4"/>
    <s v="AUX"/>
    <s v="Mood"/>
    <x v="5"/>
    <n v="16"/>
  </r>
  <r>
    <x v="4"/>
    <s v="AUX"/>
    <s v="Number"/>
    <x v="6"/>
    <n v="88"/>
  </r>
  <r>
    <x v="4"/>
    <s v="AUX"/>
    <s v="Number"/>
    <x v="7"/>
    <n v="216"/>
  </r>
  <r>
    <x v="4"/>
    <s v="AUX"/>
    <s v="Person"/>
    <x v="8"/>
    <n v="108"/>
  </r>
  <r>
    <x v="4"/>
    <s v="AUX"/>
    <s v="Person"/>
    <x v="9"/>
    <n v="14"/>
  </r>
  <r>
    <x v="4"/>
    <s v="AUX"/>
    <s v="Person"/>
    <x v="10"/>
    <n v="164"/>
  </r>
  <r>
    <x v="4"/>
    <s v="AUX"/>
    <s v="Tense"/>
    <x v="11"/>
    <n v="2"/>
  </r>
  <r>
    <x v="4"/>
    <s v="AUX"/>
    <s v="Tense"/>
    <x v="3"/>
    <n v="32"/>
  </r>
  <r>
    <x v="4"/>
    <s v="AUX"/>
    <s v="Tense"/>
    <x v="12"/>
    <n v="2"/>
  </r>
  <r>
    <x v="4"/>
    <s v="AUX"/>
    <s v="Tense"/>
    <x v="13"/>
    <n v="249"/>
  </r>
  <r>
    <x v="4"/>
    <s v="AUX"/>
    <s v="VerbForm"/>
    <x v="14"/>
    <n v="29"/>
  </r>
  <r>
    <x v="4"/>
    <s v="AUX"/>
    <s v="VerbForm"/>
    <x v="16"/>
    <n v="14"/>
  </r>
  <r>
    <x v="4"/>
    <s v="AUX"/>
    <s v="VerbForm"/>
    <x v="17"/>
    <n v="21"/>
  </r>
  <r>
    <x v="4"/>
    <s v="AUX"/>
    <s v="Voice"/>
    <x v="53"/>
    <n v="10"/>
  </r>
  <r>
    <x v="4"/>
    <s v="VERB"/>
    <s v="Aspect"/>
    <x v="3"/>
    <n v="1"/>
  </r>
  <r>
    <x v="4"/>
    <s v="VERB"/>
    <s v="Case"/>
    <x v="54"/>
    <n v="5"/>
  </r>
  <r>
    <x v="4"/>
    <s v="VERB"/>
    <s v="Case"/>
    <x v="55"/>
    <n v="8"/>
  </r>
  <r>
    <x v="4"/>
    <s v="VERB"/>
    <s v="Clitic"/>
    <x v="56"/>
    <n v="6"/>
  </r>
  <r>
    <x v="4"/>
    <s v="VERB"/>
    <s v="Foreign"/>
    <x v="56"/>
    <n v="3"/>
  </r>
  <r>
    <x v="4"/>
    <s v="VERB"/>
    <s v="Gender"/>
    <x v="0"/>
    <n v="47"/>
  </r>
  <r>
    <x v="4"/>
    <s v="VERB"/>
    <s v="Gender"/>
    <x v="1"/>
    <n v="98"/>
  </r>
  <r>
    <x v="4"/>
    <s v="VERB"/>
    <s v="ModoCalcolato"/>
    <x v="20"/>
    <n v="2"/>
  </r>
  <r>
    <x v="4"/>
    <s v="VERB"/>
    <s v="ModoCalcolato"/>
    <x v="21"/>
    <n v="28"/>
  </r>
  <r>
    <x v="4"/>
    <s v="VERB"/>
    <s v="ModoCalcolato"/>
    <x v="47"/>
    <n v="693"/>
  </r>
  <r>
    <x v="4"/>
    <s v="VERB"/>
    <s v="ModoCalcolato"/>
    <x v="23"/>
    <n v="47"/>
  </r>
  <r>
    <x v="4"/>
    <s v="VERB"/>
    <s v="ModoCalcolato"/>
    <x v="24"/>
    <n v="321"/>
  </r>
  <r>
    <x v="4"/>
    <s v="VERB"/>
    <s v="ModoCalcolato"/>
    <x v="25"/>
    <n v="203"/>
  </r>
  <r>
    <x v="4"/>
    <s v="VERB"/>
    <s v="ModoCalcolato"/>
    <x v="26"/>
    <n v="28"/>
  </r>
  <r>
    <x v="4"/>
    <s v="VERB"/>
    <s v="Mood"/>
    <x v="2"/>
    <n v="17"/>
  </r>
  <r>
    <x v="4"/>
    <s v="VERB"/>
    <s v="Mood"/>
    <x v="3"/>
    <n v="25"/>
  </r>
  <r>
    <x v="4"/>
    <s v="VERB"/>
    <s v="Mood"/>
    <x v="4"/>
    <n v="599"/>
  </r>
  <r>
    <x v="4"/>
    <s v="VERB"/>
    <s v="Mood"/>
    <x v="57"/>
    <n v="1"/>
  </r>
  <r>
    <x v="4"/>
    <s v="VERB"/>
    <s v="Mood"/>
    <x v="5"/>
    <n v="33"/>
  </r>
  <r>
    <x v="4"/>
    <s v="VERB"/>
    <s v="Number"/>
    <x v="58"/>
    <n v="1"/>
  </r>
  <r>
    <x v="4"/>
    <s v="VERB"/>
    <s v="Number"/>
    <x v="6"/>
    <n v="272"/>
  </r>
  <r>
    <x v="4"/>
    <s v="VERB"/>
    <s v="Number"/>
    <x v="7"/>
    <n v="551"/>
  </r>
  <r>
    <x v="4"/>
    <s v="VERB"/>
    <s v="Person"/>
    <x v="8"/>
    <n v="168"/>
  </r>
  <r>
    <x v="4"/>
    <s v="VERB"/>
    <s v="Person"/>
    <x v="9"/>
    <n v="91"/>
  </r>
  <r>
    <x v="4"/>
    <s v="VERB"/>
    <s v="Person"/>
    <x v="10"/>
    <n v="421"/>
  </r>
  <r>
    <x v="4"/>
    <s v="VERB"/>
    <s v="PersonaCalcolata"/>
    <x v="27"/>
    <n v="49"/>
  </r>
  <r>
    <x v="4"/>
    <s v="VERB"/>
    <s v="PersonaCalcolata"/>
    <x v="28"/>
    <n v="130"/>
  </r>
  <r>
    <x v="4"/>
    <s v="VERB"/>
    <s v="PersonaCalcolata"/>
    <x v="29"/>
    <n v="47"/>
  </r>
  <r>
    <x v="4"/>
    <s v="VERB"/>
    <s v="PersonaCalcolata"/>
    <x v="30"/>
    <n v="47"/>
  </r>
  <r>
    <x v="4"/>
    <s v="VERB"/>
    <s v="PersonaCalcolata"/>
    <x v="31"/>
    <n v="143"/>
  </r>
  <r>
    <x v="4"/>
    <s v="VERB"/>
    <s v="PersonaCalcolata"/>
    <x v="32"/>
    <n v="292"/>
  </r>
  <r>
    <x v="4"/>
    <s v="VERB"/>
    <s v="PersonaCalcolata"/>
    <x v="33"/>
    <n v="614"/>
  </r>
  <r>
    <x v="4"/>
    <s v="VERB"/>
    <s v="PronType"/>
    <x v="59"/>
    <n v="10"/>
  </r>
  <r>
    <x v="4"/>
    <s v="VERB"/>
    <s v="TempoCalcolato"/>
    <x v="35"/>
    <n v="3"/>
  </r>
  <r>
    <x v="4"/>
    <s v="VERB"/>
    <s v="TempoCalcolato"/>
    <x v="36"/>
    <n v="6"/>
  </r>
  <r>
    <x v="4"/>
    <s v="VERB"/>
    <s v="TempoCalcolato"/>
    <x v="39"/>
    <n v="1"/>
  </r>
  <r>
    <x v="4"/>
    <s v="VERB"/>
    <s v="TempoCalcolato"/>
    <x v="40"/>
    <n v="388"/>
  </r>
  <r>
    <x v="4"/>
    <s v="VERB"/>
    <s v="TempoCalcolato"/>
    <x v="49"/>
    <n v="693"/>
  </r>
  <r>
    <x v="4"/>
    <s v="VERB"/>
    <s v="TempoCalcolato"/>
    <x v="60"/>
    <n v="203"/>
  </r>
  <r>
    <x v="4"/>
    <s v="VERB"/>
    <s v="TempoCalcolato"/>
    <x v="42"/>
    <n v="28"/>
  </r>
  <r>
    <x v="4"/>
    <s v="VERB"/>
    <s v="Tense"/>
    <x v="11"/>
    <n v="21"/>
  </r>
  <r>
    <x v="4"/>
    <s v="VERB"/>
    <s v="Tense"/>
    <x v="3"/>
    <n v="50"/>
  </r>
  <r>
    <x v="4"/>
    <s v="VERB"/>
    <s v="Tense"/>
    <x v="12"/>
    <n v="28"/>
  </r>
  <r>
    <x v="4"/>
    <s v="VERB"/>
    <s v="Tense"/>
    <x v="13"/>
    <n v="575"/>
  </r>
  <r>
    <x v="4"/>
    <s v="VERB"/>
    <s v="VerbForm"/>
    <x v="14"/>
    <n v="49"/>
  </r>
  <r>
    <x v="4"/>
    <s v="VERB"/>
    <s v="VerbForm"/>
    <x v="15"/>
    <n v="56"/>
  </r>
  <r>
    <x v="4"/>
    <s v="VERB"/>
    <s v="VerbForm"/>
    <x v="16"/>
    <n v="321"/>
  </r>
  <r>
    <x v="4"/>
    <s v="VERB"/>
    <s v="VerbForm"/>
    <x v="17"/>
    <n v="203"/>
  </r>
  <r>
    <x v="4"/>
    <s v="VERB"/>
    <s v="Voice"/>
    <x v="53"/>
    <n v="4"/>
  </r>
  <r>
    <x v="5"/>
    <s v="AUX"/>
    <s v="Gender"/>
    <x v="0"/>
    <n v="2"/>
  </r>
  <r>
    <x v="5"/>
    <s v="AUX"/>
    <s v="Gender"/>
    <x v="1"/>
    <n v="4"/>
  </r>
  <r>
    <x v="5"/>
    <s v="AUX"/>
    <s v="Mood"/>
    <x v="2"/>
    <n v="7"/>
  </r>
  <r>
    <x v="5"/>
    <s v="AUX"/>
    <s v="Mood"/>
    <x v="4"/>
    <n v="131"/>
  </r>
  <r>
    <x v="5"/>
    <s v="AUX"/>
    <s v="Mood"/>
    <x v="5"/>
    <n v="3"/>
  </r>
  <r>
    <x v="5"/>
    <s v="AUX"/>
    <s v="Number"/>
    <x v="6"/>
    <n v="20"/>
  </r>
  <r>
    <x v="5"/>
    <s v="AUX"/>
    <s v="Number"/>
    <x v="7"/>
    <n v="127"/>
  </r>
  <r>
    <x v="5"/>
    <s v="AUX"/>
    <s v="Person"/>
    <x v="8"/>
    <n v="76"/>
  </r>
  <r>
    <x v="5"/>
    <s v="AUX"/>
    <s v="Person"/>
    <x v="9"/>
    <n v="4"/>
  </r>
  <r>
    <x v="5"/>
    <s v="AUX"/>
    <s v="Person"/>
    <x v="10"/>
    <n v="61"/>
  </r>
  <r>
    <x v="5"/>
    <s v="AUX"/>
    <s v="Tense"/>
    <x v="11"/>
    <n v="2"/>
  </r>
  <r>
    <x v="5"/>
    <s v="AUX"/>
    <s v="Tense"/>
    <x v="3"/>
    <n v="21"/>
  </r>
  <r>
    <x v="5"/>
    <s v="AUX"/>
    <s v="Tense"/>
    <x v="12"/>
    <n v="2"/>
  </r>
  <r>
    <x v="5"/>
    <s v="AUX"/>
    <s v="Tense"/>
    <x v="13"/>
    <n v="116"/>
  </r>
  <r>
    <x v="5"/>
    <s v="AUX"/>
    <s v="VerbForm"/>
    <x v="14"/>
    <n v="29"/>
  </r>
  <r>
    <x v="5"/>
    <s v="AUX"/>
    <s v="VerbForm"/>
    <x v="16"/>
    <n v="11"/>
  </r>
  <r>
    <x v="5"/>
    <s v="AUX"/>
    <s v="VerbForm"/>
    <x v="17"/>
    <n v="8"/>
  </r>
  <r>
    <x v="5"/>
    <s v="AUX"/>
    <s v="Voice"/>
    <x v="53"/>
    <n v="3"/>
  </r>
  <r>
    <x v="5"/>
    <s v="VERB"/>
    <s v="Aspect"/>
    <x v="3"/>
    <n v="1"/>
  </r>
  <r>
    <x v="5"/>
    <s v="VERB"/>
    <s v="Case"/>
    <x v="54"/>
    <n v="3"/>
  </r>
  <r>
    <x v="5"/>
    <s v="VERB"/>
    <s v="Case"/>
    <x v="55"/>
    <n v="7"/>
  </r>
  <r>
    <x v="5"/>
    <s v="VERB"/>
    <s v="Clitic"/>
    <x v="56"/>
    <n v="6"/>
  </r>
  <r>
    <x v="5"/>
    <s v="VERB"/>
    <s v="Foreign"/>
    <x v="56"/>
    <n v="1"/>
  </r>
  <r>
    <x v="5"/>
    <s v="VERB"/>
    <s v="Gender"/>
    <x v="0"/>
    <n v="29"/>
  </r>
  <r>
    <x v="5"/>
    <s v="VERB"/>
    <s v="Gender"/>
    <x v="1"/>
    <n v="51"/>
  </r>
  <r>
    <x v="5"/>
    <s v="VERB"/>
    <s v="ModoCalcolato"/>
    <x v="20"/>
    <n v="2"/>
  </r>
  <r>
    <x v="5"/>
    <s v="VERB"/>
    <s v="ModoCalcolato"/>
    <x v="21"/>
    <n v="11"/>
  </r>
  <r>
    <x v="5"/>
    <s v="VERB"/>
    <s v="ModoCalcolato"/>
    <x v="47"/>
    <n v="260"/>
  </r>
  <r>
    <x v="5"/>
    <s v="VERB"/>
    <s v="ModoCalcolato"/>
    <x v="23"/>
    <n v="47"/>
  </r>
  <r>
    <x v="5"/>
    <s v="VERB"/>
    <s v="ModoCalcolato"/>
    <x v="24"/>
    <n v="144"/>
  </r>
  <r>
    <x v="5"/>
    <s v="VERB"/>
    <s v="ModoCalcolato"/>
    <x v="25"/>
    <n v="116"/>
  </r>
  <r>
    <x v="5"/>
    <s v="VERB"/>
    <s v="ModoCalcolato"/>
    <x v="26"/>
    <n v="11"/>
  </r>
  <r>
    <x v="5"/>
    <s v="VERB"/>
    <s v="Mood"/>
    <x v="2"/>
    <n v="2"/>
  </r>
  <r>
    <x v="5"/>
    <s v="VERB"/>
    <s v="Mood"/>
    <x v="3"/>
    <n v="6"/>
  </r>
  <r>
    <x v="5"/>
    <s v="VERB"/>
    <s v="Mood"/>
    <x v="4"/>
    <n v="259"/>
  </r>
  <r>
    <x v="5"/>
    <s v="VERB"/>
    <s v="Mood"/>
    <x v="57"/>
    <n v="1"/>
  </r>
  <r>
    <x v="5"/>
    <s v="VERB"/>
    <s v="Mood"/>
    <x v="5"/>
    <n v="7"/>
  </r>
  <r>
    <x v="5"/>
    <s v="VERB"/>
    <s v="Number"/>
    <x v="58"/>
    <n v="1"/>
  </r>
  <r>
    <x v="5"/>
    <s v="VERB"/>
    <s v="Number"/>
    <x v="6"/>
    <n v="63"/>
  </r>
  <r>
    <x v="5"/>
    <s v="VERB"/>
    <s v="Number"/>
    <x v="7"/>
    <n v="293"/>
  </r>
  <r>
    <x v="5"/>
    <s v="VERB"/>
    <s v="Person"/>
    <x v="8"/>
    <n v="89"/>
  </r>
  <r>
    <x v="5"/>
    <s v="VERB"/>
    <s v="Person"/>
    <x v="9"/>
    <n v="40"/>
  </r>
  <r>
    <x v="5"/>
    <s v="VERB"/>
    <s v="Person"/>
    <x v="10"/>
    <n v="150"/>
  </r>
  <r>
    <x v="5"/>
    <s v="VERB"/>
    <s v="PersonaCalcolata"/>
    <x v="27"/>
    <n v="10"/>
  </r>
  <r>
    <x v="5"/>
    <s v="VERB"/>
    <s v="PersonaCalcolata"/>
    <x v="28"/>
    <n v="88"/>
  </r>
  <r>
    <x v="5"/>
    <s v="VERB"/>
    <s v="PersonaCalcolata"/>
    <x v="29"/>
    <n v="8"/>
  </r>
  <r>
    <x v="5"/>
    <s v="VERB"/>
    <s v="PersonaCalcolata"/>
    <x v="30"/>
    <n v="32"/>
  </r>
  <r>
    <x v="5"/>
    <s v="VERB"/>
    <s v="PersonaCalcolata"/>
    <x v="31"/>
    <n v="24"/>
  </r>
  <r>
    <x v="5"/>
    <s v="VERB"/>
    <s v="PersonaCalcolata"/>
    <x v="32"/>
    <n v="128"/>
  </r>
  <r>
    <x v="5"/>
    <s v="VERB"/>
    <s v="PersonaCalcolata"/>
    <x v="33"/>
    <n v="301"/>
  </r>
  <r>
    <x v="5"/>
    <s v="VERB"/>
    <s v="PronType"/>
    <x v="59"/>
    <n v="7"/>
  </r>
  <r>
    <x v="5"/>
    <s v="VERB"/>
    <s v="TempoCalcolato"/>
    <x v="35"/>
    <n v="3"/>
  </r>
  <r>
    <x v="5"/>
    <s v="VERB"/>
    <s v="TempoCalcolato"/>
    <x v="36"/>
    <n v="6"/>
  </r>
  <r>
    <x v="5"/>
    <s v="VERB"/>
    <s v="TempoCalcolato"/>
    <x v="39"/>
    <n v="1"/>
  </r>
  <r>
    <x v="5"/>
    <s v="VERB"/>
    <s v="TempoCalcolato"/>
    <x v="40"/>
    <n v="194"/>
  </r>
  <r>
    <x v="5"/>
    <s v="VERB"/>
    <s v="TempoCalcolato"/>
    <x v="49"/>
    <n v="260"/>
  </r>
  <r>
    <x v="5"/>
    <s v="VERB"/>
    <s v="TempoCalcolato"/>
    <x v="60"/>
    <n v="116"/>
  </r>
  <r>
    <x v="5"/>
    <s v="VERB"/>
    <s v="TempoCalcolato"/>
    <x v="42"/>
    <n v="11"/>
  </r>
  <r>
    <x v="5"/>
    <s v="VERB"/>
    <s v="Tense"/>
    <x v="11"/>
    <n v="14"/>
  </r>
  <r>
    <x v="5"/>
    <s v="VERB"/>
    <s v="Tense"/>
    <x v="3"/>
    <n v="35"/>
  </r>
  <r>
    <x v="5"/>
    <s v="VERB"/>
    <s v="Tense"/>
    <x v="12"/>
    <n v="28"/>
  </r>
  <r>
    <x v="5"/>
    <s v="VERB"/>
    <s v="Tense"/>
    <x v="13"/>
    <n v="197"/>
  </r>
  <r>
    <x v="5"/>
    <s v="VERB"/>
    <s v="VerbForm"/>
    <x v="14"/>
    <n v="49"/>
  </r>
  <r>
    <x v="5"/>
    <s v="VERB"/>
    <s v="VerbForm"/>
    <x v="15"/>
    <n v="22"/>
  </r>
  <r>
    <x v="5"/>
    <s v="VERB"/>
    <s v="VerbForm"/>
    <x v="16"/>
    <n v="144"/>
  </r>
  <r>
    <x v="5"/>
    <s v="VERB"/>
    <s v="VerbForm"/>
    <x v="17"/>
    <n v="116"/>
  </r>
  <r>
    <x v="5"/>
    <s v="VERB"/>
    <s v="Voice"/>
    <x v="53"/>
    <n v="1"/>
  </r>
  <r>
    <x v="6"/>
    <s v="AUX"/>
    <s v="Gender"/>
    <x v="0"/>
    <n v="2"/>
  </r>
  <r>
    <x v="6"/>
    <s v="AUX"/>
    <s v="Gender"/>
    <x v="1"/>
    <n v="10"/>
  </r>
  <r>
    <x v="6"/>
    <s v="AUX"/>
    <s v="Mood"/>
    <x v="2"/>
    <n v="7"/>
  </r>
  <r>
    <x v="6"/>
    <s v="AUX"/>
    <s v="Mood"/>
    <x v="3"/>
    <n v="1"/>
  </r>
  <r>
    <x v="6"/>
    <s v="AUX"/>
    <s v="Mood"/>
    <x v="4"/>
    <n v="123"/>
  </r>
  <r>
    <x v="6"/>
    <s v="AUX"/>
    <s v="Mood"/>
    <x v="5"/>
    <n v="13"/>
  </r>
  <r>
    <x v="6"/>
    <s v="AUX"/>
    <s v="Number"/>
    <x v="6"/>
    <n v="68"/>
  </r>
  <r>
    <x v="6"/>
    <s v="AUX"/>
    <s v="Number"/>
    <x v="7"/>
    <n v="89"/>
  </r>
  <r>
    <x v="6"/>
    <s v="AUX"/>
    <s v="Person"/>
    <x v="8"/>
    <n v="32"/>
  </r>
  <r>
    <x v="6"/>
    <s v="AUX"/>
    <s v="Person"/>
    <x v="9"/>
    <n v="10"/>
  </r>
  <r>
    <x v="6"/>
    <s v="AUX"/>
    <s v="Person"/>
    <x v="10"/>
    <n v="103"/>
  </r>
  <r>
    <x v="6"/>
    <s v="AUX"/>
    <s v="Tense"/>
    <x v="3"/>
    <n v="11"/>
  </r>
  <r>
    <x v="6"/>
    <s v="AUX"/>
    <s v="Tense"/>
    <x v="13"/>
    <n v="133"/>
  </r>
  <r>
    <x v="6"/>
    <s v="AUX"/>
    <s v="VerbForm"/>
    <x v="16"/>
    <n v="3"/>
  </r>
  <r>
    <x v="6"/>
    <s v="AUX"/>
    <s v="VerbForm"/>
    <x v="17"/>
    <n v="13"/>
  </r>
  <r>
    <x v="6"/>
    <s v="AUX"/>
    <s v="Voice"/>
    <x v="53"/>
    <n v="7"/>
  </r>
  <r>
    <x v="6"/>
    <s v="VERB"/>
    <s v="Case"/>
    <x v="54"/>
    <n v="2"/>
  </r>
  <r>
    <x v="6"/>
    <s v="VERB"/>
    <s v="Case"/>
    <x v="55"/>
    <n v="1"/>
  </r>
  <r>
    <x v="6"/>
    <s v="VERB"/>
    <s v="Foreign"/>
    <x v="56"/>
    <n v="2"/>
  </r>
  <r>
    <x v="6"/>
    <s v="VERB"/>
    <s v="Gender"/>
    <x v="0"/>
    <n v="18"/>
  </r>
  <r>
    <x v="6"/>
    <s v="VERB"/>
    <s v="Gender"/>
    <x v="1"/>
    <n v="47"/>
  </r>
  <r>
    <x v="6"/>
    <s v="VERB"/>
    <s v="ModoCalcolato"/>
    <x v="21"/>
    <n v="17"/>
  </r>
  <r>
    <x v="6"/>
    <s v="VERB"/>
    <s v="ModoCalcolato"/>
    <x v="47"/>
    <n v="433"/>
  </r>
  <r>
    <x v="6"/>
    <s v="VERB"/>
    <s v="ModoCalcolato"/>
    <x v="24"/>
    <n v="177"/>
  </r>
  <r>
    <x v="6"/>
    <s v="VERB"/>
    <s v="ModoCalcolato"/>
    <x v="25"/>
    <n v="87"/>
  </r>
  <r>
    <x v="6"/>
    <s v="VERB"/>
    <s v="ModoCalcolato"/>
    <x v="26"/>
    <n v="17"/>
  </r>
  <r>
    <x v="6"/>
    <s v="VERB"/>
    <s v="Mood"/>
    <x v="2"/>
    <n v="15"/>
  </r>
  <r>
    <x v="6"/>
    <s v="VERB"/>
    <s v="Mood"/>
    <x v="3"/>
    <n v="19"/>
  </r>
  <r>
    <x v="6"/>
    <s v="VERB"/>
    <s v="Mood"/>
    <x v="4"/>
    <n v="340"/>
  </r>
  <r>
    <x v="6"/>
    <s v="VERB"/>
    <s v="Mood"/>
    <x v="5"/>
    <n v="26"/>
  </r>
  <r>
    <x v="6"/>
    <s v="VERB"/>
    <s v="Number"/>
    <x v="6"/>
    <n v="209"/>
  </r>
  <r>
    <x v="6"/>
    <s v="VERB"/>
    <s v="Number"/>
    <x v="7"/>
    <n v="258"/>
  </r>
  <r>
    <x v="6"/>
    <s v="VERB"/>
    <s v="Person"/>
    <x v="8"/>
    <n v="79"/>
  </r>
  <r>
    <x v="6"/>
    <s v="VERB"/>
    <s v="Person"/>
    <x v="9"/>
    <n v="51"/>
  </r>
  <r>
    <x v="6"/>
    <s v="VERB"/>
    <s v="Person"/>
    <x v="10"/>
    <n v="271"/>
  </r>
  <r>
    <x v="6"/>
    <s v="VERB"/>
    <s v="PersonaCalcolata"/>
    <x v="27"/>
    <n v="39"/>
  </r>
  <r>
    <x v="6"/>
    <s v="VERB"/>
    <s v="PersonaCalcolata"/>
    <x v="28"/>
    <n v="42"/>
  </r>
  <r>
    <x v="6"/>
    <s v="VERB"/>
    <s v="PersonaCalcolata"/>
    <x v="29"/>
    <n v="39"/>
  </r>
  <r>
    <x v="6"/>
    <s v="VERB"/>
    <s v="PersonaCalcolata"/>
    <x v="30"/>
    <n v="15"/>
  </r>
  <r>
    <x v="6"/>
    <s v="VERB"/>
    <s v="PersonaCalcolata"/>
    <x v="31"/>
    <n v="119"/>
  </r>
  <r>
    <x v="6"/>
    <s v="VERB"/>
    <s v="PersonaCalcolata"/>
    <x v="32"/>
    <n v="164"/>
  </r>
  <r>
    <x v="6"/>
    <s v="VERB"/>
    <s v="PersonaCalcolata"/>
    <x v="33"/>
    <n v="313"/>
  </r>
  <r>
    <x v="6"/>
    <s v="VERB"/>
    <s v="PronType"/>
    <x v="59"/>
    <n v="3"/>
  </r>
  <r>
    <x v="6"/>
    <s v="VERB"/>
    <s v="TempoCalcolato"/>
    <x v="40"/>
    <n v="194"/>
  </r>
  <r>
    <x v="6"/>
    <s v="VERB"/>
    <s v="TempoCalcolato"/>
    <x v="49"/>
    <n v="433"/>
  </r>
  <r>
    <x v="6"/>
    <s v="VERB"/>
    <s v="TempoCalcolato"/>
    <x v="60"/>
    <n v="87"/>
  </r>
  <r>
    <x v="6"/>
    <s v="VERB"/>
    <s v="TempoCalcolato"/>
    <x v="42"/>
    <n v="17"/>
  </r>
  <r>
    <x v="6"/>
    <s v="VERB"/>
    <s v="Tense"/>
    <x v="11"/>
    <n v="7"/>
  </r>
  <r>
    <x v="6"/>
    <s v="VERB"/>
    <s v="Tense"/>
    <x v="3"/>
    <n v="15"/>
  </r>
  <r>
    <x v="6"/>
    <s v="VERB"/>
    <s v="Tense"/>
    <x v="13"/>
    <n v="378"/>
  </r>
  <r>
    <x v="6"/>
    <s v="VERB"/>
    <s v="VerbForm"/>
    <x v="15"/>
    <n v="34"/>
  </r>
  <r>
    <x v="6"/>
    <s v="VERB"/>
    <s v="VerbForm"/>
    <x v="16"/>
    <n v="177"/>
  </r>
  <r>
    <x v="6"/>
    <s v="VERB"/>
    <s v="VerbForm"/>
    <x v="17"/>
    <n v="87"/>
  </r>
  <r>
    <x v="6"/>
    <s v="VERB"/>
    <s v="Voice"/>
    <x v="53"/>
    <n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x v="0"/>
    <x v="0"/>
    <n v="123"/>
    <n v="121"/>
    <n v="2"/>
    <m/>
    <m/>
  </r>
  <r>
    <x v="0"/>
    <x v="0"/>
    <x v="1"/>
    <n v="12"/>
    <n v="8"/>
    <n v="4"/>
    <m/>
    <m/>
  </r>
  <r>
    <x v="0"/>
    <x v="0"/>
    <x v="2"/>
    <n v="67"/>
    <n v="43"/>
    <n v="24"/>
    <m/>
    <m/>
  </r>
  <r>
    <x v="0"/>
    <x v="0"/>
    <x v="3"/>
    <n v="12"/>
    <n v="3"/>
    <n v="9"/>
    <m/>
    <m/>
  </r>
  <r>
    <x v="0"/>
    <x v="0"/>
    <x v="4"/>
    <n v="1"/>
    <n v="1"/>
    <n v="0"/>
    <m/>
    <m/>
  </r>
  <r>
    <x v="0"/>
    <x v="0"/>
    <x v="5"/>
    <n v="4"/>
    <n v="4"/>
    <n v="0"/>
    <m/>
    <m/>
  </r>
  <r>
    <x v="0"/>
    <x v="0"/>
    <x v="6"/>
    <n v="2"/>
    <n v="0"/>
    <n v="2"/>
    <m/>
    <m/>
  </r>
  <r>
    <x v="0"/>
    <x v="1"/>
    <x v="2"/>
    <n v="168"/>
    <m/>
    <m/>
    <n v="5"/>
    <n v="163"/>
  </r>
  <r>
    <x v="0"/>
    <x v="1"/>
    <x v="0"/>
    <n v="84"/>
    <m/>
    <m/>
    <n v="60"/>
    <n v="24"/>
  </r>
  <r>
    <x v="0"/>
    <x v="1"/>
    <x v="7"/>
    <n v="4"/>
    <m/>
    <m/>
    <n v="1"/>
    <n v="3"/>
  </r>
  <r>
    <x v="0"/>
    <x v="1"/>
    <x v="5"/>
    <n v="1"/>
    <m/>
    <m/>
    <n v="1"/>
    <n v="0"/>
  </r>
  <r>
    <x v="0"/>
    <x v="1"/>
    <x v="3"/>
    <n v="54"/>
    <m/>
    <m/>
    <n v="2"/>
    <n v="52"/>
  </r>
  <r>
    <x v="0"/>
    <x v="1"/>
    <x v="1"/>
    <n v="1"/>
    <m/>
    <m/>
    <n v="0"/>
    <n v="1"/>
  </r>
  <r>
    <x v="0"/>
    <x v="1"/>
    <x v="8"/>
    <n v="1"/>
    <m/>
    <m/>
    <n v="0"/>
    <n v="1"/>
  </r>
  <r>
    <x v="0"/>
    <x v="1"/>
    <x v="6"/>
    <n v="3"/>
    <m/>
    <m/>
    <n v="0"/>
    <n v="3"/>
  </r>
  <r>
    <x v="0"/>
    <x v="1"/>
    <x v="9"/>
    <n v="3"/>
    <m/>
    <m/>
    <n v="2"/>
    <n v="1"/>
  </r>
  <r>
    <x v="1"/>
    <x v="0"/>
    <x v="2"/>
    <n v="338"/>
    <n v="148"/>
    <n v="190"/>
    <m/>
    <m/>
  </r>
  <r>
    <x v="1"/>
    <x v="0"/>
    <x v="0"/>
    <n v="427"/>
    <n v="349"/>
    <n v="78"/>
    <m/>
    <m/>
  </r>
  <r>
    <x v="1"/>
    <x v="0"/>
    <x v="8"/>
    <n v="2"/>
    <n v="1"/>
    <n v="1"/>
    <m/>
    <m/>
  </r>
  <r>
    <x v="1"/>
    <x v="0"/>
    <x v="1"/>
    <n v="49"/>
    <n v="33"/>
    <n v="16"/>
    <m/>
    <m/>
  </r>
  <r>
    <x v="1"/>
    <x v="0"/>
    <x v="3"/>
    <n v="21"/>
    <n v="6"/>
    <n v="15"/>
    <m/>
    <m/>
  </r>
  <r>
    <x v="1"/>
    <x v="0"/>
    <x v="6"/>
    <n v="11"/>
    <n v="5"/>
    <n v="6"/>
    <m/>
    <m/>
  </r>
  <r>
    <x v="1"/>
    <x v="0"/>
    <x v="5"/>
    <n v="133"/>
    <n v="133"/>
    <n v="0"/>
    <m/>
    <m/>
  </r>
  <r>
    <x v="1"/>
    <x v="0"/>
    <x v="9"/>
    <n v="5"/>
    <n v="3"/>
    <n v="2"/>
    <m/>
    <m/>
  </r>
  <r>
    <x v="1"/>
    <x v="0"/>
    <x v="7"/>
    <n v="3"/>
    <n v="2"/>
    <n v="1"/>
    <m/>
    <m/>
  </r>
  <r>
    <x v="1"/>
    <x v="0"/>
    <x v="10"/>
    <n v="1"/>
    <n v="1"/>
    <n v="0"/>
    <m/>
    <m/>
  </r>
  <r>
    <x v="1"/>
    <x v="0"/>
    <x v="11"/>
    <n v="6"/>
    <n v="2"/>
    <n v="4"/>
    <m/>
    <m/>
  </r>
  <r>
    <x v="1"/>
    <x v="0"/>
    <x v="4"/>
    <n v="1"/>
    <n v="1"/>
    <n v="0"/>
    <m/>
    <m/>
  </r>
  <r>
    <x v="1"/>
    <x v="1"/>
    <x v="0"/>
    <n v="387"/>
    <m/>
    <m/>
    <n v="286"/>
    <n v="101"/>
  </r>
  <r>
    <x v="1"/>
    <x v="1"/>
    <x v="2"/>
    <n v="507"/>
    <m/>
    <m/>
    <n v="10"/>
    <n v="497"/>
  </r>
  <r>
    <x v="1"/>
    <x v="1"/>
    <x v="1"/>
    <n v="13"/>
    <m/>
    <m/>
    <n v="0"/>
    <n v="13"/>
  </r>
  <r>
    <x v="1"/>
    <x v="1"/>
    <x v="3"/>
    <n v="129"/>
    <m/>
    <m/>
    <n v="3"/>
    <n v="126"/>
  </r>
  <r>
    <x v="1"/>
    <x v="1"/>
    <x v="6"/>
    <n v="22"/>
    <m/>
    <m/>
    <n v="0"/>
    <n v="22"/>
  </r>
  <r>
    <x v="1"/>
    <x v="1"/>
    <x v="5"/>
    <n v="40"/>
    <m/>
    <m/>
    <n v="38"/>
    <n v="2"/>
  </r>
  <r>
    <x v="1"/>
    <x v="1"/>
    <x v="7"/>
    <n v="9"/>
    <m/>
    <m/>
    <n v="2"/>
    <n v="7"/>
  </r>
  <r>
    <x v="1"/>
    <x v="1"/>
    <x v="8"/>
    <n v="3"/>
    <m/>
    <m/>
    <n v="1"/>
    <n v="2"/>
  </r>
  <r>
    <x v="1"/>
    <x v="1"/>
    <x v="10"/>
    <n v="2"/>
    <m/>
    <m/>
    <n v="1"/>
    <n v="1"/>
  </r>
  <r>
    <x v="1"/>
    <x v="1"/>
    <x v="12"/>
    <n v="7"/>
    <m/>
    <m/>
    <n v="0"/>
    <n v="7"/>
  </r>
  <r>
    <x v="1"/>
    <x v="1"/>
    <x v="11"/>
    <n v="20"/>
    <m/>
    <m/>
    <n v="0"/>
    <n v="20"/>
  </r>
  <r>
    <x v="1"/>
    <x v="1"/>
    <x v="9"/>
    <n v="12"/>
    <m/>
    <m/>
    <n v="7"/>
    <n v="5"/>
  </r>
  <r>
    <x v="2"/>
    <x v="0"/>
    <x v="8"/>
    <n v="28"/>
    <n v="23"/>
    <n v="5"/>
    <m/>
    <m/>
  </r>
  <r>
    <x v="2"/>
    <x v="0"/>
    <x v="2"/>
    <n v="1761"/>
    <n v="1283"/>
    <n v="478"/>
    <m/>
    <m/>
  </r>
  <r>
    <x v="2"/>
    <x v="0"/>
    <x v="0"/>
    <n v="948"/>
    <n v="877"/>
    <n v="71"/>
    <m/>
    <m/>
  </r>
  <r>
    <x v="2"/>
    <x v="0"/>
    <x v="1"/>
    <n v="622"/>
    <n v="475"/>
    <n v="147"/>
    <m/>
    <m/>
  </r>
  <r>
    <x v="2"/>
    <x v="0"/>
    <x v="3"/>
    <n v="113"/>
    <n v="20"/>
    <n v="93"/>
    <m/>
    <m/>
  </r>
  <r>
    <x v="2"/>
    <x v="0"/>
    <x v="6"/>
    <n v="14"/>
    <n v="7"/>
    <n v="7"/>
    <m/>
    <m/>
  </r>
  <r>
    <x v="2"/>
    <x v="0"/>
    <x v="11"/>
    <n v="1"/>
    <n v="1"/>
    <n v="0"/>
    <m/>
    <m/>
  </r>
  <r>
    <x v="2"/>
    <x v="0"/>
    <x v="7"/>
    <n v="3"/>
    <n v="2"/>
    <n v="1"/>
    <m/>
    <m/>
  </r>
  <r>
    <x v="2"/>
    <x v="0"/>
    <x v="13"/>
    <n v="2"/>
    <n v="2"/>
    <n v="0"/>
    <m/>
    <m/>
  </r>
  <r>
    <x v="2"/>
    <x v="1"/>
    <x v="2"/>
    <n v="1884"/>
    <m/>
    <m/>
    <n v="14"/>
    <n v="1870"/>
  </r>
  <r>
    <x v="2"/>
    <x v="1"/>
    <x v="6"/>
    <n v="39"/>
    <m/>
    <m/>
    <n v="1"/>
    <n v="38"/>
  </r>
  <r>
    <x v="2"/>
    <x v="1"/>
    <x v="3"/>
    <n v="374"/>
    <m/>
    <m/>
    <n v="12"/>
    <n v="362"/>
  </r>
  <r>
    <x v="2"/>
    <x v="1"/>
    <x v="1"/>
    <n v="112"/>
    <m/>
    <m/>
    <n v="1"/>
    <n v="111"/>
  </r>
  <r>
    <x v="2"/>
    <x v="1"/>
    <x v="5"/>
    <n v="3"/>
    <m/>
    <m/>
    <n v="3"/>
    <n v="0"/>
  </r>
  <r>
    <x v="2"/>
    <x v="1"/>
    <x v="0"/>
    <n v="620"/>
    <m/>
    <m/>
    <n v="391"/>
    <n v="229"/>
  </r>
  <r>
    <x v="2"/>
    <x v="1"/>
    <x v="7"/>
    <n v="4"/>
    <m/>
    <m/>
    <n v="0"/>
    <n v="4"/>
  </r>
  <r>
    <x v="2"/>
    <x v="1"/>
    <x v="8"/>
    <n v="12"/>
    <m/>
    <m/>
    <n v="0"/>
    <n v="12"/>
  </r>
  <r>
    <x v="3"/>
    <x v="0"/>
    <x v="0"/>
    <n v="199"/>
    <n v="159"/>
    <n v="40"/>
    <m/>
    <m/>
  </r>
  <r>
    <x v="3"/>
    <x v="0"/>
    <x v="8"/>
    <n v="2"/>
    <n v="1"/>
    <n v="1"/>
    <m/>
    <m/>
  </r>
  <r>
    <x v="3"/>
    <x v="0"/>
    <x v="1"/>
    <n v="42"/>
    <n v="30"/>
    <n v="12"/>
    <m/>
    <m/>
  </r>
  <r>
    <x v="3"/>
    <x v="0"/>
    <x v="2"/>
    <n v="138"/>
    <n v="50"/>
    <n v="88"/>
    <m/>
    <m/>
  </r>
  <r>
    <x v="3"/>
    <x v="0"/>
    <x v="3"/>
    <n v="15"/>
    <n v="6"/>
    <n v="9"/>
    <m/>
    <m/>
  </r>
  <r>
    <x v="3"/>
    <x v="0"/>
    <x v="5"/>
    <n v="20"/>
    <n v="20"/>
    <n v="0"/>
    <m/>
    <m/>
  </r>
  <r>
    <x v="3"/>
    <x v="0"/>
    <x v="10"/>
    <n v="1"/>
    <n v="1"/>
    <n v="0"/>
    <m/>
    <m/>
  </r>
  <r>
    <x v="3"/>
    <x v="0"/>
    <x v="6"/>
    <n v="4"/>
    <n v="1"/>
    <n v="3"/>
    <m/>
    <m/>
  </r>
  <r>
    <x v="3"/>
    <x v="0"/>
    <x v="7"/>
    <n v="3"/>
    <n v="2"/>
    <n v="1"/>
    <m/>
    <m/>
  </r>
  <r>
    <x v="3"/>
    <x v="0"/>
    <x v="9"/>
    <n v="2"/>
    <n v="2"/>
    <n v="0"/>
    <m/>
    <m/>
  </r>
  <r>
    <x v="3"/>
    <x v="1"/>
    <x v="0"/>
    <n v="205"/>
    <m/>
    <m/>
    <n v="154"/>
    <n v="51"/>
  </r>
  <r>
    <x v="3"/>
    <x v="1"/>
    <x v="3"/>
    <n v="84"/>
    <m/>
    <m/>
    <n v="2"/>
    <n v="82"/>
  </r>
  <r>
    <x v="3"/>
    <x v="1"/>
    <x v="2"/>
    <n v="235"/>
    <m/>
    <m/>
    <n v="7"/>
    <n v="228"/>
  </r>
  <r>
    <x v="3"/>
    <x v="1"/>
    <x v="11"/>
    <n v="7"/>
    <m/>
    <m/>
    <n v="0"/>
    <n v="7"/>
  </r>
  <r>
    <x v="3"/>
    <x v="1"/>
    <x v="10"/>
    <n v="2"/>
    <m/>
    <m/>
    <n v="1"/>
    <n v="1"/>
  </r>
  <r>
    <x v="3"/>
    <x v="1"/>
    <x v="5"/>
    <n v="10"/>
    <m/>
    <m/>
    <n v="8"/>
    <n v="2"/>
  </r>
  <r>
    <x v="3"/>
    <x v="1"/>
    <x v="6"/>
    <n v="10"/>
    <m/>
    <m/>
    <n v="0"/>
    <n v="10"/>
  </r>
  <r>
    <x v="3"/>
    <x v="1"/>
    <x v="12"/>
    <n v="4"/>
    <m/>
    <m/>
    <n v="0"/>
    <n v="4"/>
  </r>
  <r>
    <x v="3"/>
    <x v="1"/>
    <x v="1"/>
    <n v="6"/>
    <m/>
    <m/>
    <n v="0"/>
    <n v="6"/>
  </r>
  <r>
    <x v="3"/>
    <x v="1"/>
    <x v="8"/>
    <n v="3"/>
    <m/>
    <m/>
    <n v="1"/>
    <n v="2"/>
  </r>
  <r>
    <x v="3"/>
    <x v="1"/>
    <x v="9"/>
    <n v="3"/>
    <m/>
    <m/>
    <n v="3"/>
    <n v="0"/>
  </r>
  <r>
    <x v="3"/>
    <x v="1"/>
    <x v="7"/>
    <n v="7"/>
    <m/>
    <m/>
    <n v="2"/>
    <n v="5"/>
  </r>
  <r>
    <x v="4"/>
    <x v="0"/>
    <x v="11"/>
    <n v="1"/>
    <n v="1"/>
    <n v="0"/>
    <m/>
    <m/>
  </r>
  <r>
    <x v="4"/>
    <x v="0"/>
    <x v="2"/>
    <n v="217"/>
    <n v="159"/>
    <n v="58"/>
    <m/>
    <m/>
  </r>
  <r>
    <x v="4"/>
    <x v="0"/>
    <x v="1"/>
    <n v="19"/>
    <n v="14"/>
    <n v="5"/>
    <m/>
    <m/>
  </r>
  <r>
    <x v="4"/>
    <x v="0"/>
    <x v="0"/>
    <n v="300"/>
    <n v="288"/>
    <n v="12"/>
    <m/>
    <m/>
  </r>
  <r>
    <x v="4"/>
    <x v="0"/>
    <x v="6"/>
    <n v="6"/>
    <n v="4"/>
    <n v="2"/>
    <m/>
    <m/>
  </r>
  <r>
    <x v="4"/>
    <x v="0"/>
    <x v="5"/>
    <n v="8"/>
    <n v="8"/>
    <n v="0"/>
    <m/>
    <m/>
  </r>
  <r>
    <x v="4"/>
    <x v="0"/>
    <x v="3"/>
    <n v="24"/>
    <n v="6"/>
    <n v="18"/>
    <m/>
    <m/>
  </r>
  <r>
    <x v="4"/>
    <x v="0"/>
    <x v="9"/>
    <n v="3"/>
    <n v="1"/>
    <n v="2"/>
    <m/>
    <m/>
  </r>
  <r>
    <x v="4"/>
    <x v="0"/>
    <x v="4"/>
    <n v="1"/>
    <n v="1"/>
    <n v="0"/>
    <m/>
    <m/>
  </r>
  <r>
    <x v="4"/>
    <x v="1"/>
    <x v="2"/>
    <n v="376"/>
    <m/>
    <m/>
    <n v="8"/>
    <n v="368"/>
  </r>
  <r>
    <x v="4"/>
    <x v="1"/>
    <x v="0"/>
    <n v="192"/>
    <m/>
    <m/>
    <n v="124"/>
    <n v="68"/>
  </r>
  <r>
    <x v="4"/>
    <x v="1"/>
    <x v="3"/>
    <n v="125"/>
    <m/>
    <m/>
    <n v="2"/>
    <n v="123"/>
  </r>
  <r>
    <x v="4"/>
    <x v="1"/>
    <x v="6"/>
    <n v="10"/>
    <m/>
    <m/>
    <n v="0"/>
    <n v="10"/>
  </r>
  <r>
    <x v="4"/>
    <x v="1"/>
    <x v="12"/>
    <n v="1"/>
    <m/>
    <m/>
    <n v="0"/>
    <n v="1"/>
  </r>
  <r>
    <x v="4"/>
    <x v="1"/>
    <x v="7"/>
    <n v="6"/>
    <m/>
    <m/>
    <n v="2"/>
    <n v="4"/>
  </r>
  <r>
    <x v="4"/>
    <x v="1"/>
    <x v="5"/>
    <n v="1"/>
    <m/>
    <m/>
    <n v="1"/>
    <n v="0"/>
  </r>
  <r>
    <x v="4"/>
    <x v="1"/>
    <x v="1"/>
    <n v="5"/>
    <m/>
    <m/>
    <n v="0"/>
    <n v="5"/>
  </r>
  <r>
    <x v="4"/>
    <x v="1"/>
    <x v="8"/>
    <n v="2"/>
    <m/>
    <m/>
    <n v="0"/>
    <n v="2"/>
  </r>
  <r>
    <x v="4"/>
    <x v="1"/>
    <x v="9"/>
    <n v="4"/>
    <m/>
    <m/>
    <n v="3"/>
    <n v="1"/>
  </r>
  <r>
    <x v="5"/>
    <x v="0"/>
    <x v="11"/>
    <n v="1"/>
    <n v="1"/>
    <n v="0"/>
    <m/>
    <m/>
  </r>
  <r>
    <x v="5"/>
    <x v="0"/>
    <x v="2"/>
    <n v="150"/>
    <n v="116"/>
    <n v="34"/>
    <m/>
    <m/>
  </r>
  <r>
    <x v="5"/>
    <x v="0"/>
    <x v="1"/>
    <n v="7"/>
    <n v="6"/>
    <n v="1"/>
    <m/>
    <m/>
  </r>
  <r>
    <x v="5"/>
    <x v="0"/>
    <x v="0"/>
    <n v="177"/>
    <n v="167"/>
    <n v="10"/>
    <m/>
    <m/>
  </r>
  <r>
    <x v="5"/>
    <x v="0"/>
    <x v="6"/>
    <n v="4"/>
    <n v="4"/>
    <n v="0"/>
    <m/>
    <m/>
  </r>
  <r>
    <x v="5"/>
    <x v="0"/>
    <x v="5"/>
    <n v="4"/>
    <n v="4"/>
    <n v="0"/>
    <m/>
    <m/>
  </r>
  <r>
    <x v="5"/>
    <x v="0"/>
    <x v="3"/>
    <n v="12"/>
    <n v="3"/>
    <n v="9"/>
    <m/>
    <m/>
  </r>
  <r>
    <x v="5"/>
    <x v="0"/>
    <x v="9"/>
    <n v="3"/>
    <n v="1"/>
    <n v="2"/>
    <m/>
    <m/>
  </r>
  <r>
    <x v="5"/>
    <x v="1"/>
    <x v="2"/>
    <n v="208"/>
    <m/>
    <m/>
    <n v="3"/>
    <n v="205"/>
  </r>
  <r>
    <x v="5"/>
    <x v="1"/>
    <x v="0"/>
    <n v="108"/>
    <m/>
    <m/>
    <n v="64"/>
    <n v="44"/>
  </r>
  <r>
    <x v="5"/>
    <x v="1"/>
    <x v="3"/>
    <n v="71"/>
    <m/>
    <m/>
    <n v="0"/>
    <n v="71"/>
  </r>
  <r>
    <x v="5"/>
    <x v="1"/>
    <x v="6"/>
    <n v="7"/>
    <m/>
    <m/>
    <n v="0"/>
    <n v="7"/>
  </r>
  <r>
    <x v="5"/>
    <x v="1"/>
    <x v="12"/>
    <n v="1"/>
    <m/>
    <m/>
    <n v="0"/>
    <n v="1"/>
  </r>
  <r>
    <x v="5"/>
    <x v="1"/>
    <x v="7"/>
    <n v="2"/>
    <m/>
    <m/>
    <n v="1"/>
    <n v="1"/>
  </r>
  <r>
    <x v="5"/>
    <x v="1"/>
    <x v="1"/>
    <n v="4"/>
    <m/>
    <m/>
    <n v="0"/>
    <n v="4"/>
  </r>
  <r>
    <x v="5"/>
    <x v="1"/>
    <x v="9"/>
    <n v="1"/>
    <m/>
    <m/>
    <n v="1"/>
    <n v="0"/>
  </r>
  <r>
    <x v="5"/>
    <x v="1"/>
    <x v="8"/>
    <n v="1"/>
    <m/>
    <m/>
    <n v="0"/>
    <n v="1"/>
  </r>
  <r>
    <x v="6"/>
    <x v="0"/>
    <x v="2"/>
    <n v="520"/>
    <n v="346"/>
    <n v="174"/>
    <m/>
    <m/>
  </r>
  <r>
    <x v="6"/>
    <x v="0"/>
    <x v="1"/>
    <n v="9"/>
    <n v="8"/>
    <n v="1"/>
    <m/>
    <m/>
  </r>
  <r>
    <x v="6"/>
    <x v="0"/>
    <x v="0"/>
    <n v="363"/>
    <n v="355"/>
    <n v="8"/>
    <m/>
    <m/>
  </r>
  <r>
    <x v="6"/>
    <x v="0"/>
    <x v="3"/>
    <n v="46"/>
    <n v="11"/>
    <n v="35"/>
    <m/>
    <m/>
  </r>
  <r>
    <x v="6"/>
    <x v="0"/>
    <x v="6"/>
    <n v="7"/>
    <n v="5"/>
    <n v="2"/>
    <m/>
    <m/>
  </r>
  <r>
    <x v="6"/>
    <x v="0"/>
    <x v="8"/>
    <n v="1"/>
    <n v="1"/>
    <n v="0"/>
    <m/>
    <m/>
  </r>
  <r>
    <x v="6"/>
    <x v="1"/>
    <x v="2"/>
    <n v="711"/>
    <m/>
    <m/>
    <n v="5"/>
    <n v="706"/>
  </r>
  <r>
    <x v="6"/>
    <x v="1"/>
    <x v="3"/>
    <n v="179"/>
    <m/>
    <m/>
    <n v="1"/>
    <n v="178"/>
  </r>
  <r>
    <x v="6"/>
    <x v="1"/>
    <x v="0"/>
    <n v="183"/>
    <m/>
    <m/>
    <n v="120"/>
    <n v="63"/>
  </r>
  <r>
    <x v="6"/>
    <x v="1"/>
    <x v="12"/>
    <n v="3"/>
    <m/>
    <m/>
    <n v="0"/>
    <n v="3"/>
  </r>
  <r>
    <x v="6"/>
    <x v="1"/>
    <x v="6"/>
    <n v="11"/>
    <m/>
    <m/>
    <n v="0"/>
    <n v="11"/>
  </r>
  <r>
    <x v="6"/>
    <x v="1"/>
    <x v="8"/>
    <n v="1"/>
    <m/>
    <m/>
    <n v="0"/>
    <n v="1"/>
  </r>
  <r>
    <x v="6"/>
    <x v="1"/>
    <x v="1"/>
    <n v="3"/>
    <m/>
    <m/>
    <n v="0"/>
    <n v="3"/>
  </r>
  <r>
    <x v="7"/>
    <x v="2"/>
    <x v="1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4B126-E27C-DB49-848B-25FBE6A608F1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12" firstHeaderRow="1" firstDataRow="2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14">
        <item x="10"/>
        <item x="8"/>
        <item x="11"/>
        <item x="5"/>
        <item x="12"/>
        <item x="6"/>
        <item x="0"/>
        <item x="1"/>
        <item x="2"/>
        <item x="7"/>
        <item x="3"/>
        <item x="4"/>
        <item x="9"/>
        <item t="default"/>
      </items>
    </pivotField>
    <pivotField axis="axisCol" showAll="0">
      <items count="27">
        <item h="1" x="6"/>
        <item h="1" x="7"/>
        <item h="1" x="8"/>
        <item h="1" x="21"/>
        <item h="1" x="15"/>
        <item x="0"/>
        <item h="1" x="19"/>
        <item h="1" x="16"/>
        <item h="1" x="12"/>
        <item h="1" x="9"/>
        <item x="13"/>
        <item x="1"/>
        <item x="2"/>
        <item x="14"/>
        <item h="1" x="24"/>
        <item h="1" x="17"/>
        <item x="18"/>
        <item h="1" x="20"/>
        <item h="1" x="10"/>
        <item h="1" x="4"/>
        <item h="1" x="11"/>
        <item h="1" x="23"/>
        <item h="1" x="25"/>
        <item h="1" x="5"/>
        <item x="3"/>
        <item h="1" x="2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8">
    <i>
      <x v="5"/>
    </i>
    <i>
      <x v="10"/>
    </i>
    <i>
      <x v="11"/>
    </i>
    <i>
      <x v="12"/>
    </i>
    <i>
      <x v="13"/>
    </i>
    <i>
      <x v="16"/>
    </i>
    <i>
      <x v="24"/>
    </i>
    <i t="grand">
      <x/>
    </i>
  </colItems>
  <dataFields count="1">
    <dataField name="Somma di 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43576-5882-1346-89B7-31FCA4C5FFDD}" name="Tabella pivot2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J12" firstHeaderRow="1" firstDataRow="2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showAll="0">
      <items count="62">
        <item h="1" x="8"/>
        <item h="1" x="9"/>
        <item h="1" x="10"/>
        <item h="1" x="33"/>
        <item h="1" x="27"/>
        <item h="1" x="28"/>
        <item h="1" x="29"/>
        <item h="1" x="30"/>
        <item h="1" x="31"/>
        <item h="1" x="32"/>
        <item h="1" x="54"/>
        <item h="1" x="18"/>
        <item h="1" x="48"/>
        <item h="1" x="2"/>
        <item h="1" x="46"/>
        <item x="19"/>
        <item x="20"/>
        <item h="1" x="55"/>
        <item h="1" x="0"/>
        <item h="1" x="14"/>
        <item h="1" x="51"/>
        <item h="1" x="11"/>
        <item h="1" x="34"/>
        <item h="1" x="35"/>
        <item h="1" x="15"/>
        <item x="21"/>
        <item h="1" x="3"/>
        <item x="22"/>
        <item h="1" x="36"/>
        <item h="1" x="4"/>
        <item h="1" x="47"/>
        <item x="23"/>
        <item h="1" x="16"/>
        <item x="24"/>
        <item h="1" x="58"/>
        <item h="1" x="1"/>
        <item h="1" x="17"/>
        <item x="25"/>
        <item h="1" x="53"/>
        <item h="1" x="37"/>
        <item h="1" x="38"/>
        <item h="1" x="39"/>
        <item h="1" x="12"/>
        <item h="1" x="6"/>
        <item h="1" x="13"/>
        <item h="1" x="40"/>
        <item x="26"/>
        <item h="1" x="57"/>
        <item h="1" x="59"/>
        <item h="1" x="49"/>
        <item h="1" x="60"/>
        <item h="1" x="50"/>
        <item h="1" x="7"/>
        <item h="1" x="52"/>
        <item h="1" x="41"/>
        <item h="1" x="42"/>
        <item h="1" x="5"/>
        <item h="1" x="43"/>
        <item h="1" x="44"/>
        <item h="1" x="45"/>
        <item h="1" x="5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9">
    <i>
      <x v="15"/>
    </i>
    <i>
      <x v="16"/>
    </i>
    <i>
      <x v="25"/>
    </i>
    <i>
      <x v="27"/>
    </i>
    <i>
      <x v="31"/>
    </i>
    <i>
      <x v="33"/>
    </i>
    <i>
      <x v="37"/>
    </i>
    <i>
      <x v="46"/>
    </i>
    <i t="grand">
      <x/>
    </i>
  </colItems>
  <dataFields count="1">
    <dataField name="Somma di 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8017B-CC9E-9648-AEB2-314D8E084D15}" name="Tabella pivot3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E13" firstHeaderRow="1" firstDataRow="3" firstDataCol="1"/>
  <pivotFields count="8">
    <pivotField axis="axisRow" showAll="0">
      <items count="9">
        <item x="2"/>
        <item h="1" x="3"/>
        <item x="1"/>
        <item x="6"/>
        <item x="4"/>
        <item x="0"/>
        <item x="5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Col" showAll="0">
      <items count="16">
        <item x="6"/>
        <item x="7"/>
        <item x="12"/>
        <item x="4"/>
        <item x="9"/>
        <item x="10"/>
        <item x="2"/>
        <item x="8"/>
        <item x="0"/>
        <item x="1"/>
        <item x="5"/>
        <item x="13"/>
        <item x="3"/>
        <item x="11"/>
        <item x="1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"/>
    <field x="2"/>
  </colFields>
  <colItems count="30">
    <i>
      <x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t="default">
      <x/>
    </i>
    <i>
      <x v="1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 v="14"/>
    </i>
    <i t="default">
      <x v="2"/>
    </i>
    <i t="grand">
      <x/>
    </i>
  </colItems>
  <dataFields count="1">
    <dataField name="Somma di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EEE21-A231-C04D-9895-1416EE76C5DA}" name="Tabella pivot4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F20" firstHeaderRow="0" firstDataRow="1" firstDataCol="1"/>
  <pivotFields count="8">
    <pivotField axis="axisRow" showAll="0">
      <items count="9">
        <item x="2"/>
        <item x="3"/>
        <item x="1"/>
        <item x="6"/>
        <item x="4"/>
        <item x="0"/>
        <item x="5"/>
        <item x="7"/>
        <item t="default"/>
      </items>
    </pivotField>
    <pivotField showAll="0"/>
    <pivotField axis="axisRow" showAll="0">
      <items count="16">
        <item h="1" x="6"/>
        <item h="1" x="7"/>
        <item h="1" x="12"/>
        <item h="1" x="4"/>
        <item h="1" x="9"/>
        <item h="1" x="10"/>
        <item x="2"/>
        <item h="1" x="8"/>
        <item x="0"/>
        <item h="1" x="1"/>
        <item h="1" x="5"/>
        <item h="1" x="13"/>
        <item h="1" x="3"/>
        <item h="1" x="11"/>
        <item h="1" x="1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2">
    <field x="2"/>
    <field x="0"/>
  </rowFields>
  <rowItems count="17"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a di VO" fld="7" baseField="0" baseItem="0"/>
    <dataField name="Somma di OV" fld="6" baseField="0" baseItem="0"/>
    <dataField name="Somma di VS" fld="5" baseField="0" baseItem="0"/>
    <dataField name="Somma di SV" fld="4" baseField="0" baseItem="0"/>
    <dataField name="Somma di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7D6A7-19CE-B44F-AF8E-D5F4397A576E}" name="Tabella1" displayName="Tabella1" ref="A1:E277" totalsRowShown="0">
  <tableColumns count="5">
    <tableColumn id="1" xr3:uid="{4C4D1567-2611-604D-A8C8-321C634A0CD3}" name="corpus"/>
    <tableColumn id="2" xr3:uid="{2AAFFFEE-1106-594C-9EC0-1DEFEBBCB603}" name="pos"/>
    <tableColumn id="3" xr3:uid="{62D74F85-675A-8D46-999E-EA6C63081AC0}" name="feat"/>
    <tableColumn id="4" xr3:uid="{E381D2A7-FD03-4F4C-AA59-6EC39DA8DE83}" name="value"/>
    <tableColumn id="5" xr3:uid="{4BB25F2B-62F6-1142-B2EA-66EC729CC7CD}" name="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2F356-D850-1746-AB16-6D71965A8CC1}" name="Tabella2" displayName="Tabella2" ref="A1:E460" totalsRowShown="0">
  <autoFilter ref="A1:E460" xr:uid="{BC32F356-D850-1746-AB16-6D71965A8CC1}"/>
  <tableColumns count="5">
    <tableColumn id="1" xr3:uid="{5361C1BA-A3C0-804D-94F1-F9DAEB5C6069}" name="corpus"/>
    <tableColumn id="2" xr3:uid="{974069AC-02FA-FE47-A2E9-72987B790AAC}" name="pos"/>
    <tableColumn id="3" xr3:uid="{BE822DCA-6452-C74C-8AB1-B44A5B622B62}" name="feat"/>
    <tableColumn id="4" xr3:uid="{30C73391-E2AE-CD4F-B16F-7B75CDAC9BC1}" name="value"/>
    <tableColumn id="5" xr3:uid="{CCCC2582-69A4-9A44-824C-A8E59CC301B7}" name="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6889A4-BD60-6541-842E-0522E6D6F70C}" name="Tabella4" displayName="Tabella4" ref="J1:M1730" totalsRowShown="0">
  <autoFilter ref="J1:M1730" xr:uid="{256889A4-BD60-6541-842E-0522E6D6F70C}"/>
  <tableColumns count="4">
    <tableColumn id="1" xr3:uid="{D63A811B-8901-C543-97FF-55844C1F1E11}" name="Colonna1"/>
    <tableColumn id="2" xr3:uid="{95BAF0E1-D5D0-6D41-BC2F-A497D989A12A}" name="Colonna2"/>
    <tableColumn id="3" xr3:uid="{299F8D17-A180-2B4E-BF42-D2E93E5AD389}" name="Colonna3"/>
    <tableColumn id="4" xr3:uid="{4DFBF8F6-8AB5-034F-B3D7-FB3EF3B2183B}" name="Colonna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8431B6-AF31-3241-B27F-15C05861C162}" name="Tabella3" displayName="Tabella3" ref="A1:H130" totalsRowShown="0">
  <autoFilter ref="A1:H130" xr:uid="{438431B6-AF31-3241-B27F-15C05861C162}"/>
  <tableColumns count="8">
    <tableColumn id="1" xr3:uid="{460DFDA2-7B99-044B-A737-0D7FE300E3CB}" name="corpus"/>
    <tableColumn id="2" xr3:uid="{DC353B1F-1DE6-BB40-9B8F-3790F0C6EB8B}" name="tipo"/>
    <tableColumn id="3" xr3:uid="{42ABDFF2-336D-8F4C-877A-39CC15B86F4D}" name="POS"/>
    <tableColumn id="4" xr3:uid="{65DE28B6-FCE2-1842-99AE-43EE30A5C933}" name="total"/>
    <tableColumn id="5" xr3:uid="{6FC92E27-3C9D-3A4E-952A-803E47249CFF}" name="SV"/>
    <tableColumn id="6" xr3:uid="{DCAA9B70-57E4-6345-A074-B53961621DCB}" name="VS"/>
    <tableColumn id="7" xr3:uid="{B739AB17-9748-BD46-81F5-AD39694056C5}" name="OV"/>
    <tableColumn id="8" xr3:uid="{F41D7023-B951-5841-B328-D56C5E93CFD9}" name="V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DDAA-53B1-9545-A5B1-DC834C25804A}">
  <sheetPr filterMode="1"/>
  <dimension ref="A1:DO2385"/>
  <sheetViews>
    <sheetView workbookViewId="0">
      <selection activeCell="E1" sqref="E1:E1048576"/>
    </sheetView>
  </sheetViews>
  <sheetFormatPr baseColWidth="10" defaultRowHeight="16" x14ac:dyDescent="0.2"/>
  <sheetData>
    <row r="1" spans="1:1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hidden="1" x14ac:dyDescent="0.2">
      <c r="A2" t="s">
        <v>119</v>
      </c>
      <c r="B2" t="s">
        <v>120</v>
      </c>
      <c r="C2" t="s">
        <v>121</v>
      </c>
      <c r="D2">
        <v>2</v>
      </c>
      <c r="E2" t="s">
        <v>122</v>
      </c>
      <c r="F2" t="s">
        <v>123</v>
      </c>
      <c r="G2" t="s">
        <v>124</v>
      </c>
      <c r="H2" t="s">
        <v>125</v>
      </c>
      <c r="I2">
        <v>0</v>
      </c>
      <c r="J2" t="s">
        <v>126</v>
      </c>
      <c r="K2" t="s">
        <v>125</v>
      </c>
      <c r="L2" t="s">
        <v>127</v>
      </c>
      <c r="AE2" t="s">
        <v>128</v>
      </c>
      <c r="AG2">
        <v>1</v>
      </c>
      <c r="AH2" t="s">
        <v>129</v>
      </c>
      <c r="AI2" t="s">
        <v>130</v>
      </c>
      <c r="AJ2" t="s">
        <v>131</v>
      </c>
      <c r="AK2" t="s">
        <v>125</v>
      </c>
      <c r="AL2">
        <v>2</v>
      </c>
      <c r="AM2" t="s">
        <v>132</v>
      </c>
      <c r="AN2" t="s">
        <v>125</v>
      </c>
      <c r="AO2" t="s">
        <v>133</v>
      </c>
      <c r="BP2" t="s">
        <v>134</v>
      </c>
      <c r="BR2" t="s">
        <v>135</v>
      </c>
      <c r="BS2">
        <v>2</v>
      </c>
      <c r="BX2" t="s">
        <v>136</v>
      </c>
      <c r="BZ2" t="s">
        <v>137</v>
      </c>
    </row>
    <row r="3" spans="1:119" hidden="1" x14ac:dyDescent="0.2">
      <c r="A3" t="s">
        <v>119</v>
      </c>
      <c r="B3" t="s">
        <v>120</v>
      </c>
      <c r="C3" t="s">
        <v>138</v>
      </c>
      <c r="D3">
        <v>3</v>
      </c>
      <c r="E3" t="s">
        <v>139</v>
      </c>
      <c r="F3" t="s">
        <v>140</v>
      </c>
      <c r="G3" t="s">
        <v>124</v>
      </c>
      <c r="H3" t="s">
        <v>125</v>
      </c>
      <c r="I3">
        <v>0</v>
      </c>
      <c r="J3" t="s">
        <v>126</v>
      </c>
      <c r="K3" t="s">
        <v>125</v>
      </c>
      <c r="L3" t="s">
        <v>141</v>
      </c>
      <c r="T3" t="s">
        <v>142</v>
      </c>
      <c r="W3" t="s">
        <v>135</v>
      </c>
      <c r="AC3" t="s">
        <v>143</v>
      </c>
      <c r="AE3" t="s">
        <v>144</v>
      </c>
      <c r="AG3">
        <v>2</v>
      </c>
      <c r="AH3" t="s">
        <v>145</v>
      </c>
      <c r="AI3" t="s">
        <v>146</v>
      </c>
      <c r="AJ3" t="s">
        <v>131</v>
      </c>
      <c r="AK3" t="s">
        <v>125</v>
      </c>
      <c r="AL3">
        <v>3</v>
      </c>
      <c r="AM3" t="s">
        <v>147</v>
      </c>
      <c r="AN3" t="s">
        <v>125</v>
      </c>
      <c r="AO3" t="s">
        <v>148</v>
      </c>
      <c r="BP3" t="s">
        <v>149</v>
      </c>
      <c r="BR3" t="s">
        <v>135</v>
      </c>
      <c r="BS3">
        <v>3</v>
      </c>
      <c r="BX3" t="s">
        <v>136</v>
      </c>
      <c r="BZ3" t="s">
        <v>137</v>
      </c>
    </row>
    <row r="4" spans="1:119" hidden="1" x14ac:dyDescent="0.2">
      <c r="A4" t="s">
        <v>119</v>
      </c>
      <c r="B4" t="s">
        <v>120</v>
      </c>
      <c r="C4" t="s">
        <v>150</v>
      </c>
      <c r="D4">
        <v>3</v>
      </c>
      <c r="E4" t="s">
        <v>151</v>
      </c>
      <c r="F4" t="s">
        <v>152</v>
      </c>
      <c r="G4" t="s">
        <v>124</v>
      </c>
      <c r="H4" t="s">
        <v>125</v>
      </c>
      <c r="I4">
        <v>0</v>
      </c>
      <c r="J4" t="s">
        <v>126</v>
      </c>
      <c r="K4" t="s">
        <v>125</v>
      </c>
      <c r="L4" t="s">
        <v>153</v>
      </c>
      <c r="T4" t="s">
        <v>154</v>
      </c>
      <c r="W4" t="s">
        <v>155</v>
      </c>
    </row>
    <row r="5" spans="1:119" x14ac:dyDescent="0.2">
      <c r="A5" t="s">
        <v>119</v>
      </c>
      <c r="B5" t="s">
        <v>120</v>
      </c>
      <c r="C5" t="s">
        <v>156</v>
      </c>
      <c r="D5">
        <v>2</v>
      </c>
      <c r="E5" t="s">
        <v>157</v>
      </c>
      <c r="F5" t="s">
        <v>158</v>
      </c>
      <c r="G5" t="s">
        <v>124</v>
      </c>
      <c r="H5" t="s">
        <v>125</v>
      </c>
      <c r="I5">
        <v>0</v>
      </c>
      <c r="J5" t="s">
        <v>126</v>
      </c>
      <c r="K5" t="s">
        <v>125</v>
      </c>
      <c r="L5" t="s">
        <v>159</v>
      </c>
      <c r="U5" t="s">
        <v>149</v>
      </c>
      <c r="W5" t="s">
        <v>155</v>
      </c>
      <c r="X5">
        <v>1</v>
      </c>
      <c r="AC5" t="s">
        <v>136</v>
      </c>
      <c r="AE5" t="s">
        <v>137</v>
      </c>
    </row>
    <row r="6" spans="1:119" x14ac:dyDescent="0.2">
      <c r="A6" t="s">
        <v>119</v>
      </c>
      <c r="B6" t="s">
        <v>120</v>
      </c>
      <c r="C6" t="s">
        <v>156</v>
      </c>
      <c r="D6">
        <v>32</v>
      </c>
      <c r="E6" t="s">
        <v>160</v>
      </c>
      <c r="F6" t="s">
        <v>146</v>
      </c>
      <c r="G6" t="s">
        <v>124</v>
      </c>
      <c r="H6" t="s">
        <v>125</v>
      </c>
      <c r="I6">
        <v>2</v>
      </c>
      <c r="J6" t="s">
        <v>161</v>
      </c>
      <c r="K6" t="s">
        <v>125</v>
      </c>
      <c r="L6" t="s">
        <v>162</v>
      </c>
      <c r="U6" t="s">
        <v>149</v>
      </c>
      <c r="W6" t="s">
        <v>155</v>
      </c>
      <c r="X6">
        <v>3</v>
      </c>
      <c r="AC6" t="s">
        <v>136</v>
      </c>
      <c r="AE6" t="s">
        <v>137</v>
      </c>
    </row>
    <row r="7" spans="1:119" hidden="1" x14ac:dyDescent="0.2">
      <c r="A7" t="s">
        <v>119</v>
      </c>
      <c r="B7" t="s">
        <v>120</v>
      </c>
      <c r="C7" t="s">
        <v>163</v>
      </c>
      <c r="D7">
        <v>4</v>
      </c>
      <c r="E7" t="s">
        <v>139</v>
      </c>
      <c r="F7" t="s">
        <v>140</v>
      </c>
      <c r="G7" t="s">
        <v>124</v>
      </c>
      <c r="H7" t="s">
        <v>125</v>
      </c>
      <c r="I7">
        <v>0</v>
      </c>
      <c r="J7" t="s">
        <v>126</v>
      </c>
      <c r="K7" t="s">
        <v>125</v>
      </c>
      <c r="L7" t="s">
        <v>164</v>
      </c>
      <c r="T7" t="s">
        <v>142</v>
      </c>
      <c r="W7" t="s">
        <v>135</v>
      </c>
      <c r="AC7" t="s">
        <v>143</v>
      </c>
      <c r="AE7" t="s">
        <v>144</v>
      </c>
      <c r="AG7">
        <v>3</v>
      </c>
      <c r="AH7" t="s">
        <v>145</v>
      </c>
      <c r="AI7" t="s">
        <v>146</v>
      </c>
      <c r="AJ7" t="s">
        <v>131</v>
      </c>
      <c r="AK7" t="s">
        <v>125</v>
      </c>
      <c r="AL7">
        <v>4</v>
      </c>
      <c r="AM7" t="s">
        <v>147</v>
      </c>
      <c r="AN7" t="s">
        <v>125</v>
      </c>
      <c r="AO7" t="s">
        <v>165</v>
      </c>
      <c r="BP7" t="s">
        <v>149</v>
      </c>
      <c r="BR7" t="s">
        <v>135</v>
      </c>
      <c r="BS7">
        <v>3</v>
      </c>
      <c r="BX7" t="s">
        <v>136</v>
      </c>
      <c r="BZ7" t="s">
        <v>137</v>
      </c>
    </row>
    <row r="8" spans="1:119" x14ac:dyDescent="0.2">
      <c r="A8" t="s">
        <v>119</v>
      </c>
      <c r="B8" t="s">
        <v>120</v>
      </c>
      <c r="C8" t="s">
        <v>166</v>
      </c>
      <c r="D8">
        <v>3</v>
      </c>
      <c r="E8" t="s">
        <v>160</v>
      </c>
      <c r="F8" t="s">
        <v>146</v>
      </c>
      <c r="G8" t="s">
        <v>124</v>
      </c>
      <c r="H8" t="s">
        <v>125</v>
      </c>
      <c r="I8">
        <v>0</v>
      </c>
      <c r="J8" t="s">
        <v>126</v>
      </c>
      <c r="K8" t="s">
        <v>125</v>
      </c>
      <c r="L8" t="s">
        <v>167</v>
      </c>
      <c r="U8" t="s">
        <v>149</v>
      </c>
      <c r="W8" t="s">
        <v>155</v>
      </c>
      <c r="X8">
        <v>3</v>
      </c>
      <c r="AC8" t="s">
        <v>136</v>
      </c>
      <c r="AE8" t="s">
        <v>137</v>
      </c>
    </row>
    <row r="9" spans="1:119" hidden="1" x14ac:dyDescent="0.2">
      <c r="A9" t="s">
        <v>119</v>
      </c>
      <c r="B9" t="s">
        <v>120</v>
      </c>
      <c r="C9" t="s">
        <v>166</v>
      </c>
      <c r="D9">
        <v>17</v>
      </c>
      <c r="E9" t="s">
        <v>168</v>
      </c>
      <c r="F9" t="s">
        <v>169</v>
      </c>
      <c r="G9" t="s">
        <v>124</v>
      </c>
      <c r="H9" t="s">
        <v>125</v>
      </c>
      <c r="I9">
        <v>12</v>
      </c>
      <c r="J9" t="s">
        <v>170</v>
      </c>
      <c r="K9" t="s">
        <v>125</v>
      </c>
      <c r="L9" t="s">
        <v>171</v>
      </c>
      <c r="T9" t="s">
        <v>142</v>
      </c>
      <c r="W9" t="s">
        <v>135</v>
      </c>
      <c r="AC9" t="s">
        <v>143</v>
      </c>
      <c r="AE9" t="s">
        <v>144</v>
      </c>
      <c r="AG9">
        <v>16</v>
      </c>
      <c r="AH9" t="s">
        <v>145</v>
      </c>
      <c r="AI9" t="s">
        <v>146</v>
      </c>
      <c r="AJ9" t="s">
        <v>131</v>
      </c>
      <c r="AK9" t="s">
        <v>125</v>
      </c>
      <c r="AL9">
        <v>17</v>
      </c>
      <c r="AM9" t="s">
        <v>147</v>
      </c>
      <c r="AN9" t="s">
        <v>125</v>
      </c>
      <c r="AO9" t="s">
        <v>172</v>
      </c>
      <c r="BP9" t="s">
        <v>149</v>
      </c>
      <c r="BR9" t="s">
        <v>135</v>
      </c>
      <c r="BS9">
        <v>3</v>
      </c>
      <c r="BX9" t="s">
        <v>136</v>
      </c>
      <c r="BZ9" t="s">
        <v>137</v>
      </c>
    </row>
    <row r="10" spans="1:119" hidden="1" x14ac:dyDescent="0.2">
      <c r="A10" t="s">
        <v>119</v>
      </c>
      <c r="B10" t="s">
        <v>120</v>
      </c>
      <c r="C10" t="s">
        <v>173</v>
      </c>
      <c r="D10">
        <v>2</v>
      </c>
      <c r="E10" t="s">
        <v>139</v>
      </c>
      <c r="F10" t="s">
        <v>140</v>
      </c>
      <c r="G10" t="s">
        <v>124</v>
      </c>
      <c r="H10" t="s">
        <v>125</v>
      </c>
      <c r="I10">
        <v>0</v>
      </c>
      <c r="J10" t="s">
        <v>126</v>
      </c>
      <c r="K10" t="s">
        <v>125</v>
      </c>
      <c r="L10" t="s">
        <v>174</v>
      </c>
      <c r="T10" t="s">
        <v>142</v>
      </c>
      <c r="W10" t="s">
        <v>135</v>
      </c>
      <c r="AC10" t="s">
        <v>143</v>
      </c>
      <c r="AE10" t="s">
        <v>144</v>
      </c>
      <c r="AG10">
        <v>1</v>
      </c>
      <c r="AH10" t="s">
        <v>145</v>
      </c>
      <c r="AI10" t="s">
        <v>146</v>
      </c>
      <c r="AJ10" t="s">
        <v>131</v>
      </c>
      <c r="AK10" t="s">
        <v>125</v>
      </c>
      <c r="AL10">
        <v>2</v>
      </c>
      <c r="AM10" t="s">
        <v>147</v>
      </c>
      <c r="AN10" t="s">
        <v>125</v>
      </c>
      <c r="AO10" t="s">
        <v>175</v>
      </c>
      <c r="BP10" t="s">
        <v>149</v>
      </c>
      <c r="BR10" t="s">
        <v>135</v>
      </c>
      <c r="BS10">
        <v>3</v>
      </c>
      <c r="BX10" t="s">
        <v>136</v>
      </c>
      <c r="BZ10" t="s">
        <v>137</v>
      </c>
    </row>
    <row r="11" spans="1:119" hidden="1" x14ac:dyDescent="0.2">
      <c r="A11" t="s">
        <v>119</v>
      </c>
      <c r="B11" t="s">
        <v>120</v>
      </c>
      <c r="C11" t="s">
        <v>176</v>
      </c>
      <c r="D11">
        <v>5</v>
      </c>
      <c r="E11" t="s">
        <v>177</v>
      </c>
      <c r="F11" t="s">
        <v>178</v>
      </c>
      <c r="G11" t="s">
        <v>124</v>
      </c>
      <c r="H11" t="s">
        <v>125</v>
      </c>
      <c r="I11">
        <v>4</v>
      </c>
      <c r="J11" t="s">
        <v>170</v>
      </c>
      <c r="K11" t="s">
        <v>125</v>
      </c>
      <c r="L11" t="s">
        <v>179</v>
      </c>
      <c r="T11" t="s">
        <v>142</v>
      </c>
      <c r="W11" t="s">
        <v>135</v>
      </c>
      <c r="AC11" t="s">
        <v>143</v>
      </c>
      <c r="AE11" t="s">
        <v>144</v>
      </c>
    </row>
    <row r="12" spans="1:119" x14ac:dyDescent="0.2">
      <c r="A12" t="s">
        <v>119</v>
      </c>
      <c r="B12" t="s">
        <v>120</v>
      </c>
      <c r="C12" t="s">
        <v>176</v>
      </c>
      <c r="D12">
        <v>11</v>
      </c>
      <c r="E12" t="s">
        <v>180</v>
      </c>
      <c r="F12" t="s">
        <v>181</v>
      </c>
      <c r="G12" t="s">
        <v>124</v>
      </c>
      <c r="H12" t="s">
        <v>125</v>
      </c>
      <c r="I12">
        <v>5</v>
      </c>
      <c r="J12" t="s">
        <v>182</v>
      </c>
      <c r="K12" t="s">
        <v>125</v>
      </c>
      <c r="L12" t="s">
        <v>183</v>
      </c>
      <c r="U12" t="s">
        <v>149</v>
      </c>
      <c r="W12" t="s">
        <v>135</v>
      </c>
      <c r="X12">
        <v>1</v>
      </c>
      <c r="AC12" t="s">
        <v>136</v>
      </c>
      <c r="AE12" t="s">
        <v>137</v>
      </c>
    </row>
    <row r="13" spans="1:119" x14ac:dyDescent="0.2">
      <c r="A13" t="s">
        <v>119</v>
      </c>
      <c r="B13" t="s">
        <v>120</v>
      </c>
      <c r="C13" t="s">
        <v>184</v>
      </c>
      <c r="D13">
        <v>4</v>
      </c>
      <c r="E13" t="s">
        <v>185</v>
      </c>
      <c r="F13" t="s">
        <v>186</v>
      </c>
      <c r="G13" t="s">
        <v>124</v>
      </c>
      <c r="H13" t="s">
        <v>125</v>
      </c>
      <c r="I13">
        <v>0</v>
      </c>
      <c r="J13" t="s">
        <v>126</v>
      </c>
      <c r="K13" t="s">
        <v>125</v>
      </c>
      <c r="L13" t="s">
        <v>187</v>
      </c>
      <c r="U13" t="s">
        <v>149</v>
      </c>
      <c r="W13" t="s">
        <v>135</v>
      </c>
      <c r="X13">
        <v>3</v>
      </c>
      <c r="AC13" t="s">
        <v>136</v>
      </c>
      <c r="AE13" t="s">
        <v>137</v>
      </c>
    </row>
    <row r="14" spans="1:119" x14ac:dyDescent="0.2">
      <c r="A14" t="s">
        <v>119</v>
      </c>
      <c r="B14" t="s">
        <v>120</v>
      </c>
      <c r="C14" t="s">
        <v>188</v>
      </c>
      <c r="D14">
        <v>3</v>
      </c>
      <c r="E14" t="s">
        <v>185</v>
      </c>
      <c r="F14" t="s">
        <v>186</v>
      </c>
      <c r="G14" t="s">
        <v>124</v>
      </c>
      <c r="H14" t="s">
        <v>125</v>
      </c>
      <c r="I14">
        <v>0</v>
      </c>
      <c r="J14" t="s">
        <v>126</v>
      </c>
      <c r="K14" t="s">
        <v>125</v>
      </c>
      <c r="L14" t="s">
        <v>189</v>
      </c>
      <c r="U14" t="s">
        <v>149</v>
      </c>
      <c r="W14" t="s">
        <v>135</v>
      </c>
      <c r="X14">
        <v>3</v>
      </c>
      <c r="AC14" t="s">
        <v>136</v>
      </c>
      <c r="AE14" t="s">
        <v>137</v>
      </c>
    </row>
    <row r="15" spans="1:119" x14ac:dyDescent="0.2">
      <c r="A15" t="s">
        <v>119</v>
      </c>
      <c r="B15" t="s">
        <v>120</v>
      </c>
      <c r="C15" t="s">
        <v>190</v>
      </c>
      <c r="D15">
        <v>2</v>
      </c>
      <c r="E15" t="s">
        <v>191</v>
      </c>
      <c r="F15" t="s">
        <v>169</v>
      </c>
      <c r="G15" t="s">
        <v>124</v>
      </c>
      <c r="H15" t="s">
        <v>125</v>
      </c>
      <c r="I15">
        <v>0</v>
      </c>
      <c r="J15" t="s">
        <v>126</v>
      </c>
      <c r="K15" t="s">
        <v>125</v>
      </c>
      <c r="L15" t="s">
        <v>192</v>
      </c>
      <c r="U15" t="s">
        <v>149</v>
      </c>
      <c r="W15" t="s">
        <v>135</v>
      </c>
      <c r="X15">
        <v>1</v>
      </c>
      <c r="AC15" t="s">
        <v>136</v>
      </c>
      <c r="AE15" t="s">
        <v>137</v>
      </c>
    </row>
    <row r="16" spans="1:119" x14ac:dyDescent="0.2">
      <c r="A16" t="s">
        <v>119</v>
      </c>
      <c r="B16" t="s">
        <v>120</v>
      </c>
      <c r="C16" t="s">
        <v>190</v>
      </c>
      <c r="D16">
        <v>13</v>
      </c>
      <c r="E16" t="s">
        <v>193</v>
      </c>
      <c r="F16" t="s">
        <v>194</v>
      </c>
      <c r="G16" t="s">
        <v>124</v>
      </c>
      <c r="H16" t="s">
        <v>125</v>
      </c>
      <c r="I16">
        <v>2</v>
      </c>
      <c r="J16" t="s">
        <v>161</v>
      </c>
      <c r="K16" t="s">
        <v>125</v>
      </c>
      <c r="L16" t="s">
        <v>195</v>
      </c>
      <c r="U16" t="s">
        <v>149</v>
      </c>
      <c r="W16" t="s">
        <v>135</v>
      </c>
      <c r="X16">
        <v>1</v>
      </c>
      <c r="AC16" t="s">
        <v>136</v>
      </c>
      <c r="AE16" t="s">
        <v>137</v>
      </c>
    </row>
    <row r="17" spans="1:78" x14ac:dyDescent="0.2">
      <c r="A17" t="s">
        <v>119</v>
      </c>
      <c r="B17" t="s">
        <v>120</v>
      </c>
      <c r="C17" t="s">
        <v>196</v>
      </c>
      <c r="D17">
        <v>10</v>
      </c>
      <c r="E17" t="s">
        <v>197</v>
      </c>
      <c r="F17" t="s">
        <v>198</v>
      </c>
      <c r="G17" t="s">
        <v>124</v>
      </c>
      <c r="H17" t="s">
        <v>125</v>
      </c>
      <c r="I17">
        <v>21</v>
      </c>
      <c r="J17" t="s">
        <v>199</v>
      </c>
      <c r="K17" t="s">
        <v>125</v>
      </c>
      <c r="L17" t="s">
        <v>200</v>
      </c>
      <c r="U17" t="s">
        <v>149</v>
      </c>
      <c r="W17" t="s">
        <v>135</v>
      </c>
      <c r="X17">
        <v>1</v>
      </c>
      <c r="AC17" t="s">
        <v>136</v>
      </c>
      <c r="AE17" t="s">
        <v>137</v>
      </c>
    </row>
    <row r="18" spans="1:78" hidden="1" x14ac:dyDescent="0.2">
      <c r="A18" t="s">
        <v>119</v>
      </c>
      <c r="B18" t="s">
        <v>120</v>
      </c>
      <c r="C18" t="s">
        <v>196</v>
      </c>
      <c r="D18">
        <v>13</v>
      </c>
      <c r="E18" t="s">
        <v>201</v>
      </c>
      <c r="F18" t="s">
        <v>202</v>
      </c>
      <c r="G18" t="s">
        <v>124</v>
      </c>
      <c r="H18" t="s">
        <v>125</v>
      </c>
      <c r="I18">
        <v>10</v>
      </c>
      <c r="J18" t="s">
        <v>161</v>
      </c>
      <c r="K18" t="s">
        <v>125</v>
      </c>
      <c r="L18" t="s">
        <v>203</v>
      </c>
      <c r="T18" t="s">
        <v>154</v>
      </c>
      <c r="W18" t="s">
        <v>135</v>
      </c>
      <c r="AC18" t="s">
        <v>143</v>
      </c>
      <c r="AE18" t="s">
        <v>144</v>
      </c>
      <c r="AG18">
        <v>12</v>
      </c>
      <c r="AH18" t="s">
        <v>204</v>
      </c>
      <c r="AI18" t="s">
        <v>205</v>
      </c>
      <c r="AJ18" t="s">
        <v>131</v>
      </c>
      <c r="AK18" t="s">
        <v>125</v>
      </c>
      <c r="AL18">
        <v>13</v>
      </c>
      <c r="AM18" t="s">
        <v>132</v>
      </c>
      <c r="AN18" t="s">
        <v>125</v>
      </c>
      <c r="AO18" t="s">
        <v>206</v>
      </c>
      <c r="BP18" t="s">
        <v>149</v>
      </c>
      <c r="BR18" t="s">
        <v>135</v>
      </c>
      <c r="BS18">
        <v>1</v>
      </c>
      <c r="BX18" t="s">
        <v>136</v>
      </c>
      <c r="BZ18" t="s">
        <v>137</v>
      </c>
    </row>
    <row r="19" spans="1:78" hidden="1" x14ac:dyDescent="0.2">
      <c r="A19" t="s">
        <v>119</v>
      </c>
      <c r="B19" t="s">
        <v>120</v>
      </c>
      <c r="C19" t="s">
        <v>196</v>
      </c>
      <c r="D19">
        <v>21</v>
      </c>
      <c r="E19" t="s">
        <v>207</v>
      </c>
      <c r="F19" t="s">
        <v>146</v>
      </c>
      <c r="G19" t="s">
        <v>124</v>
      </c>
      <c r="H19" t="s">
        <v>125</v>
      </c>
      <c r="I19">
        <v>0</v>
      </c>
      <c r="J19" t="s">
        <v>126</v>
      </c>
      <c r="K19" t="s">
        <v>125</v>
      </c>
      <c r="L19" t="s">
        <v>208</v>
      </c>
      <c r="U19" t="s">
        <v>149</v>
      </c>
      <c r="W19" t="s">
        <v>135</v>
      </c>
      <c r="X19">
        <v>3</v>
      </c>
      <c r="AC19" t="s">
        <v>209</v>
      </c>
      <c r="AE19" t="s">
        <v>137</v>
      </c>
      <c r="AG19">
        <v>17</v>
      </c>
      <c r="AH19" t="s">
        <v>207</v>
      </c>
      <c r="AI19" t="s">
        <v>146</v>
      </c>
      <c r="AJ19" t="s">
        <v>131</v>
      </c>
      <c r="AK19" t="s">
        <v>125</v>
      </c>
      <c r="AL19">
        <v>21</v>
      </c>
      <c r="AM19" t="s">
        <v>210</v>
      </c>
      <c r="AN19" t="s">
        <v>125</v>
      </c>
      <c r="AO19" t="s">
        <v>211</v>
      </c>
      <c r="BP19" t="s">
        <v>149</v>
      </c>
      <c r="BR19" t="s">
        <v>135</v>
      </c>
      <c r="BS19">
        <v>3</v>
      </c>
      <c r="BX19" t="s">
        <v>209</v>
      </c>
      <c r="BZ19" t="s">
        <v>137</v>
      </c>
    </row>
    <row r="20" spans="1:78" hidden="1" x14ac:dyDescent="0.2">
      <c r="A20" t="s">
        <v>119</v>
      </c>
      <c r="B20" t="s">
        <v>120</v>
      </c>
      <c r="C20" t="s">
        <v>196</v>
      </c>
      <c r="D20">
        <v>26</v>
      </c>
      <c r="E20" t="s">
        <v>212</v>
      </c>
      <c r="F20" t="s">
        <v>213</v>
      </c>
      <c r="G20" t="s">
        <v>124</v>
      </c>
      <c r="H20" t="s">
        <v>125</v>
      </c>
      <c r="I20">
        <v>23</v>
      </c>
      <c r="J20" t="s">
        <v>170</v>
      </c>
      <c r="K20" t="s">
        <v>125</v>
      </c>
      <c r="L20" t="s">
        <v>214</v>
      </c>
      <c r="T20" t="s">
        <v>142</v>
      </c>
      <c r="W20" t="s">
        <v>135</v>
      </c>
      <c r="AC20" t="s">
        <v>143</v>
      </c>
      <c r="AE20" t="s">
        <v>144</v>
      </c>
    </row>
    <row r="21" spans="1:78" hidden="1" x14ac:dyDescent="0.2">
      <c r="A21" t="s">
        <v>119</v>
      </c>
      <c r="B21" t="s">
        <v>120</v>
      </c>
      <c r="C21" t="s">
        <v>215</v>
      </c>
      <c r="D21">
        <v>4</v>
      </c>
      <c r="E21" t="s">
        <v>216</v>
      </c>
      <c r="F21" t="s">
        <v>178</v>
      </c>
      <c r="G21" t="s">
        <v>124</v>
      </c>
      <c r="H21" t="s">
        <v>125</v>
      </c>
      <c r="I21">
        <v>0</v>
      </c>
      <c r="J21" t="s">
        <v>126</v>
      </c>
      <c r="K21" t="s">
        <v>125</v>
      </c>
      <c r="L21" t="s">
        <v>217</v>
      </c>
      <c r="T21" t="s">
        <v>154</v>
      </c>
      <c r="W21" t="s">
        <v>135</v>
      </c>
      <c r="AC21" t="s">
        <v>143</v>
      </c>
      <c r="AE21" t="s">
        <v>144</v>
      </c>
      <c r="AG21">
        <v>3</v>
      </c>
      <c r="AH21" t="s">
        <v>218</v>
      </c>
      <c r="AI21" t="s">
        <v>205</v>
      </c>
      <c r="AJ21" t="s">
        <v>131</v>
      </c>
      <c r="AK21" t="s">
        <v>125</v>
      </c>
      <c r="AL21">
        <v>4</v>
      </c>
      <c r="AM21" t="s">
        <v>132</v>
      </c>
      <c r="AN21" t="s">
        <v>125</v>
      </c>
      <c r="AO21" t="s">
        <v>219</v>
      </c>
      <c r="BP21" t="s">
        <v>149</v>
      </c>
      <c r="BR21" t="s">
        <v>155</v>
      </c>
      <c r="BS21">
        <v>3</v>
      </c>
      <c r="BX21" t="s">
        <v>136</v>
      </c>
      <c r="BZ21" t="s">
        <v>137</v>
      </c>
    </row>
    <row r="22" spans="1:78" hidden="1" x14ac:dyDescent="0.2">
      <c r="A22" t="s">
        <v>119</v>
      </c>
      <c r="B22" t="s">
        <v>120</v>
      </c>
      <c r="C22" t="s">
        <v>215</v>
      </c>
      <c r="D22">
        <v>14</v>
      </c>
      <c r="E22" t="s">
        <v>220</v>
      </c>
      <c r="F22" t="s">
        <v>221</v>
      </c>
      <c r="G22" t="s">
        <v>124</v>
      </c>
      <c r="H22" t="s">
        <v>125</v>
      </c>
      <c r="I22">
        <v>4</v>
      </c>
      <c r="J22" t="s">
        <v>161</v>
      </c>
      <c r="K22" t="s">
        <v>125</v>
      </c>
      <c r="L22" t="s">
        <v>222</v>
      </c>
      <c r="T22" t="s">
        <v>142</v>
      </c>
      <c r="W22" t="s">
        <v>135</v>
      </c>
      <c r="AC22" t="s">
        <v>143</v>
      </c>
      <c r="AE22" t="s">
        <v>144</v>
      </c>
      <c r="AG22">
        <v>13</v>
      </c>
      <c r="AH22" t="s">
        <v>145</v>
      </c>
      <c r="AI22" t="s">
        <v>146</v>
      </c>
      <c r="AJ22" t="s">
        <v>131</v>
      </c>
      <c r="AK22" t="s">
        <v>125</v>
      </c>
      <c r="AL22">
        <v>14</v>
      </c>
      <c r="AM22" t="s">
        <v>147</v>
      </c>
      <c r="AN22" t="s">
        <v>125</v>
      </c>
      <c r="AO22" t="s">
        <v>223</v>
      </c>
      <c r="BP22" t="s">
        <v>149</v>
      </c>
      <c r="BR22" t="s">
        <v>135</v>
      </c>
      <c r="BS22">
        <v>3</v>
      </c>
      <c r="BX22" t="s">
        <v>136</v>
      </c>
      <c r="BZ22" t="s">
        <v>137</v>
      </c>
    </row>
    <row r="23" spans="1:78" x14ac:dyDescent="0.2">
      <c r="A23" t="s">
        <v>119</v>
      </c>
      <c r="B23" t="s">
        <v>120</v>
      </c>
      <c r="C23" t="s">
        <v>215</v>
      </c>
      <c r="D23">
        <v>23</v>
      </c>
      <c r="E23" t="s">
        <v>224</v>
      </c>
      <c r="F23" t="s">
        <v>225</v>
      </c>
      <c r="G23" t="s">
        <v>124</v>
      </c>
      <c r="H23" t="s">
        <v>125</v>
      </c>
      <c r="I23">
        <v>19</v>
      </c>
      <c r="J23" t="s">
        <v>170</v>
      </c>
      <c r="K23" t="s">
        <v>125</v>
      </c>
      <c r="L23" t="s">
        <v>226</v>
      </c>
      <c r="U23" t="s">
        <v>149</v>
      </c>
      <c r="W23" t="s">
        <v>135</v>
      </c>
      <c r="X23">
        <v>3</v>
      </c>
      <c r="AC23" t="s">
        <v>136</v>
      </c>
      <c r="AE23" t="s">
        <v>137</v>
      </c>
    </row>
    <row r="24" spans="1:78" x14ac:dyDescent="0.2">
      <c r="A24" t="s">
        <v>119</v>
      </c>
      <c r="B24" t="s">
        <v>120</v>
      </c>
      <c r="C24" t="s">
        <v>227</v>
      </c>
      <c r="D24">
        <v>10</v>
      </c>
      <c r="E24" t="s">
        <v>145</v>
      </c>
      <c r="F24" t="s">
        <v>146</v>
      </c>
      <c r="G24" t="s">
        <v>124</v>
      </c>
      <c r="H24" t="s">
        <v>125</v>
      </c>
      <c r="I24">
        <v>0</v>
      </c>
      <c r="J24" t="s">
        <v>126</v>
      </c>
      <c r="K24" t="s">
        <v>125</v>
      </c>
      <c r="L24" t="s">
        <v>228</v>
      </c>
      <c r="U24" t="s">
        <v>149</v>
      </c>
      <c r="W24" t="s">
        <v>135</v>
      </c>
      <c r="X24">
        <v>3</v>
      </c>
      <c r="AC24" t="s">
        <v>136</v>
      </c>
      <c r="AE24" t="s">
        <v>137</v>
      </c>
    </row>
    <row r="25" spans="1:78" x14ac:dyDescent="0.2">
      <c r="A25" t="s">
        <v>119</v>
      </c>
      <c r="B25" t="s">
        <v>120</v>
      </c>
      <c r="C25" t="s">
        <v>227</v>
      </c>
      <c r="D25">
        <v>12</v>
      </c>
      <c r="E25" t="s">
        <v>229</v>
      </c>
      <c r="F25" t="s">
        <v>205</v>
      </c>
      <c r="G25" t="s">
        <v>124</v>
      </c>
      <c r="H25" t="s">
        <v>125</v>
      </c>
      <c r="I25">
        <v>10</v>
      </c>
      <c r="J25" t="s">
        <v>199</v>
      </c>
      <c r="K25" t="s">
        <v>125</v>
      </c>
      <c r="L25" t="s">
        <v>230</v>
      </c>
      <c r="U25" t="s">
        <v>149</v>
      </c>
      <c r="W25" t="s">
        <v>155</v>
      </c>
      <c r="X25">
        <v>2</v>
      </c>
      <c r="AC25" t="s">
        <v>136</v>
      </c>
      <c r="AE25" t="s">
        <v>137</v>
      </c>
    </row>
    <row r="26" spans="1:78" x14ac:dyDescent="0.2">
      <c r="A26" t="s">
        <v>119</v>
      </c>
      <c r="B26" t="s">
        <v>120</v>
      </c>
      <c r="C26" t="s">
        <v>231</v>
      </c>
      <c r="D26">
        <v>1</v>
      </c>
      <c r="E26" t="s">
        <v>232</v>
      </c>
      <c r="F26" t="s">
        <v>205</v>
      </c>
      <c r="G26" t="s">
        <v>124</v>
      </c>
      <c r="H26" t="s">
        <v>125</v>
      </c>
      <c r="I26">
        <v>7</v>
      </c>
      <c r="J26" t="s">
        <v>210</v>
      </c>
      <c r="K26" t="s">
        <v>125</v>
      </c>
      <c r="L26" t="s">
        <v>233</v>
      </c>
      <c r="U26" t="s">
        <v>149</v>
      </c>
      <c r="W26" t="s">
        <v>155</v>
      </c>
      <c r="X26">
        <v>1</v>
      </c>
      <c r="AC26" t="s">
        <v>136</v>
      </c>
      <c r="AE26" t="s">
        <v>137</v>
      </c>
    </row>
    <row r="27" spans="1:78" x14ac:dyDescent="0.2">
      <c r="A27" t="s">
        <v>119</v>
      </c>
      <c r="B27" t="s">
        <v>120</v>
      </c>
      <c r="C27" t="s">
        <v>231</v>
      </c>
      <c r="D27">
        <v>7</v>
      </c>
      <c r="E27" t="s">
        <v>145</v>
      </c>
      <c r="F27" t="s">
        <v>146</v>
      </c>
      <c r="G27" t="s">
        <v>124</v>
      </c>
      <c r="H27" t="s">
        <v>125</v>
      </c>
      <c r="I27">
        <v>0</v>
      </c>
      <c r="J27" t="s">
        <v>126</v>
      </c>
      <c r="K27" t="s">
        <v>125</v>
      </c>
      <c r="L27" t="s">
        <v>234</v>
      </c>
      <c r="U27" t="s">
        <v>149</v>
      </c>
      <c r="W27" t="s">
        <v>135</v>
      </c>
      <c r="X27">
        <v>3</v>
      </c>
      <c r="AC27" t="s">
        <v>136</v>
      </c>
      <c r="AE27" t="s">
        <v>137</v>
      </c>
    </row>
    <row r="28" spans="1:78" x14ac:dyDescent="0.2">
      <c r="A28" t="s">
        <v>119</v>
      </c>
      <c r="B28" t="s">
        <v>120</v>
      </c>
      <c r="C28" t="s">
        <v>231</v>
      </c>
      <c r="D28">
        <v>16</v>
      </c>
      <c r="E28" t="s">
        <v>235</v>
      </c>
      <c r="F28" t="s">
        <v>146</v>
      </c>
      <c r="G28" t="s">
        <v>124</v>
      </c>
      <c r="H28" t="s">
        <v>125</v>
      </c>
      <c r="I28">
        <v>7</v>
      </c>
      <c r="J28" t="s">
        <v>199</v>
      </c>
      <c r="K28" t="s">
        <v>125</v>
      </c>
      <c r="L28" t="s">
        <v>236</v>
      </c>
      <c r="U28" t="s">
        <v>149</v>
      </c>
      <c r="W28" t="s">
        <v>155</v>
      </c>
      <c r="X28">
        <v>3</v>
      </c>
      <c r="AC28" t="s">
        <v>136</v>
      </c>
      <c r="AE28" t="s">
        <v>137</v>
      </c>
    </row>
    <row r="29" spans="1:78" hidden="1" x14ac:dyDescent="0.2">
      <c r="A29" t="s">
        <v>119</v>
      </c>
      <c r="B29" t="s">
        <v>120</v>
      </c>
      <c r="C29" t="s">
        <v>231</v>
      </c>
      <c r="D29">
        <v>20</v>
      </c>
      <c r="E29" t="s">
        <v>237</v>
      </c>
      <c r="F29" t="s">
        <v>238</v>
      </c>
      <c r="G29" t="s">
        <v>124</v>
      </c>
      <c r="H29" t="s">
        <v>125</v>
      </c>
      <c r="I29">
        <v>16</v>
      </c>
      <c r="J29" t="s">
        <v>161</v>
      </c>
      <c r="K29" t="s">
        <v>125</v>
      </c>
      <c r="L29" t="s">
        <v>239</v>
      </c>
      <c r="T29" t="s">
        <v>154</v>
      </c>
      <c r="W29" t="s">
        <v>155</v>
      </c>
      <c r="AC29" t="s">
        <v>143</v>
      </c>
      <c r="AE29" t="s">
        <v>144</v>
      </c>
      <c r="AG29">
        <v>19</v>
      </c>
      <c r="AH29" t="s">
        <v>160</v>
      </c>
      <c r="AI29" t="s">
        <v>146</v>
      </c>
      <c r="AJ29" t="s">
        <v>131</v>
      </c>
      <c r="AK29" t="s">
        <v>125</v>
      </c>
      <c r="AL29">
        <v>20</v>
      </c>
      <c r="AM29" t="s">
        <v>147</v>
      </c>
      <c r="AN29" t="s">
        <v>125</v>
      </c>
      <c r="AO29" t="s">
        <v>240</v>
      </c>
      <c r="BP29" t="s">
        <v>149</v>
      </c>
      <c r="BR29" t="s">
        <v>155</v>
      </c>
      <c r="BS29">
        <v>3</v>
      </c>
      <c r="BX29" t="s">
        <v>136</v>
      </c>
      <c r="BZ29" t="s">
        <v>137</v>
      </c>
    </row>
    <row r="30" spans="1:78" x14ac:dyDescent="0.2">
      <c r="A30" t="s">
        <v>119</v>
      </c>
      <c r="B30" t="s">
        <v>120</v>
      </c>
      <c r="C30" t="s">
        <v>231</v>
      </c>
      <c r="D30">
        <v>26</v>
      </c>
      <c r="E30" t="s">
        <v>241</v>
      </c>
      <c r="F30" t="s">
        <v>242</v>
      </c>
      <c r="G30" t="s">
        <v>124</v>
      </c>
      <c r="H30" t="s">
        <v>125</v>
      </c>
      <c r="I30">
        <v>23</v>
      </c>
      <c r="J30" t="s">
        <v>170</v>
      </c>
      <c r="K30" t="s">
        <v>125</v>
      </c>
      <c r="L30" t="s">
        <v>243</v>
      </c>
      <c r="U30" t="s">
        <v>149</v>
      </c>
      <c r="W30" t="s">
        <v>135</v>
      </c>
      <c r="X30">
        <v>3</v>
      </c>
      <c r="AC30" t="s">
        <v>136</v>
      </c>
      <c r="AE30" t="s">
        <v>137</v>
      </c>
    </row>
    <row r="31" spans="1:78" x14ac:dyDescent="0.2">
      <c r="A31" t="s">
        <v>119</v>
      </c>
      <c r="B31" t="s">
        <v>120</v>
      </c>
      <c r="C31" t="s">
        <v>231</v>
      </c>
      <c r="D31">
        <v>33</v>
      </c>
      <c r="E31" t="s">
        <v>232</v>
      </c>
      <c r="F31" t="s">
        <v>205</v>
      </c>
      <c r="G31" t="s">
        <v>124</v>
      </c>
      <c r="H31" t="s">
        <v>125</v>
      </c>
      <c r="I31">
        <v>16</v>
      </c>
      <c r="J31" t="s">
        <v>161</v>
      </c>
      <c r="K31" t="s">
        <v>125</v>
      </c>
      <c r="L31" t="s">
        <v>244</v>
      </c>
      <c r="U31" t="s">
        <v>149</v>
      </c>
      <c r="W31" t="s">
        <v>155</v>
      </c>
      <c r="X31">
        <v>1</v>
      </c>
      <c r="AC31" t="s">
        <v>136</v>
      </c>
      <c r="AE31" t="s">
        <v>137</v>
      </c>
    </row>
    <row r="32" spans="1:78" hidden="1" x14ac:dyDescent="0.2">
      <c r="A32" t="s">
        <v>119</v>
      </c>
      <c r="B32" t="s">
        <v>120</v>
      </c>
      <c r="C32" t="s">
        <v>231</v>
      </c>
      <c r="D32">
        <v>41</v>
      </c>
      <c r="E32" t="s">
        <v>245</v>
      </c>
      <c r="F32" t="s">
        <v>246</v>
      </c>
      <c r="G32" t="s">
        <v>124</v>
      </c>
      <c r="H32" t="s">
        <v>125</v>
      </c>
      <c r="I32">
        <v>36</v>
      </c>
      <c r="J32" t="s">
        <v>170</v>
      </c>
      <c r="K32" t="s">
        <v>125</v>
      </c>
      <c r="L32" t="s">
        <v>247</v>
      </c>
      <c r="T32" t="s">
        <v>154</v>
      </c>
      <c r="W32" t="s">
        <v>135</v>
      </c>
      <c r="AC32" t="s">
        <v>143</v>
      </c>
      <c r="AE32" t="s">
        <v>144</v>
      </c>
      <c r="AG32">
        <v>40</v>
      </c>
      <c r="AH32" t="s">
        <v>145</v>
      </c>
      <c r="AI32" t="s">
        <v>146</v>
      </c>
      <c r="AJ32" t="s">
        <v>131</v>
      </c>
      <c r="AK32" t="s">
        <v>125</v>
      </c>
      <c r="AL32">
        <v>41</v>
      </c>
      <c r="AM32" t="s">
        <v>147</v>
      </c>
      <c r="AN32" t="s">
        <v>125</v>
      </c>
      <c r="AO32" t="s">
        <v>248</v>
      </c>
      <c r="BP32" t="s">
        <v>149</v>
      </c>
      <c r="BR32" t="s">
        <v>135</v>
      </c>
      <c r="BS32">
        <v>3</v>
      </c>
      <c r="BX32" t="s">
        <v>136</v>
      </c>
      <c r="BZ32" t="s">
        <v>137</v>
      </c>
    </row>
    <row r="33" spans="1:78" x14ac:dyDescent="0.2">
      <c r="A33" t="s">
        <v>119</v>
      </c>
      <c r="B33" t="s">
        <v>120</v>
      </c>
      <c r="C33" t="s">
        <v>231</v>
      </c>
      <c r="D33">
        <v>64</v>
      </c>
      <c r="E33" t="s">
        <v>145</v>
      </c>
      <c r="F33" t="s">
        <v>146</v>
      </c>
      <c r="G33" t="s">
        <v>124</v>
      </c>
      <c r="H33" t="s">
        <v>125</v>
      </c>
      <c r="I33">
        <v>16</v>
      </c>
      <c r="J33" t="s">
        <v>161</v>
      </c>
      <c r="K33" t="s">
        <v>125</v>
      </c>
      <c r="L33" t="s">
        <v>249</v>
      </c>
      <c r="U33" t="s">
        <v>149</v>
      </c>
      <c r="W33" t="s">
        <v>135</v>
      </c>
      <c r="X33">
        <v>3</v>
      </c>
      <c r="AC33" t="s">
        <v>136</v>
      </c>
      <c r="AE33" t="s">
        <v>137</v>
      </c>
    </row>
    <row r="34" spans="1:78" x14ac:dyDescent="0.2">
      <c r="A34" t="s">
        <v>119</v>
      </c>
      <c r="B34" t="s">
        <v>120</v>
      </c>
      <c r="C34" t="s">
        <v>250</v>
      </c>
      <c r="D34">
        <v>3</v>
      </c>
      <c r="E34" t="s">
        <v>251</v>
      </c>
      <c r="F34" t="s">
        <v>202</v>
      </c>
      <c r="G34" t="s">
        <v>124</v>
      </c>
      <c r="H34" t="s">
        <v>125</v>
      </c>
      <c r="I34">
        <v>0</v>
      </c>
      <c r="J34" t="s">
        <v>126</v>
      </c>
      <c r="K34" t="s">
        <v>125</v>
      </c>
      <c r="L34" t="s">
        <v>252</v>
      </c>
      <c r="U34" t="s">
        <v>149</v>
      </c>
      <c r="W34" t="s">
        <v>155</v>
      </c>
      <c r="X34">
        <v>3</v>
      </c>
      <c r="AC34" t="s">
        <v>136</v>
      </c>
      <c r="AE34" t="s">
        <v>137</v>
      </c>
    </row>
    <row r="35" spans="1:78" x14ac:dyDescent="0.2">
      <c r="A35" t="s">
        <v>119</v>
      </c>
      <c r="B35" t="s">
        <v>120</v>
      </c>
      <c r="C35" t="s">
        <v>253</v>
      </c>
      <c r="D35">
        <v>5</v>
      </c>
      <c r="E35" t="s">
        <v>229</v>
      </c>
      <c r="F35" t="s">
        <v>205</v>
      </c>
      <c r="G35" t="s">
        <v>124</v>
      </c>
      <c r="H35" t="s">
        <v>125</v>
      </c>
      <c r="I35">
        <v>0</v>
      </c>
      <c r="J35" t="s">
        <v>126</v>
      </c>
      <c r="K35" t="s">
        <v>125</v>
      </c>
      <c r="L35" t="s">
        <v>254</v>
      </c>
      <c r="U35" t="s">
        <v>149</v>
      </c>
      <c r="W35" t="s">
        <v>155</v>
      </c>
      <c r="X35">
        <v>2</v>
      </c>
      <c r="AC35" t="s">
        <v>136</v>
      </c>
      <c r="AE35" t="s">
        <v>137</v>
      </c>
    </row>
    <row r="36" spans="1:78" x14ac:dyDescent="0.2">
      <c r="A36" t="s">
        <v>119</v>
      </c>
      <c r="B36" t="s">
        <v>120</v>
      </c>
      <c r="C36" t="s">
        <v>255</v>
      </c>
      <c r="D36">
        <v>2</v>
      </c>
      <c r="E36" t="s">
        <v>256</v>
      </c>
      <c r="F36" t="s">
        <v>257</v>
      </c>
      <c r="G36" t="s">
        <v>124</v>
      </c>
      <c r="H36" t="s">
        <v>125</v>
      </c>
      <c r="I36">
        <v>0</v>
      </c>
      <c r="J36" t="s">
        <v>126</v>
      </c>
      <c r="K36" t="s">
        <v>125</v>
      </c>
      <c r="L36" t="s">
        <v>258</v>
      </c>
      <c r="U36" t="s">
        <v>209</v>
      </c>
      <c r="W36" t="s">
        <v>155</v>
      </c>
      <c r="X36">
        <v>2</v>
      </c>
      <c r="AC36" t="s">
        <v>136</v>
      </c>
      <c r="AE36" t="s">
        <v>137</v>
      </c>
    </row>
    <row r="37" spans="1:78" x14ac:dyDescent="0.2">
      <c r="A37" t="s">
        <v>119</v>
      </c>
      <c r="B37" t="s">
        <v>120</v>
      </c>
      <c r="C37" t="s">
        <v>259</v>
      </c>
      <c r="D37">
        <v>3</v>
      </c>
      <c r="E37" t="s">
        <v>260</v>
      </c>
      <c r="F37" t="s">
        <v>261</v>
      </c>
      <c r="G37" t="s">
        <v>124</v>
      </c>
      <c r="H37" t="s">
        <v>125</v>
      </c>
      <c r="I37">
        <v>0</v>
      </c>
      <c r="J37" t="s">
        <v>126</v>
      </c>
      <c r="K37" t="s">
        <v>125</v>
      </c>
      <c r="L37" t="s">
        <v>262</v>
      </c>
      <c r="U37" t="s">
        <v>149</v>
      </c>
      <c r="W37" t="s">
        <v>155</v>
      </c>
      <c r="X37">
        <v>1</v>
      </c>
      <c r="AC37" t="s">
        <v>136</v>
      </c>
      <c r="AE37" t="s">
        <v>137</v>
      </c>
    </row>
    <row r="38" spans="1:78" hidden="1" x14ac:dyDescent="0.2">
      <c r="A38" t="s">
        <v>119</v>
      </c>
      <c r="B38" t="s">
        <v>120</v>
      </c>
      <c r="C38" t="s">
        <v>259</v>
      </c>
      <c r="D38">
        <v>8</v>
      </c>
      <c r="E38" t="s">
        <v>263</v>
      </c>
      <c r="F38" t="s">
        <v>158</v>
      </c>
      <c r="G38" t="s">
        <v>124</v>
      </c>
      <c r="H38" t="s">
        <v>125</v>
      </c>
      <c r="I38">
        <v>3</v>
      </c>
      <c r="J38" t="s">
        <v>264</v>
      </c>
      <c r="K38" t="s">
        <v>125</v>
      </c>
      <c r="L38" t="s">
        <v>265</v>
      </c>
      <c r="T38" t="s">
        <v>154</v>
      </c>
      <c r="W38" t="s">
        <v>135</v>
      </c>
      <c r="AC38" t="s">
        <v>143</v>
      </c>
      <c r="AE38" t="s">
        <v>144</v>
      </c>
      <c r="AG38">
        <v>6</v>
      </c>
      <c r="AH38" t="s">
        <v>204</v>
      </c>
      <c r="AI38" t="s">
        <v>205</v>
      </c>
      <c r="AJ38" t="s">
        <v>131</v>
      </c>
      <c r="AK38" t="s">
        <v>125</v>
      </c>
      <c r="AL38">
        <v>8</v>
      </c>
      <c r="AM38" t="s">
        <v>132</v>
      </c>
      <c r="AN38" t="s">
        <v>125</v>
      </c>
      <c r="AO38" t="s">
        <v>266</v>
      </c>
      <c r="BP38" t="s">
        <v>149</v>
      </c>
      <c r="BR38" t="s">
        <v>135</v>
      </c>
      <c r="BS38">
        <v>1</v>
      </c>
      <c r="BX38" t="s">
        <v>136</v>
      </c>
      <c r="BZ38" t="s">
        <v>137</v>
      </c>
    </row>
    <row r="39" spans="1:78" hidden="1" x14ac:dyDescent="0.2">
      <c r="A39" t="s">
        <v>119</v>
      </c>
      <c r="B39" t="s">
        <v>120</v>
      </c>
      <c r="C39" t="s">
        <v>259</v>
      </c>
      <c r="D39">
        <v>15</v>
      </c>
      <c r="E39" t="s">
        <v>267</v>
      </c>
      <c r="F39" t="s">
        <v>140</v>
      </c>
      <c r="G39" t="s">
        <v>124</v>
      </c>
      <c r="H39" t="s">
        <v>125</v>
      </c>
      <c r="I39">
        <v>8</v>
      </c>
      <c r="J39" t="s">
        <v>268</v>
      </c>
      <c r="K39" t="s">
        <v>125</v>
      </c>
      <c r="L39" t="s">
        <v>269</v>
      </c>
    </row>
    <row r="40" spans="1:78" x14ac:dyDescent="0.2">
      <c r="A40" t="s">
        <v>119</v>
      </c>
      <c r="B40" t="s">
        <v>120</v>
      </c>
      <c r="C40" t="s">
        <v>270</v>
      </c>
      <c r="D40">
        <v>4</v>
      </c>
      <c r="E40" t="s">
        <v>218</v>
      </c>
      <c r="F40" t="s">
        <v>205</v>
      </c>
      <c r="G40" t="s">
        <v>124</v>
      </c>
      <c r="H40" t="s">
        <v>125</v>
      </c>
      <c r="I40">
        <v>0</v>
      </c>
      <c r="J40" t="s">
        <v>126</v>
      </c>
      <c r="K40" t="s">
        <v>125</v>
      </c>
      <c r="L40" t="s">
        <v>271</v>
      </c>
      <c r="U40" t="s">
        <v>149</v>
      </c>
      <c r="W40" t="s">
        <v>155</v>
      </c>
      <c r="X40">
        <v>3</v>
      </c>
      <c r="AC40" t="s">
        <v>136</v>
      </c>
      <c r="AE40" t="s">
        <v>137</v>
      </c>
    </row>
    <row r="41" spans="1:78" hidden="1" x14ac:dyDescent="0.2">
      <c r="A41" t="s">
        <v>119</v>
      </c>
      <c r="B41" t="s">
        <v>120</v>
      </c>
      <c r="C41" t="s">
        <v>270</v>
      </c>
      <c r="D41">
        <v>16</v>
      </c>
      <c r="E41" t="s">
        <v>272</v>
      </c>
      <c r="F41" t="s">
        <v>273</v>
      </c>
      <c r="G41" t="s">
        <v>124</v>
      </c>
      <c r="H41" t="s">
        <v>125</v>
      </c>
      <c r="I41">
        <v>4</v>
      </c>
      <c r="J41" t="s">
        <v>199</v>
      </c>
      <c r="K41" t="s">
        <v>125</v>
      </c>
      <c r="L41" t="s">
        <v>274</v>
      </c>
      <c r="T41" t="s">
        <v>154</v>
      </c>
      <c r="W41" t="s">
        <v>135</v>
      </c>
      <c r="AC41" t="s">
        <v>143</v>
      </c>
      <c r="AE41" t="s">
        <v>144</v>
      </c>
      <c r="AG41">
        <v>14</v>
      </c>
      <c r="AH41" t="s">
        <v>232</v>
      </c>
      <c r="AI41" t="s">
        <v>205</v>
      </c>
      <c r="AJ41" t="s">
        <v>131</v>
      </c>
      <c r="AK41" t="s">
        <v>125</v>
      </c>
      <c r="AL41">
        <v>16</v>
      </c>
      <c r="AM41" t="s">
        <v>132</v>
      </c>
      <c r="AN41" t="s">
        <v>125</v>
      </c>
      <c r="AO41" t="s">
        <v>275</v>
      </c>
      <c r="BP41" t="s">
        <v>149</v>
      </c>
      <c r="BR41" t="s">
        <v>155</v>
      </c>
      <c r="BS41">
        <v>1</v>
      </c>
      <c r="BX41" t="s">
        <v>136</v>
      </c>
      <c r="BZ41" t="s">
        <v>137</v>
      </c>
    </row>
    <row r="42" spans="1:78" x14ac:dyDescent="0.2">
      <c r="A42" t="s">
        <v>119</v>
      </c>
      <c r="B42" t="s">
        <v>120</v>
      </c>
      <c r="C42" t="s">
        <v>276</v>
      </c>
      <c r="D42">
        <v>5</v>
      </c>
      <c r="E42" t="s">
        <v>145</v>
      </c>
      <c r="F42" t="s">
        <v>146</v>
      </c>
      <c r="G42" t="s">
        <v>124</v>
      </c>
      <c r="H42" t="s">
        <v>125</v>
      </c>
      <c r="I42">
        <v>0</v>
      </c>
      <c r="J42" t="s">
        <v>126</v>
      </c>
      <c r="K42" t="s">
        <v>125</v>
      </c>
      <c r="L42" t="s">
        <v>277</v>
      </c>
      <c r="U42" t="s">
        <v>149</v>
      </c>
      <c r="W42" t="s">
        <v>135</v>
      </c>
      <c r="X42">
        <v>3</v>
      </c>
      <c r="AC42" t="s">
        <v>136</v>
      </c>
      <c r="AE42" t="s">
        <v>137</v>
      </c>
    </row>
    <row r="43" spans="1:78" x14ac:dyDescent="0.2">
      <c r="A43" t="s">
        <v>119</v>
      </c>
      <c r="B43" t="s">
        <v>120</v>
      </c>
      <c r="C43" t="s">
        <v>278</v>
      </c>
      <c r="D43">
        <v>6</v>
      </c>
      <c r="E43" t="s">
        <v>279</v>
      </c>
      <c r="F43" t="s">
        <v>280</v>
      </c>
      <c r="G43" t="s">
        <v>124</v>
      </c>
      <c r="H43" t="s">
        <v>125</v>
      </c>
      <c r="I43">
        <v>0</v>
      </c>
      <c r="J43" t="s">
        <v>126</v>
      </c>
      <c r="K43" t="s">
        <v>125</v>
      </c>
      <c r="L43" t="s">
        <v>281</v>
      </c>
      <c r="U43" t="s">
        <v>149</v>
      </c>
      <c r="W43" t="s">
        <v>155</v>
      </c>
      <c r="X43">
        <v>1</v>
      </c>
      <c r="AC43" t="s">
        <v>136</v>
      </c>
      <c r="AE43" t="s">
        <v>137</v>
      </c>
    </row>
    <row r="44" spans="1:78" x14ac:dyDescent="0.2">
      <c r="A44" t="s">
        <v>119</v>
      </c>
      <c r="B44" t="s">
        <v>120</v>
      </c>
      <c r="C44" t="s">
        <v>278</v>
      </c>
      <c r="D44">
        <v>10</v>
      </c>
      <c r="E44" t="s">
        <v>282</v>
      </c>
      <c r="F44" t="s">
        <v>283</v>
      </c>
      <c r="G44" t="s">
        <v>124</v>
      </c>
      <c r="H44" t="s">
        <v>125</v>
      </c>
      <c r="I44">
        <v>6</v>
      </c>
      <c r="J44" t="s">
        <v>199</v>
      </c>
      <c r="K44" t="s">
        <v>125</v>
      </c>
      <c r="L44" t="s">
        <v>284</v>
      </c>
      <c r="U44" t="s">
        <v>149</v>
      </c>
      <c r="W44" t="s">
        <v>155</v>
      </c>
      <c r="X44">
        <v>1</v>
      </c>
      <c r="AC44" t="s">
        <v>136</v>
      </c>
      <c r="AE44" t="s">
        <v>137</v>
      </c>
    </row>
    <row r="45" spans="1:78" x14ac:dyDescent="0.2">
      <c r="A45" t="s">
        <v>119</v>
      </c>
      <c r="B45" t="s">
        <v>120</v>
      </c>
      <c r="C45" t="s">
        <v>278</v>
      </c>
      <c r="D45">
        <v>18</v>
      </c>
      <c r="E45" t="s">
        <v>285</v>
      </c>
      <c r="F45" t="s">
        <v>286</v>
      </c>
      <c r="G45" t="s">
        <v>124</v>
      </c>
      <c r="H45" t="s">
        <v>125</v>
      </c>
      <c r="I45">
        <v>23</v>
      </c>
      <c r="J45" t="s">
        <v>268</v>
      </c>
      <c r="K45" t="s">
        <v>125</v>
      </c>
      <c r="L45" t="s">
        <v>287</v>
      </c>
      <c r="U45" t="s">
        <v>149</v>
      </c>
      <c r="W45" t="s">
        <v>155</v>
      </c>
      <c r="X45">
        <v>1</v>
      </c>
      <c r="AC45" t="s">
        <v>136</v>
      </c>
      <c r="AE45" t="s">
        <v>137</v>
      </c>
    </row>
    <row r="46" spans="1:78" x14ac:dyDescent="0.2">
      <c r="A46" t="s">
        <v>119</v>
      </c>
      <c r="B46" t="s">
        <v>120</v>
      </c>
      <c r="C46" t="s">
        <v>278</v>
      </c>
      <c r="D46">
        <v>23</v>
      </c>
      <c r="E46" t="s">
        <v>288</v>
      </c>
      <c r="F46" t="s">
        <v>289</v>
      </c>
      <c r="G46" t="s">
        <v>124</v>
      </c>
      <c r="H46" t="s">
        <v>125</v>
      </c>
      <c r="I46">
        <v>6</v>
      </c>
      <c r="J46" t="s">
        <v>161</v>
      </c>
      <c r="K46" t="s">
        <v>125</v>
      </c>
      <c r="L46" t="s">
        <v>290</v>
      </c>
      <c r="U46" t="s">
        <v>149</v>
      </c>
      <c r="W46" t="s">
        <v>155</v>
      </c>
      <c r="X46">
        <v>1</v>
      </c>
      <c r="AC46" t="s">
        <v>136</v>
      </c>
      <c r="AE46" t="s">
        <v>137</v>
      </c>
    </row>
    <row r="47" spans="1:78" x14ac:dyDescent="0.2">
      <c r="A47" t="s">
        <v>119</v>
      </c>
      <c r="B47" t="s">
        <v>120</v>
      </c>
      <c r="C47" t="s">
        <v>278</v>
      </c>
      <c r="D47">
        <v>25</v>
      </c>
      <c r="E47" t="s">
        <v>291</v>
      </c>
      <c r="F47" t="s">
        <v>292</v>
      </c>
      <c r="G47" t="s">
        <v>124</v>
      </c>
      <c r="H47" t="s">
        <v>125</v>
      </c>
      <c r="I47">
        <v>23</v>
      </c>
      <c r="J47" t="s">
        <v>161</v>
      </c>
      <c r="K47" t="s">
        <v>125</v>
      </c>
      <c r="L47" t="s">
        <v>293</v>
      </c>
      <c r="U47" t="s">
        <v>149</v>
      </c>
      <c r="W47" t="s">
        <v>155</v>
      </c>
      <c r="X47">
        <v>1</v>
      </c>
      <c r="AC47" t="s">
        <v>136</v>
      </c>
      <c r="AE47" t="s">
        <v>137</v>
      </c>
    </row>
    <row r="48" spans="1:78" x14ac:dyDescent="0.2">
      <c r="A48" t="s">
        <v>119</v>
      </c>
      <c r="B48" t="s">
        <v>120</v>
      </c>
      <c r="C48" t="s">
        <v>278</v>
      </c>
      <c r="D48">
        <v>27</v>
      </c>
      <c r="E48" t="s">
        <v>282</v>
      </c>
      <c r="F48" t="s">
        <v>283</v>
      </c>
      <c r="G48" t="s">
        <v>124</v>
      </c>
      <c r="H48" t="s">
        <v>125</v>
      </c>
      <c r="I48">
        <v>25</v>
      </c>
      <c r="J48" t="s">
        <v>294</v>
      </c>
      <c r="K48" t="s">
        <v>125</v>
      </c>
      <c r="L48" t="s">
        <v>295</v>
      </c>
      <c r="U48" t="s">
        <v>149</v>
      </c>
      <c r="W48" t="s">
        <v>155</v>
      </c>
      <c r="X48">
        <v>1</v>
      </c>
      <c r="AC48" t="s">
        <v>136</v>
      </c>
      <c r="AE48" t="s">
        <v>137</v>
      </c>
    </row>
    <row r="49" spans="1:78" x14ac:dyDescent="0.2">
      <c r="A49" t="s">
        <v>119</v>
      </c>
      <c r="B49" t="s">
        <v>120</v>
      </c>
      <c r="C49" t="s">
        <v>296</v>
      </c>
      <c r="D49">
        <v>4</v>
      </c>
      <c r="E49" t="s">
        <v>297</v>
      </c>
      <c r="F49" t="s">
        <v>242</v>
      </c>
      <c r="G49" t="s">
        <v>124</v>
      </c>
      <c r="H49" t="s">
        <v>125</v>
      </c>
      <c r="I49">
        <v>0</v>
      </c>
      <c r="J49" t="s">
        <v>126</v>
      </c>
      <c r="K49" t="s">
        <v>125</v>
      </c>
      <c r="L49" t="s">
        <v>298</v>
      </c>
      <c r="U49" t="s">
        <v>149</v>
      </c>
      <c r="W49" t="s">
        <v>155</v>
      </c>
      <c r="X49">
        <v>1</v>
      </c>
      <c r="AC49" t="s">
        <v>136</v>
      </c>
      <c r="AE49" t="s">
        <v>137</v>
      </c>
    </row>
    <row r="50" spans="1:78" hidden="1" x14ac:dyDescent="0.2">
      <c r="A50" t="s">
        <v>119</v>
      </c>
      <c r="B50" t="s">
        <v>120</v>
      </c>
      <c r="C50" t="s">
        <v>299</v>
      </c>
      <c r="D50">
        <v>8</v>
      </c>
      <c r="E50" t="s">
        <v>300</v>
      </c>
      <c r="F50" t="s">
        <v>301</v>
      </c>
      <c r="G50" t="s">
        <v>124</v>
      </c>
      <c r="H50" t="s">
        <v>125</v>
      </c>
      <c r="I50">
        <v>7</v>
      </c>
      <c r="J50" t="s">
        <v>302</v>
      </c>
      <c r="K50" t="s">
        <v>125</v>
      </c>
      <c r="L50" t="s">
        <v>303</v>
      </c>
      <c r="T50" t="s">
        <v>142</v>
      </c>
      <c r="W50" t="s">
        <v>135</v>
      </c>
      <c r="AC50" t="s">
        <v>143</v>
      </c>
      <c r="AE50" t="s">
        <v>144</v>
      </c>
    </row>
    <row r="51" spans="1:78" hidden="1" x14ac:dyDescent="0.2">
      <c r="A51" t="s">
        <v>119</v>
      </c>
      <c r="B51" t="s">
        <v>120</v>
      </c>
      <c r="C51" t="s">
        <v>304</v>
      </c>
      <c r="D51">
        <v>4</v>
      </c>
      <c r="E51" t="s">
        <v>300</v>
      </c>
      <c r="F51" t="s">
        <v>301</v>
      </c>
      <c r="G51" t="s">
        <v>124</v>
      </c>
      <c r="H51" t="s">
        <v>125</v>
      </c>
      <c r="I51">
        <v>3</v>
      </c>
      <c r="J51" t="s">
        <v>302</v>
      </c>
      <c r="K51" t="s">
        <v>125</v>
      </c>
      <c r="L51" t="s">
        <v>305</v>
      </c>
      <c r="T51" t="s">
        <v>142</v>
      </c>
      <c r="W51" t="s">
        <v>135</v>
      </c>
      <c r="AC51" t="s">
        <v>143</v>
      </c>
      <c r="AE51" t="s">
        <v>144</v>
      </c>
    </row>
    <row r="52" spans="1:78" x14ac:dyDescent="0.2">
      <c r="A52" t="s">
        <v>119</v>
      </c>
      <c r="B52" t="s">
        <v>120</v>
      </c>
      <c r="C52" t="s">
        <v>304</v>
      </c>
      <c r="D52">
        <v>25</v>
      </c>
      <c r="E52" t="s">
        <v>306</v>
      </c>
      <c r="F52" t="s">
        <v>307</v>
      </c>
      <c r="G52" t="s">
        <v>124</v>
      </c>
      <c r="H52" t="s">
        <v>125</v>
      </c>
      <c r="I52">
        <v>17</v>
      </c>
      <c r="J52" t="s">
        <v>161</v>
      </c>
      <c r="K52" t="s">
        <v>125</v>
      </c>
      <c r="L52" t="s">
        <v>308</v>
      </c>
      <c r="U52" t="s">
        <v>309</v>
      </c>
      <c r="W52" t="s">
        <v>135</v>
      </c>
      <c r="X52">
        <v>3</v>
      </c>
      <c r="AC52" t="s">
        <v>136</v>
      </c>
      <c r="AE52" t="s">
        <v>137</v>
      </c>
    </row>
    <row r="53" spans="1:78" hidden="1" x14ac:dyDescent="0.2">
      <c r="A53" t="s">
        <v>119</v>
      </c>
      <c r="B53" t="s">
        <v>120</v>
      </c>
      <c r="C53" t="s">
        <v>304</v>
      </c>
      <c r="D53">
        <v>34</v>
      </c>
      <c r="E53" t="s">
        <v>310</v>
      </c>
      <c r="F53" t="s">
        <v>311</v>
      </c>
      <c r="G53" t="s">
        <v>124</v>
      </c>
      <c r="H53" t="s">
        <v>125</v>
      </c>
      <c r="I53">
        <v>12</v>
      </c>
      <c r="J53" t="s">
        <v>199</v>
      </c>
      <c r="K53" t="s">
        <v>125</v>
      </c>
      <c r="L53" t="s">
        <v>312</v>
      </c>
      <c r="T53" t="s">
        <v>154</v>
      </c>
      <c r="W53" t="s">
        <v>135</v>
      </c>
      <c r="AC53" t="s">
        <v>143</v>
      </c>
      <c r="AE53" t="s">
        <v>144</v>
      </c>
      <c r="AG53">
        <v>32</v>
      </c>
      <c r="AH53" t="s">
        <v>204</v>
      </c>
      <c r="AI53" t="s">
        <v>205</v>
      </c>
      <c r="AJ53" t="s">
        <v>131</v>
      </c>
      <c r="AK53" t="s">
        <v>125</v>
      </c>
      <c r="AL53">
        <v>34</v>
      </c>
      <c r="AM53" t="s">
        <v>132</v>
      </c>
      <c r="AN53" t="s">
        <v>125</v>
      </c>
      <c r="AO53" t="s">
        <v>313</v>
      </c>
      <c r="BP53" t="s">
        <v>149</v>
      </c>
      <c r="BR53" t="s">
        <v>135</v>
      </c>
      <c r="BS53">
        <v>1</v>
      </c>
      <c r="BX53" t="s">
        <v>136</v>
      </c>
      <c r="BZ53" t="s">
        <v>137</v>
      </c>
    </row>
    <row r="54" spans="1:78" x14ac:dyDescent="0.2">
      <c r="A54" t="s">
        <v>119</v>
      </c>
      <c r="B54" t="s">
        <v>120</v>
      </c>
      <c r="C54" t="s">
        <v>314</v>
      </c>
      <c r="D54">
        <v>11</v>
      </c>
      <c r="E54" t="s">
        <v>145</v>
      </c>
      <c r="F54" t="s">
        <v>146</v>
      </c>
      <c r="G54" t="s">
        <v>124</v>
      </c>
      <c r="H54" t="s">
        <v>125</v>
      </c>
      <c r="I54">
        <v>8</v>
      </c>
      <c r="J54" t="s">
        <v>268</v>
      </c>
      <c r="K54" t="s">
        <v>125</v>
      </c>
      <c r="L54" t="s">
        <v>315</v>
      </c>
      <c r="U54" t="s">
        <v>149</v>
      </c>
      <c r="W54" t="s">
        <v>135</v>
      </c>
      <c r="X54">
        <v>3</v>
      </c>
      <c r="AC54" t="s">
        <v>136</v>
      </c>
      <c r="AE54" t="s">
        <v>137</v>
      </c>
    </row>
    <row r="55" spans="1:78" x14ac:dyDescent="0.2">
      <c r="A55" t="s">
        <v>119</v>
      </c>
      <c r="B55" t="s">
        <v>120</v>
      </c>
      <c r="C55" t="s">
        <v>314</v>
      </c>
      <c r="D55">
        <v>19</v>
      </c>
      <c r="E55" t="s">
        <v>282</v>
      </c>
      <c r="F55" t="s">
        <v>283</v>
      </c>
      <c r="G55" t="s">
        <v>124</v>
      </c>
      <c r="H55" t="s">
        <v>125</v>
      </c>
      <c r="I55">
        <v>11</v>
      </c>
      <c r="J55" t="s">
        <v>161</v>
      </c>
      <c r="K55" t="s">
        <v>125</v>
      </c>
      <c r="L55" t="s">
        <v>316</v>
      </c>
      <c r="U55" t="s">
        <v>149</v>
      </c>
      <c r="W55" t="s">
        <v>155</v>
      </c>
      <c r="X55">
        <v>1</v>
      </c>
      <c r="AC55" t="s">
        <v>136</v>
      </c>
      <c r="AE55" t="s">
        <v>137</v>
      </c>
    </row>
    <row r="56" spans="1:78" x14ac:dyDescent="0.2">
      <c r="A56" t="s">
        <v>119</v>
      </c>
      <c r="B56" t="s">
        <v>120</v>
      </c>
      <c r="C56" t="s">
        <v>317</v>
      </c>
      <c r="D56">
        <v>2</v>
      </c>
      <c r="E56" t="s">
        <v>145</v>
      </c>
      <c r="F56" t="s">
        <v>146</v>
      </c>
      <c r="G56" t="s">
        <v>124</v>
      </c>
      <c r="H56" t="s">
        <v>125</v>
      </c>
      <c r="I56">
        <v>0</v>
      </c>
      <c r="J56" t="s">
        <v>126</v>
      </c>
      <c r="K56" t="s">
        <v>125</v>
      </c>
      <c r="L56" t="s">
        <v>318</v>
      </c>
      <c r="U56" t="s">
        <v>149</v>
      </c>
      <c r="W56" t="s">
        <v>135</v>
      </c>
      <c r="X56">
        <v>3</v>
      </c>
      <c r="AC56" t="s">
        <v>136</v>
      </c>
      <c r="AE56" t="s">
        <v>137</v>
      </c>
    </row>
    <row r="57" spans="1:78" x14ac:dyDescent="0.2">
      <c r="A57" t="s">
        <v>119</v>
      </c>
      <c r="B57" t="s">
        <v>120</v>
      </c>
      <c r="C57" t="s">
        <v>319</v>
      </c>
      <c r="D57">
        <v>1</v>
      </c>
      <c r="E57" t="s">
        <v>320</v>
      </c>
      <c r="F57" t="s">
        <v>283</v>
      </c>
      <c r="G57" t="s">
        <v>124</v>
      </c>
      <c r="H57" t="s">
        <v>125</v>
      </c>
      <c r="I57">
        <v>0</v>
      </c>
      <c r="J57" t="s">
        <v>126</v>
      </c>
      <c r="K57" t="s">
        <v>125</v>
      </c>
      <c r="L57" t="s">
        <v>321</v>
      </c>
      <c r="U57" t="s">
        <v>209</v>
      </c>
      <c r="W57" t="s">
        <v>155</v>
      </c>
      <c r="X57">
        <v>2</v>
      </c>
      <c r="AC57" t="s">
        <v>136</v>
      </c>
      <c r="AE57" t="s">
        <v>137</v>
      </c>
    </row>
    <row r="58" spans="1:78" x14ac:dyDescent="0.2">
      <c r="A58" t="s">
        <v>119</v>
      </c>
      <c r="B58" t="s">
        <v>120</v>
      </c>
      <c r="C58" t="s">
        <v>322</v>
      </c>
      <c r="D58">
        <v>7</v>
      </c>
      <c r="E58" t="s">
        <v>323</v>
      </c>
      <c r="F58" t="s">
        <v>283</v>
      </c>
      <c r="G58" t="s">
        <v>124</v>
      </c>
      <c r="H58" t="s">
        <v>125</v>
      </c>
      <c r="I58">
        <v>0</v>
      </c>
      <c r="J58" t="s">
        <v>126</v>
      </c>
      <c r="K58" t="s">
        <v>125</v>
      </c>
      <c r="L58" t="s">
        <v>324</v>
      </c>
      <c r="U58" t="s">
        <v>149</v>
      </c>
      <c r="W58" t="s">
        <v>135</v>
      </c>
      <c r="X58">
        <v>1</v>
      </c>
      <c r="AC58" t="s">
        <v>136</v>
      </c>
      <c r="AE58" t="s">
        <v>137</v>
      </c>
    </row>
    <row r="59" spans="1:78" x14ac:dyDescent="0.2">
      <c r="A59" t="s">
        <v>119</v>
      </c>
      <c r="B59" t="s">
        <v>120</v>
      </c>
      <c r="C59" t="s">
        <v>322</v>
      </c>
      <c r="D59">
        <v>18</v>
      </c>
      <c r="E59" t="s">
        <v>204</v>
      </c>
      <c r="F59" t="s">
        <v>205</v>
      </c>
      <c r="G59" t="s">
        <v>124</v>
      </c>
      <c r="H59" t="s">
        <v>125</v>
      </c>
      <c r="I59">
        <v>13</v>
      </c>
      <c r="J59" t="s">
        <v>161</v>
      </c>
      <c r="K59" t="s">
        <v>125</v>
      </c>
      <c r="L59" t="s">
        <v>325</v>
      </c>
      <c r="U59" t="s">
        <v>149</v>
      </c>
      <c r="W59" t="s">
        <v>135</v>
      </c>
      <c r="X59">
        <v>1</v>
      </c>
      <c r="AC59" t="s">
        <v>136</v>
      </c>
      <c r="AE59" t="s">
        <v>137</v>
      </c>
    </row>
    <row r="60" spans="1:78" x14ac:dyDescent="0.2">
      <c r="A60" t="s">
        <v>119</v>
      </c>
      <c r="B60" t="s">
        <v>120</v>
      </c>
      <c r="C60" t="s">
        <v>326</v>
      </c>
      <c r="D60">
        <v>4</v>
      </c>
      <c r="E60" t="s">
        <v>327</v>
      </c>
      <c r="F60" t="s">
        <v>198</v>
      </c>
      <c r="G60" t="s">
        <v>124</v>
      </c>
      <c r="H60" t="s">
        <v>125</v>
      </c>
      <c r="I60">
        <v>0</v>
      </c>
      <c r="J60" t="s">
        <v>126</v>
      </c>
      <c r="K60" t="s">
        <v>125</v>
      </c>
      <c r="L60" t="s">
        <v>328</v>
      </c>
      <c r="U60" t="s">
        <v>149</v>
      </c>
      <c r="W60" t="s">
        <v>135</v>
      </c>
      <c r="X60">
        <v>3</v>
      </c>
      <c r="AC60" t="s">
        <v>136</v>
      </c>
      <c r="AE60" t="s">
        <v>137</v>
      </c>
    </row>
    <row r="61" spans="1:78" hidden="1" x14ac:dyDescent="0.2">
      <c r="A61" t="s">
        <v>119</v>
      </c>
      <c r="B61" t="s">
        <v>120</v>
      </c>
      <c r="C61" t="s">
        <v>326</v>
      </c>
      <c r="D61">
        <v>8</v>
      </c>
      <c r="E61" t="s">
        <v>204</v>
      </c>
      <c r="F61" t="s">
        <v>205</v>
      </c>
      <c r="G61" t="s">
        <v>124</v>
      </c>
      <c r="H61" t="s">
        <v>125</v>
      </c>
      <c r="I61">
        <v>4</v>
      </c>
      <c r="J61" t="s">
        <v>264</v>
      </c>
      <c r="K61" t="s">
        <v>125</v>
      </c>
      <c r="L61" t="s">
        <v>329</v>
      </c>
      <c r="T61" t="s">
        <v>154</v>
      </c>
    </row>
    <row r="62" spans="1:78" x14ac:dyDescent="0.2">
      <c r="A62" t="s">
        <v>119</v>
      </c>
      <c r="B62" t="s">
        <v>120</v>
      </c>
      <c r="C62" t="s">
        <v>326</v>
      </c>
      <c r="D62">
        <v>17</v>
      </c>
      <c r="E62" t="s">
        <v>330</v>
      </c>
      <c r="F62" t="s">
        <v>331</v>
      </c>
      <c r="G62" t="s">
        <v>124</v>
      </c>
      <c r="H62" t="s">
        <v>125</v>
      </c>
      <c r="I62">
        <v>8</v>
      </c>
      <c r="J62" t="s">
        <v>268</v>
      </c>
      <c r="K62" t="s">
        <v>125</v>
      </c>
      <c r="L62" t="s">
        <v>332</v>
      </c>
      <c r="U62" t="s">
        <v>149</v>
      </c>
      <c r="W62" t="s">
        <v>135</v>
      </c>
      <c r="X62">
        <v>3</v>
      </c>
      <c r="AC62" t="s">
        <v>136</v>
      </c>
      <c r="AE62" t="s">
        <v>137</v>
      </c>
    </row>
    <row r="63" spans="1:78" hidden="1" x14ac:dyDescent="0.2">
      <c r="A63" t="s">
        <v>119</v>
      </c>
      <c r="B63" t="s">
        <v>120</v>
      </c>
      <c r="C63" t="s">
        <v>326</v>
      </c>
      <c r="D63">
        <v>26</v>
      </c>
      <c r="E63" t="s">
        <v>333</v>
      </c>
      <c r="F63" t="s">
        <v>334</v>
      </c>
      <c r="G63" t="s">
        <v>124</v>
      </c>
      <c r="H63" t="s">
        <v>125</v>
      </c>
      <c r="I63">
        <v>17</v>
      </c>
      <c r="J63" t="s">
        <v>268</v>
      </c>
      <c r="K63" t="s">
        <v>125</v>
      </c>
      <c r="L63" t="s">
        <v>335</v>
      </c>
      <c r="T63" t="s">
        <v>142</v>
      </c>
      <c r="W63" t="s">
        <v>135</v>
      </c>
      <c r="AC63" t="s">
        <v>143</v>
      </c>
      <c r="AE63" t="s">
        <v>144</v>
      </c>
      <c r="AG63">
        <v>25</v>
      </c>
      <c r="AH63" t="s">
        <v>218</v>
      </c>
      <c r="AI63" t="s">
        <v>205</v>
      </c>
      <c r="AJ63" t="s">
        <v>131</v>
      </c>
      <c r="AK63" t="s">
        <v>125</v>
      </c>
      <c r="AL63">
        <v>26</v>
      </c>
      <c r="AM63" t="s">
        <v>132</v>
      </c>
      <c r="AN63" t="s">
        <v>125</v>
      </c>
      <c r="AO63" t="s">
        <v>336</v>
      </c>
      <c r="BP63" t="s">
        <v>149</v>
      </c>
      <c r="BR63" t="s">
        <v>155</v>
      </c>
      <c r="BS63">
        <v>3</v>
      </c>
      <c r="BX63" t="s">
        <v>136</v>
      </c>
      <c r="BZ63" t="s">
        <v>137</v>
      </c>
    </row>
    <row r="64" spans="1:78" hidden="1" x14ac:dyDescent="0.2">
      <c r="A64" t="s">
        <v>119</v>
      </c>
      <c r="B64" t="s">
        <v>120</v>
      </c>
      <c r="C64" t="s">
        <v>326</v>
      </c>
      <c r="D64">
        <v>37</v>
      </c>
      <c r="E64" t="s">
        <v>139</v>
      </c>
      <c r="F64" t="s">
        <v>140</v>
      </c>
      <c r="G64" t="s">
        <v>124</v>
      </c>
      <c r="H64" t="s">
        <v>125</v>
      </c>
      <c r="I64">
        <v>32</v>
      </c>
      <c r="J64" t="s">
        <v>161</v>
      </c>
      <c r="K64" t="s">
        <v>125</v>
      </c>
      <c r="L64" t="s">
        <v>337</v>
      </c>
      <c r="T64" t="s">
        <v>142</v>
      </c>
      <c r="W64" t="s">
        <v>135</v>
      </c>
      <c r="AC64" t="s">
        <v>143</v>
      </c>
      <c r="AE64" t="s">
        <v>144</v>
      </c>
      <c r="AG64">
        <v>35</v>
      </c>
      <c r="AH64" t="s">
        <v>207</v>
      </c>
      <c r="AI64" t="s">
        <v>146</v>
      </c>
      <c r="AJ64" t="s">
        <v>131</v>
      </c>
      <c r="AK64" t="s">
        <v>125</v>
      </c>
      <c r="AL64">
        <v>37</v>
      </c>
      <c r="AM64" t="s">
        <v>338</v>
      </c>
      <c r="AN64" t="s">
        <v>125</v>
      </c>
      <c r="AO64" t="s">
        <v>339</v>
      </c>
      <c r="BP64" t="s">
        <v>149</v>
      </c>
      <c r="BR64" t="s">
        <v>135</v>
      </c>
      <c r="BS64">
        <v>3</v>
      </c>
      <c r="BX64" t="s">
        <v>209</v>
      </c>
      <c r="BZ64" t="s">
        <v>137</v>
      </c>
    </row>
    <row r="65" spans="1:78" hidden="1" x14ac:dyDescent="0.2">
      <c r="A65" t="s">
        <v>119</v>
      </c>
      <c r="B65" t="s">
        <v>120</v>
      </c>
      <c r="C65" t="s">
        <v>326</v>
      </c>
      <c r="D65">
        <v>42</v>
      </c>
      <c r="E65" t="s">
        <v>207</v>
      </c>
      <c r="F65" t="s">
        <v>146</v>
      </c>
      <c r="G65" t="s">
        <v>124</v>
      </c>
      <c r="H65" t="s">
        <v>125</v>
      </c>
      <c r="I65">
        <v>37</v>
      </c>
      <c r="J65" t="s">
        <v>161</v>
      </c>
      <c r="K65" t="s">
        <v>125</v>
      </c>
      <c r="L65" t="s">
        <v>340</v>
      </c>
      <c r="U65" t="s">
        <v>149</v>
      </c>
      <c r="W65" t="s">
        <v>135</v>
      </c>
      <c r="X65">
        <v>3</v>
      </c>
      <c r="AC65" t="s">
        <v>209</v>
      </c>
      <c r="AE65" t="s">
        <v>137</v>
      </c>
    </row>
    <row r="66" spans="1:78" x14ac:dyDescent="0.2">
      <c r="A66" t="s">
        <v>119</v>
      </c>
      <c r="B66" t="s">
        <v>120</v>
      </c>
      <c r="C66" t="s">
        <v>326</v>
      </c>
      <c r="D66">
        <v>49</v>
      </c>
      <c r="E66" t="s">
        <v>145</v>
      </c>
      <c r="F66" t="s">
        <v>146</v>
      </c>
      <c r="G66" t="s">
        <v>124</v>
      </c>
      <c r="H66" t="s">
        <v>125</v>
      </c>
      <c r="I66">
        <v>42</v>
      </c>
      <c r="J66" t="s">
        <v>161</v>
      </c>
      <c r="K66" t="s">
        <v>125</v>
      </c>
      <c r="L66" t="s">
        <v>341</v>
      </c>
      <c r="U66" t="s">
        <v>149</v>
      </c>
      <c r="W66" t="s">
        <v>135</v>
      </c>
      <c r="X66">
        <v>3</v>
      </c>
      <c r="AC66" t="s">
        <v>136</v>
      </c>
      <c r="AE66" t="s">
        <v>137</v>
      </c>
    </row>
    <row r="67" spans="1:78" x14ac:dyDescent="0.2">
      <c r="A67" t="s">
        <v>119</v>
      </c>
      <c r="B67" t="s">
        <v>120</v>
      </c>
      <c r="C67" t="s">
        <v>342</v>
      </c>
      <c r="D67">
        <v>7</v>
      </c>
      <c r="E67" t="s">
        <v>343</v>
      </c>
      <c r="F67" t="s">
        <v>311</v>
      </c>
      <c r="G67" t="s">
        <v>124</v>
      </c>
      <c r="H67" t="s">
        <v>125</v>
      </c>
      <c r="I67">
        <v>0</v>
      </c>
      <c r="J67" t="s">
        <v>126</v>
      </c>
      <c r="K67" t="s">
        <v>125</v>
      </c>
      <c r="L67" t="s">
        <v>344</v>
      </c>
      <c r="U67" t="s">
        <v>149</v>
      </c>
      <c r="W67" t="s">
        <v>135</v>
      </c>
      <c r="X67">
        <v>1</v>
      </c>
      <c r="AC67" t="s">
        <v>136</v>
      </c>
      <c r="AE67" t="s">
        <v>137</v>
      </c>
    </row>
    <row r="68" spans="1:78" hidden="1" x14ac:dyDescent="0.2">
      <c r="A68" t="s">
        <v>119</v>
      </c>
      <c r="B68" t="s">
        <v>120</v>
      </c>
      <c r="C68" t="s">
        <v>342</v>
      </c>
      <c r="D68">
        <v>16</v>
      </c>
      <c r="E68" t="s">
        <v>207</v>
      </c>
      <c r="F68" t="s">
        <v>146</v>
      </c>
      <c r="G68" t="s">
        <v>124</v>
      </c>
      <c r="H68" t="s">
        <v>125</v>
      </c>
      <c r="I68">
        <v>13</v>
      </c>
      <c r="J68" t="s">
        <v>161</v>
      </c>
      <c r="K68" t="s">
        <v>125</v>
      </c>
      <c r="L68" t="s">
        <v>345</v>
      </c>
      <c r="U68" t="s">
        <v>149</v>
      </c>
      <c r="W68" t="s">
        <v>135</v>
      </c>
      <c r="X68">
        <v>3</v>
      </c>
      <c r="AC68" t="s">
        <v>209</v>
      </c>
      <c r="AE68" t="s">
        <v>137</v>
      </c>
    </row>
    <row r="69" spans="1:78" hidden="1" x14ac:dyDescent="0.2">
      <c r="A69" t="s">
        <v>119</v>
      </c>
      <c r="B69" t="s">
        <v>120</v>
      </c>
      <c r="C69" t="s">
        <v>342</v>
      </c>
      <c r="D69">
        <v>20</v>
      </c>
      <c r="E69" t="s">
        <v>207</v>
      </c>
      <c r="F69" t="s">
        <v>146</v>
      </c>
      <c r="G69" t="s">
        <v>124</v>
      </c>
      <c r="H69" t="s">
        <v>125</v>
      </c>
      <c r="I69">
        <v>13</v>
      </c>
      <c r="J69" t="s">
        <v>199</v>
      </c>
      <c r="K69" t="s">
        <v>125</v>
      </c>
      <c r="L69" t="s">
        <v>346</v>
      </c>
      <c r="U69" t="s">
        <v>149</v>
      </c>
      <c r="W69" t="s">
        <v>135</v>
      </c>
      <c r="X69">
        <v>3</v>
      </c>
      <c r="AC69" t="s">
        <v>209</v>
      </c>
      <c r="AE69" t="s">
        <v>137</v>
      </c>
    </row>
    <row r="70" spans="1:78" x14ac:dyDescent="0.2">
      <c r="A70" t="s">
        <v>119</v>
      </c>
      <c r="B70" t="s">
        <v>120</v>
      </c>
      <c r="C70" t="s">
        <v>342</v>
      </c>
      <c r="D70">
        <v>29</v>
      </c>
      <c r="E70" t="s">
        <v>204</v>
      </c>
      <c r="F70" t="s">
        <v>205</v>
      </c>
      <c r="G70" t="s">
        <v>124</v>
      </c>
      <c r="H70" t="s">
        <v>125</v>
      </c>
      <c r="I70">
        <v>10</v>
      </c>
      <c r="J70" t="s">
        <v>161</v>
      </c>
      <c r="K70" t="s">
        <v>125</v>
      </c>
      <c r="L70" t="s">
        <v>347</v>
      </c>
      <c r="U70" t="s">
        <v>149</v>
      </c>
      <c r="W70" t="s">
        <v>135</v>
      </c>
      <c r="X70">
        <v>1</v>
      </c>
      <c r="AC70" t="s">
        <v>136</v>
      </c>
      <c r="AE70" t="s">
        <v>137</v>
      </c>
    </row>
    <row r="71" spans="1:78" x14ac:dyDescent="0.2">
      <c r="A71" t="s">
        <v>119</v>
      </c>
      <c r="B71" t="s">
        <v>120</v>
      </c>
      <c r="C71" t="s">
        <v>348</v>
      </c>
      <c r="D71">
        <v>10</v>
      </c>
      <c r="E71" t="s">
        <v>349</v>
      </c>
      <c r="F71" t="s">
        <v>350</v>
      </c>
      <c r="G71" t="s">
        <v>124</v>
      </c>
      <c r="H71" t="s">
        <v>125</v>
      </c>
      <c r="I71">
        <v>4</v>
      </c>
      <c r="J71" t="s">
        <v>161</v>
      </c>
      <c r="K71" t="s">
        <v>125</v>
      </c>
      <c r="L71" t="s">
        <v>351</v>
      </c>
      <c r="U71" t="s">
        <v>209</v>
      </c>
      <c r="W71" t="s">
        <v>135</v>
      </c>
      <c r="X71">
        <v>2</v>
      </c>
      <c r="AC71" t="s">
        <v>136</v>
      </c>
      <c r="AE71" t="s">
        <v>137</v>
      </c>
    </row>
    <row r="72" spans="1:78" hidden="1" x14ac:dyDescent="0.2">
      <c r="A72" t="s">
        <v>119</v>
      </c>
      <c r="B72" t="s">
        <v>120</v>
      </c>
      <c r="C72" t="s">
        <v>348</v>
      </c>
      <c r="D72">
        <v>16</v>
      </c>
      <c r="E72" t="s">
        <v>352</v>
      </c>
      <c r="F72" t="s">
        <v>353</v>
      </c>
      <c r="G72" t="s">
        <v>124</v>
      </c>
      <c r="H72" t="s">
        <v>125</v>
      </c>
      <c r="I72">
        <v>4</v>
      </c>
      <c r="J72" t="s">
        <v>161</v>
      </c>
      <c r="K72" t="s">
        <v>125</v>
      </c>
      <c r="L72" t="s">
        <v>354</v>
      </c>
      <c r="T72" t="s">
        <v>154</v>
      </c>
      <c r="W72" t="s">
        <v>155</v>
      </c>
      <c r="AC72" t="s">
        <v>143</v>
      </c>
      <c r="AE72" t="s">
        <v>144</v>
      </c>
    </row>
    <row r="73" spans="1:78" hidden="1" x14ac:dyDescent="0.2">
      <c r="A73" t="s">
        <v>119</v>
      </c>
      <c r="B73" t="s">
        <v>120</v>
      </c>
      <c r="C73" t="s">
        <v>348</v>
      </c>
      <c r="D73">
        <v>23</v>
      </c>
      <c r="E73" t="s">
        <v>355</v>
      </c>
      <c r="F73" t="s">
        <v>191</v>
      </c>
      <c r="G73" t="s">
        <v>124</v>
      </c>
      <c r="H73" t="s">
        <v>125</v>
      </c>
      <c r="I73">
        <v>20</v>
      </c>
      <c r="J73" t="s">
        <v>170</v>
      </c>
      <c r="K73" t="s">
        <v>125</v>
      </c>
      <c r="L73" t="s">
        <v>356</v>
      </c>
      <c r="T73" t="s">
        <v>154</v>
      </c>
      <c r="W73" t="s">
        <v>155</v>
      </c>
    </row>
    <row r="74" spans="1:78" x14ac:dyDescent="0.2">
      <c r="A74" t="s">
        <v>119</v>
      </c>
      <c r="B74" t="s">
        <v>120</v>
      </c>
      <c r="C74" t="s">
        <v>357</v>
      </c>
      <c r="D74">
        <v>6</v>
      </c>
      <c r="E74" t="s">
        <v>191</v>
      </c>
      <c r="F74" t="s">
        <v>191</v>
      </c>
      <c r="G74" t="s">
        <v>124</v>
      </c>
      <c r="H74" t="s">
        <v>125</v>
      </c>
      <c r="I74">
        <v>0</v>
      </c>
      <c r="J74" t="s">
        <v>126</v>
      </c>
      <c r="K74" t="s">
        <v>125</v>
      </c>
      <c r="L74" t="s">
        <v>358</v>
      </c>
      <c r="U74" t="s">
        <v>149</v>
      </c>
      <c r="W74" t="s">
        <v>135</v>
      </c>
      <c r="X74">
        <v>1</v>
      </c>
      <c r="AC74" t="s">
        <v>136</v>
      </c>
      <c r="AE74" t="s">
        <v>137</v>
      </c>
    </row>
    <row r="75" spans="1:78" x14ac:dyDescent="0.2">
      <c r="A75" t="s">
        <v>119</v>
      </c>
      <c r="B75" t="s">
        <v>120</v>
      </c>
      <c r="C75" t="s">
        <v>357</v>
      </c>
      <c r="D75">
        <v>7</v>
      </c>
      <c r="E75" t="s">
        <v>260</v>
      </c>
      <c r="F75" t="s">
        <v>261</v>
      </c>
      <c r="G75" t="s">
        <v>124</v>
      </c>
      <c r="H75" t="s">
        <v>125</v>
      </c>
      <c r="I75">
        <v>6</v>
      </c>
      <c r="J75" t="s">
        <v>182</v>
      </c>
      <c r="K75" t="s">
        <v>125</v>
      </c>
      <c r="L75" t="s">
        <v>359</v>
      </c>
      <c r="U75" t="s">
        <v>149</v>
      </c>
      <c r="W75" t="s">
        <v>155</v>
      </c>
      <c r="X75">
        <v>1</v>
      </c>
      <c r="AC75" t="s">
        <v>136</v>
      </c>
      <c r="AE75" t="s">
        <v>137</v>
      </c>
    </row>
    <row r="76" spans="1:78" x14ac:dyDescent="0.2">
      <c r="A76" t="s">
        <v>119</v>
      </c>
      <c r="B76" t="s">
        <v>120</v>
      </c>
      <c r="C76" t="s">
        <v>357</v>
      </c>
      <c r="D76">
        <v>18</v>
      </c>
      <c r="E76" t="s">
        <v>360</v>
      </c>
      <c r="F76" t="s">
        <v>361</v>
      </c>
      <c r="G76" t="s">
        <v>124</v>
      </c>
      <c r="H76" t="s">
        <v>125</v>
      </c>
      <c r="I76">
        <v>6</v>
      </c>
      <c r="J76" t="s">
        <v>268</v>
      </c>
      <c r="K76" t="s">
        <v>125</v>
      </c>
      <c r="L76" t="s">
        <v>362</v>
      </c>
      <c r="U76" t="s">
        <v>309</v>
      </c>
      <c r="W76" t="s">
        <v>135</v>
      </c>
      <c r="X76">
        <v>3</v>
      </c>
      <c r="AC76" t="s">
        <v>136</v>
      </c>
      <c r="AE76" t="s">
        <v>137</v>
      </c>
    </row>
    <row r="77" spans="1:78" x14ac:dyDescent="0.2">
      <c r="A77" t="s">
        <v>119</v>
      </c>
      <c r="B77" t="s">
        <v>120</v>
      </c>
      <c r="C77" t="s">
        <v>357</v>
      </c>
      <c r="D77">
        <v>35</v>
      </c>
      <c r="E77" t="s">
        <v>363</v>
      </c>
      <c r="F77" t="s">
        <v>364</v>
      </c>
      <c r="G77" t="s">
        <v>124</v>
      </c>
      <c r="H77" t="s">
        <v>125</v>
      </c>
      <c r="I77">
        <v>18</v>
      </c>
      <c r="J77" t="s">
        <v>268</v>
      </c>
      <c r="K77" t="s">
        <v>125</v>
      </c>
      <c r="L77" t="s">
        <v>365</v>
      </c>
      <c r="U77" t="s">
        <v>149</v>
      </c>
      <c r="W77" t="s">
        <v>135</v>
      </c>
      <c r="X77">
        <v>2</v>
      </c>
      <c r="AC77" t="s">
        <v>136</v>
      </c>
      <c r="AE77" t="s">
        <v>137</v>
      </c>
    </row>
    <row r="78" spans="1:78" x14ac:dyDescent="0.2">
      <c r="A78" t="s">
        <v>119</v>
      </c>
      <c r="B78" t="s">
        <v>120</v>
      </c>
      <c r="C78" t="s">
        <v>366</v>
      </c>
      <c r="D78">
        <v>3</v>
      </c>
      <c r="E78" t="s">
        <v>191</v>
      </c>
      <c r="F78" t="s">
        <v>169</v>
      </c>
      <c r="G78" t="s">
        <v>124</v>
      </c>
      <c r="H78" t="s">
        <v>125</v>
      </c>
      <c r="I78">
        <v>8</v>
      </c>
      <c r="J78" t="s">
        <v>367</v>
      </c>
      <c r="K78" t="s">
        <v>125</v>
      </c>
      <c r="L78" t="s">
        <v>368</v>
      </c>
      <c r="U78" t="s">
        <v>149</v>
      </c>
      <c r="W78" t="s">
        <v>135</v>
      </c>
      <c r="X78">
        <v>1</v>
      </c>
      <c r="AC78" t="s">
        <v>136</v>
      </c>
      <c r="AE78" t="s">
        <v>137</v>
      </c>
    </row>
    <row r="79" spans="1:78" x14ac:dyDescent="0.2">
      <c r="A79" t="s">
        <v>119</v>
      </c>
      <c r="B79" t="s">
        <v>120</v>
      </c>
      <c r="C79" t="s">
        <v>369</v>
      </c>
      <c r="D79">
        <v>3</v>
      </c>
      <c r="E79" t="s">
        <v>370</v>
      </c>
      <c r="F79" t="s">
        <v>140</v>
      </c>
      <c r="G79" t="s">
        <v>124</v>
      </c>
      <c r="H79" t="s">
        <v>125</v>
      </c>
      <c r="I79">
        <v>0</v>
      </c>
      <c r="J79" t="s">
        <v>126</v>
      </c>
      <c r="K79" t="s">
        <v>125</v>
      </c>
      <c r="L79" t="s">
        <v>371</v>
      </c>
      <c r="U79" t="s">
        <v>149</v>
      </c>
      <c r="W79" t="s">
        <v>135</v>
      </c>
      <c r="X79">
        <v>3</v>
      </c>
      <c r="AC79" t="s">
        <v>136</v>
      </c>
      <c r="AE79" t="s">
        <v>137</v>
      </c>
    </row>
    <row r="80" spans="1:78" hidden="1" x14ac:dyDescent="0.2">
      <c r="A80" t="s">
        <v>119</v>
      </c>
      <c r="B80" t="s">
        <v>120</v>
      </c>
      <c r="C80" t="s">
        <v>372</v>
      </c>
      <c r="D80">
        <v>8</v>
      </c>
      <c r="E80" t="s">
        <v>373</v>
      </c>
      <c r="F80" t="s">
        <v>373</v>
      </c>
      <c r="G80" t="s">
        <v>124</v>
      </c>
      <c r="H80" t="s">
        <v>125</v>
      </c>
      <c r="I80">
        <v>0</v>
      </c>
      <c r="J80" t="s">
        <v>126</v>
      </c>
      <c r="K80" t="s">
        <v>125</v>
      </c>
      <c r="L80" t="s">
        <v>374</v>
      </c>
      <c r="AE80" t="s">
        <v>128</v>
      </c>
      <c r="AG80">
        <v>7</v>
      </c>
      <c r="AH80" t="s">
        <v>375</v>
      </c>
      <c r="AI80" t="s">
        <v>130</v>
      </c>
      <c r="AJ80" t="s">
        <v>131</v>
      </c>
      <c r="AK80" t="s">
        <v>125</v>
      </c>
      <c r="AL80">
        <v>8</v>
      </c>
      <c r="AM80" t="s">
        <v>132</v>
      </c>
      <c r="AN80" t="s">
        <v>125</v>
      </c>
      <c r="AO80" t="s">
        <v>376</v>
      </c>
      <c r="BP80" t="s">
        <v>149</v>
      </c>
      <c r="BR80" t="s">
        <v>135</v>
      </c>
      <c r="BS80">
        <v>2</v>
      </c>
      <c r="BX80" t="s">
        <v>136</v>
      </c>
      <c r="BZ80" t="s">
        <v>137</v>
      </c>
    </row>
    <row r="81" spans="1:78" hidden="1" x14ac:dyDescent="0.2">
      <c r="A81" t="s">
        <v>119</v>
      </c>
      <c r="B81" t="s">
        <v>120</v>
      </c>
      <c r="C81" t="s">
        <v>372</v>
      </c>
      <c r="D81">
        <v>12</v>
      </c>
      <c r="E81" t="s">
        <v>377</v>
      </c>
      <c r="F81" t="s">
        <v>350</v>
      </c>
      <c r="G81" t="s">
        <v>124</v>
      </c>
      <c r="H81" t="s">
        <v>125</v>
      </c>
      <c r="I81">
        <v>8</v>
      </c>
      <c r="J81" t="s">
        <v>294</v>
      </c>
      <c r="K81" t="s">
        <v>125</v>
      </c>
      <c r="L81" t="s">
        <v>378</v>
      </c>
    </row>
    <row r="82" spans="1:78" x14ac:dyDescent="0.2">
      <c r="A82" t="s">
        <v>119</v>
      </c>
      <c r="B82" t="s">
        <v>120</v>
      </c>
      <c r="C82" t="s">
        <v>379</v>
      </c>
      <c r="D82">
        <v>6</v>
      </c>
      <c r="E82" t="s">
        <v>380</v>
      </c>
      <c r="F82" t="s">
        <v>146</v>
      </c>
      <c r="G82" t="s">
        <v>124</v>
      </c>
      <c r="H82" t="s">
        <v>125</v>
      </c>
      <c r="I82">
        <v>5</v>
      </c>
      <c r="J82" t="s">
        <v>381</v>
      </c>
      <c r="K82" t="s">
        <v>125</v>
      </c>
      <c r="L82" t="s">
        <v>382</v>
      </c>
      <c r="U82" t="s">
        <v>309</v>
      </c>
      <c r="W82" t="s">
        <v>135</v>
      </c>
      <c r="X82">
        <v>3</v>
      </c>
      <c r="AC82" t="s">
        <v>136</v>
      </c>
      <c r="AE82" t="s">
        <v>137</v>
      </c>
    </row>
    <row r="83" spans="1:78" x14ac:dyDescent="0.2">
      <c r="A83" t="s">
        <v>119</v>
      </c>
      <c r="B83" t="s">
        <v>120</v>
      </c>
      <c r="C83" t="s">
        <v>379</v>
      </c>
      <c r="D83">
        <v>11</v>
      </c>
      <c r="E83" t="s">
        <v>160</v>
      </c>
      <c r="F83" t="s">
        <v>146</v>
      </c>
      <c r="G83" t="s">
        <v>124</v>
      </c>
      <c r="H83" t="s">
        <v>125</v>
      </c>
      <c r="I83">
        <v>0</v>
      </c>
      <c r="J83" t="s">
        <v>126</v>
      </c>
      <c r="K83" t="s">
        <v>125</v>
      </c>
      <c r="L83" t="s">
        <v>383</v>
      </c>
      <c r="U83" t="s">
        <v>149</v>
      </c>
      <c r="W83" t="s">
        <v>155</v>
      </c>
      <c r="X83">
        <v>3</v>
      </c>
      <c r="AC83" t="s">
        <v>136</v>
      </c>
      <c r="AE83" t="s">
        <v>137</v>
      </c>
    </row>
    <row r="84" spans="1:78" x14ac:dyDescent="0.2">
      <c r="A84" t="s">
        <v>119</v>
      </c>
      <c r="B84" t="s">
        <v>120</v>
      </c>
      <c r="C84" t="s">
        <v>379</v>
      </c>
      <c r="D84">
        <v>18</v>
      </c>
      <c r="E84" t="s">
        <v>145</v>
      </c>
      <c r="F84" t="s">
        <v>146</v>
      </c>
      <c r="G84" t="s">
        <v>124</v>
      </c>
      <c r="H84" t="s">
        <v>125</v>
      </c>
      <c r="I84">
        <v>11</v>
      </c>
      <c r="J84" t="s">
        <v>161</v>
      </c>
      <c r="K84" t="s">
        <v>125</v>
      </c>
      <c r="L84" t="s">
        <v>384</v>
      </c>
      <c r="U84" t="s">
        <v>149</v>
      </c>
      <c r="W84" t="s">
        <v>135</v>
      </c>
      <c r="X84">
        <v>3</v>
      </c>
      <c r="AC84" t="s">
        <v>136</v>
      </c>
      <c r="AE84" t="s">
        <v>137</v>
      </c>
    </row>
    <row r="85" spans="1:78" hidden="1" x14ac:dyDescent="0.2">
      <c r="A85" t="s">
        <v>119</v>
      </c>
      <c r="B85" t="s">
        <v>120</v>
      </c>
      <c r="C85" t="s">
        <v>379</v>
      </c>
      <c r="D85">
        <v>21</v>
      </c>
      <c r="E85" t="s">
        <v>385</v>
      </c>
      <c r="F85" t="s">
        <v>373</v>
      </c>
      <c r="G85" t="s">
        <v>124</v>
      </c>
      <c r="H85" t="s">
        <v>125</v>
      </c>
      <c r="I85">
        <v>19</v>
      </c>
      <c r="J85" t="s">
        <v>386</v>
      </c>
      <c r="K85" t="s">
        <v>125</v>
      </c>
      <c r="L85" t="s">
        <v>387</v>
      </c>
      <c r="AE85" t="s">
        <v>128</v>
      </c>
    </row>
    <row r="86" spans="1:78" hidden="1" x14ac:dyDescent="0.2">
      <c r="A86" t="s">
        <v>119</v>
      </c>
      <c r="B86" t="s">
        <v>120</v>
      </c>
      <c r="C86" t="s">
        <v>379</v>
      </c>
      <c r="D86">
        <v>26</v>
      </c>
      <c r="E86" t="s">
        <v>350</v>
      </c>
      <c r="F86" t="s">
        <v>350</v>
      </c>
      <c r="G86" t="s">
        <v>124</v>
      </c>
      <c r="H86" t="s">
        <v>125</v>
      </c>
      <c r="I86">
        <v>35</v>
      </c>
      <c r="J86" t="s">
        <v>367</v>
      </c>
      <c r="K86" t="s">
        <v>125</v>
      </c>
      <c r="L86" t="s">
        <v>388</v>
      </c>
      <c r="AE86" t="s">
        <v>128</v>
      </c>
    </row>
    <row r="87" spans="1:78" hidden="1" x14ac:dyDescent="0.2">
      <c r="A87" t="s">
        <v>119</v>
      </c>
      <c r="B87" t="s">
        <v>120</v>
      </c>
      <c r="C87" t="s">
        <v>389</v>
      </c>
      <c r="D87">
        <v>3</v>
      </c>
      <c r="E87" t="s">
        <v>390</v>
      </c>
      <c r="F87" t="s">
        <v>390</v>
      </c>
      <c r="G87" t="s">
        <v>124</v>
      </c>
      <c r="H87" t="s">
        <v>125</v>
      </c>
      <c r="I87">
        <v>2</v>
      </c>
      <c r="J87" t="s">
        <v>367</v>
      </c>
      <c r="K87" t="s">
        <v>125</v>
      </c>
      <c r="L87" t="s">
        <v>391</v>
      </c>
      <c r="AE87" t="s">
        <v>128</v>
      </c>
    </row>
    <row r="88" spans="1:78" hidden="1" x14ac:dyDescent="0.2">
      <c r="A88" t="s">
        <v>119</v>
      </c>
      <c r="B88" t="s">
        <v>120</v>
      </c>
      <c r="C88" t="s">
        <v>389</v>
      </c>
      <c r="D88">
        <v>9</v>
      </c>
      <c r="E88" t="s">
        <v>392</v>
      </c>
      <c r="F88" t="s">
        <v>373</v>
      </c>
      <c r="G88" t="s">
        <v>124</v>
      </c>
      <c r="H88" t="s">
        <v>125</v>
      </c>
      <c r="I88">
        <v>2</v>
      </c>
      <c r="J88" t="s">
        <v>161</v>
      </c>
      <c r="K88" t="s">
        <v>125</v>
      </c>
      <c r="L88" t="s">
        <v>393</v>
      </c>
      <c r="AE88" t="s">
        <v>394</v>
      </c>
    </row>
    <row r="89" spans="1:78" hidden="1" x14ac:dyDescent="0.2">
      <c r="A89" t="s">
        <v>119</v>
      </c>
      <c r="B89" t="s">
        <v>120</v>
      </c>
      <c r="C89" t="s">
        <v>395</v>
      </c>
      <c r="D89">
        <v>6</v>
      </c>
      <c r="E89" t="s">
        <v>360</v>
      </c>
      <c r="F89" t="s">
        <v>361</v>
      </c>
      <c r="G89" t="s">
        <v>124</v>
      </c>
      <c r="H89" t="s">
        <v>125</v>
      </c>
      <c r="I89">
        <v>3</v>
      </c>
      <c r="J89" t="s">
        <v>161</v>
      </c>
      <c r="K89" t="s">
        <v>125</v>
      </c>
      <c r="L89" t="s">
        <v>396</v>
      </c>
      <c r="T89" t="s">
        <v>154</v>
      </c>
      <c r="W89" t="s">
        <v>155</v>
      </c>
      <c r="AC89" t="s">
        <v>143</v>
      </c>
      <c r="AE89" t="s">
        <v>144</v>
      </c>
    </row>
    <row r="90" spans="1:78" x14ac:dyDescent="0.2">
      <c r="A90" t="s">
        <v>119</v>
      </c>
      <c r="B90" t="s">
        <v>120</v>
      </c>
      <c r="C90" t="s">
        <v>397</v>
      </c>
      <c r="D90">
        <v>4</v>
      </c>
      <c r="E90" t="s">
        <v>229</v>
      </c>
      <c r="F90" t="s">
        <v>205</v>
      </c>
      <c r="G90" t="s">
        <v>124</v>
      </c>
      <c r="H90" t="s">
        <v>125</v>
      </c>
      <c r="I90">
        <v>0</v>
      </c>
      <c r="J90" t="s">
        <v>126</v>
      </c>
      <c r="K90" t="s">
        <v>125</v>
      </c>
      <c r="L90" t="s">
        <v>398</v>
      </c>
      <c r="U90" t="s">
        <v>149</v>
      </c>
      <c r="W90" t="s">
        <v>155</v>
      </c>
      <c r="X90">
        <v>2</v>
      </c>
      <c r="AC90" t="s">
        <v>136</v>
      </c>
      <c r="AE90" t="s">
        <v>137</v>
      </c>
    </row>
    <row r="91" spans="1:78" x14ac:dyDescent="0.2">
      <c r="A91" t="s">
        <v>119</v>
      </c>
      <c r="B91" t="s">
        <v>120</v>
      </c>
      <c r="C91" t="s">
        <v>399</v>
      </c>
      <c r="D91">
        <v>4</v>
      </c>
      <c r="E91" t="s">
        <v>160</v>
      </c>
      <c r="F91" t="s">
        <v>146</v>
      </c>
      <c r="G91" t="s">
        <v>124</v>
      </c>
      <c r="H91" t="s">
        <v>125</v>
      </c>
      <c r="I91">
        <v>0</v>
      </c>
      <c r="J91" t="s">
        <v>126</v>
      </c>
      <c r="K91" t="s">
        <v>125</v>
      </c>
      <c r="L91" t="s">
        <v>400</v>
      </c>
      <c r="U91" t="s">
        <v>149</v>
      </c>
      <c r="W91" t="s">
        <v>155</v>
      </c>
      <c r="X91">
        <v>3</v>
      </c>
      <c r="AC91" t="s">
        <v>136</v>
      </c>
      <c r="AE91" t="s">
        <v>137</v>
      </c>
    </row>
    <row r="92" spans="1:78" x14ac:dyDescent="0.2">
      <c r="A92" t="s">
        <v>119</v>
      </c>
      <c r="B92" t="s">
        <v>120</v>
      </c>
      <c r="C92" t="s">
        <v>399</v>
      </c>
      <c r="D92">
        <v>7</v>
      </c>
      <c r="E92" t="s">
        <v>401</v>
      </c>
      <c r="F92" t="s">
        <v>402</v>
      </c>
      <c r="G92" t="s">
        <v>124</v>
      </c>
      <c r="H92" t="s">
        <v>125</v>
      </c>
      <c r="I92">
        <v>4</v>
      </c>
      <c r="J92" t="s">
        <v>161</v>
      </c>
      <c r="K92" t="s">
        <v>125</v>
      </c>
      <c r="L92" t="s">
        <v>403</v>
      </c>
      <c r="U92" t="s">
        <v>149</v>
      </c>
      <c r="W92" t="s">
        <v>155</v>
      </c>
      <c r="X92">
        <v>3</v>
      </c>
      <c r="AC92" t="s">
        <v>136</v>
      </c>
      <c r="AE92" t="s">
        <v>137</v>
      </c>
    </row>
    <row r="93" spans="1:78" hidden="1" x14ac:dyDescent="0.2">
      <c r="A93" t="s">
        <v>119</v>
      </c>
      <c r="B93" t="s">
        <v>120</v>
      </c>
      <c r="C93" t="s">
        <v>399</v>
      </c>
      <c r="D93">
        <v>23</v>
      </c>
      <c r="E93" t="s">
        <v>404</v>
      </c>
      <c r="F93" t="s">
        <v>361</v>
      </c>
      <c r="G93" t="s">
        <v>124</v>
      </c>
      <c r="H93" t="s">
        <v>125</v>
      </c>
      <c r="I93">
        <v>22</v>
      </c>
      <c r="J93" t="s">
        <v>367</v>
      </c>
      <c r="K93" t="s">
        <v>125</v>
      </c>
      <c r="L93" t="s">
        <v>405</v>
      </c>
      <c r="AE93" t="s">
        <v>128</v>
      </c>
    </row>
    <row r="94" spans="1:78" hidden="1" x14ac:dyDescent="0.2">
      <c r="A94" t="s">
        <v>119</v>
      </c>
      <c r="B94" t="s">
        <v>120</v>
      </c>
      <c r="C94" t="s">
        <v>406</v>
      </c>
      <c r="D94">
        <v>4</v>
      </c>
      <c r="E94" t="s">
        <v>407</v>
      </c>
      <c r="F94" t="s">
        <v>140</v>
      </c>
      <c r="G94" t="s">
        <v>124</v>
      </c>
      <c r="H94" t="s">
        <v>125</v>
      </c>
      <c r="I94">
        <v>0</v>
      </c>
      <c r="J94" t="s">
        <v>126</v>
      </c>
      <c r="K94" t="s">
        <v>125</v>
      </c>
      <c r="L94" t="s">
        <v>408</v>
      </c>
      <c r="T94" t="s">
        <v>154</v>
      </c>
      <c r="W94" t="s">
        <v>135</v>
      </c>
      <c r="AC94" t="s">
        <v>143</v>
      </c>
      <c r="AE94" t="s">
        <v>144</v>
      </c>
      <c r="AG94">
        <v>3</v>
      </c>
      <c r="AH94" t="s">
        <v>204</v>
      </c>
      <c r="AI94" t="s">
        <v>205</v>
      </c>
      <c r="AJ94" t="s">
        <v>131</v>
      </c>
      <c r="AK94" t="s">
        <v>125</v>
      </c>
      <c r="AL94">
        <v>4</v>
      </c>
      <c r="AM94" t="s">
        <v>132</v>
      </c>
      <c r="AN94" t="s">
        <v>125</v>
      </c>
      <c r="AO94" t="s">
        <v>409</v>
      </c>
      <c r="BP94" t="s">
        <v>149</v>
      </c>
      <c r="BR94" t="s">
        <v>135</v>
      </c>
      <c r="BS94">
        <v>1</v>
      </c>
      <c r="BX94" t="s">
        <v>136</v>
      </c>
      <c r="BZ94" t="s">
        <v>137</v>
      </c>
    </row>
    <row r="95" spans="1:78" x14ac:dyDescent="0.2">
      <c r="A95" t="s">
        <v>119</v>
      </c>
      <c r="B95" t="s">
        <v>120</v>
      </c>
      <c r="C95" t="s">
        <v>406</v>
      </c>
      <c r="D95">
        <v>15</v>
      </c>
      <c r="E95" t="s">
        <v>410</v>
      </c>
      <c r="F95" t="s">
        <v>411</v>
      </c>
      <c r="G95" t="s">
        <v>124</v>
      </c>
      <c r="H95" t="s">
        <v>125</v>
      </c>
      <c r="I95">
        <v>4</v>
      </c>
      <c r="J95" t="s">
        <v>161</v>
      </c>
      <c r="K95" t="s">
        <v>125</v>
      </c>
      <c r="L95" t="s">
        <v>412</v>
      </c>
      <c r="U95" t="s">
        <v>149</v>
      </c>
      <c r="W95" t="s">
        <v>135</v>
      </c>
      <c r="X95">
        <v>1</v>
      </c>
      <c r="AC95" t="s">
        <v>136</v>
      </c>
      <c r="AE95" t="s">
        <v>137</v>
      </c>
    </row>
    <row r="96" spans="1:78" x14ac:dyDescent="0.2">
      <c r="A96" t="s">
        <v>119</v>
      </c>
      <c r="B96" t="s">
        <v>120</v>
      </c>
      <c r="C96" t="s">
        <v>413</v>
      </c>
      <c r="D96">
        <v>5</v>
      </c>
      <c r="E96" t="s">
        <v>414</v>
      </c>
      <c r="F96" t="s">
        <v>415</v>
      </c>
      <c r="G96" t="s">
        <v>124</v>
      </c>
      <c r="H96" t="s">
        <v>125</v>
      </c>
      <c r="I96">
        <v>0</v>
      </c>
      <c r="J96" t="s">
        <v>126</v>
      </c>
      <c r="K96" t="s">
        <v>125</v>
      </c>
      <c r="L96" t="s">
        <v>416</v>
      </c>
      <c r="U96" t="s">
        <v>149</v>
      </c>
      <c r="W96" t="s">
        <v>135</v>
      </c>
      <c r="X96">
        <v>1</v>
      </c>
      <c r="AC96" t="s">
        <v>136</v>
      </c>
      <c r="AE96" t="s">
        <v>137</v>
      </c>
    </row>
    <row r="97" spans="1:78" hidden="1" x14ac:dyDescent="0.2">
      <c r="A97" t="s">
        <v>119</v>
      </c>
      <c r="B97" t="s">
        <v>120</v>
      </c>
      <c r="C97" t="s">
        <v>413</v>
      </c>
      <c r="D97">
        <v>7</v>
      </c>
      <c r="E97" t="s">
        <v>207</v>
      </c>
      <c r="F97" t="s">
        <v>146</v>
      </c>
      <c r="G97" t="s">
        <v>124</v>
      </c>
      <c r="H97" t="s">
        <v>125</v>
      </c>
      <c r="I97">
        <v>5</v>
      </c>
      <c r="J97" t="s">
        <v>264</v>
      </c>
      <c r="K97" t="s">
        <v>125</v>
      </c>
      <c r="L97" t="s">
        <v>417</v>
      </c>
      <c r="U97" t="s">
        <v>149</v>
      </c>
      <c r="W97" t="s">
        <v>135</v>
      </c>
      <c r="X97">
        <v>3</v>
      </c>
      <c r="AC97" t="s">
        <v>209</v>
      </c>
      <c r="AE97" t="s">
        <v>137</v>
      </c>
    </row>
    <row r="98" spans="1:78" hidden="1" x14ac:dyDescent="0.2">
      <c r="A98" t="s">
        <v>119</v>
      </c>
      <c r="B98" t="s">
        <v>120</v>
      </c>
      <c r="C98" t="s">
        <v>413</v>
      </c>
      <c r="D98">
        <v>17</v>
      </c>
      <c r="E98" t="s">
        <v>418</v>
      </c>
      <c r="F98" t="s">
        <v>419</v>
      </c>
      <c r="G98" t="s">
        <v>124</v>
      </c>
      <c r="H98" t="s">
        <v>125</v>
      </c>
      <c r="I98">
        <v>9</v>
      </c>
      <c r="J98" t="s">
        <v>170</v>
      </c>
      <c r="K98" t="s">
        <v>125</v>
      </c>
      <c r="L98" t="s">
        <v>420</v>
      </c>
      <c r="U98" t="s">
        <v>149</v>
      </c>
      <c r="W98" t="s">
        <v>155</v>
      </c>
      <c r="X98">
        <v>3</v>
      </c>
      <c r="AC98" t="s">
        <v>209</v>
      </c>
      <c r="AE98" t="s">
        <v>137</v>
      </c>
    </row>
    <row r="99" spans="1:78" hidden="1" x14ac:dyDescent="0.2">
      <c r="A99" t="s">
        <v>119</v>
      </c>
      <c r="B99" t="s">
        <v>120</v>
      </c>
      <c r="C99" t="s">
        <v>413</v>
      </c>
      <c r="D99">
        <v>34</v>
      </c>
      <c r="E99" t="s">
        <v>421</v>
      </c>
      <c r="F99" t="s">
        <v>205</v>
      </c>
      <c r="G99" t="s">
        <v>124</v>
      </c>
      <c r="H99" t="s">
        <v>125</v>
      </c>
      <c r="I99">
        <v>17</v>
      </c>
      <c r="J99" t="s">
        <v>161</v>
      </c>
      <c r="K99" t="s">
        <v>125</v>
      </c>
      <c r="L99" t="s">
        <v>422</v>
      </c>
      <c r="T99" t="s">
        <v>154</v>
      </c>
      <c r="W99" t="s">
        <v>135</v>
      </c>
    </row>
    <row r="100" spans="1:78" hidden="1" x14ac:dyDescent="0.2">
      <c r="A100" t="s">
        <v>119</v>
      </c>
      <c r="B100" t="s">
        <v>120</v>
      </c>
      <c r="C100" t="s">
        <v>413</v>
      </c>
      <c r="D100">
        <v>36</v>
      </c>
      <c r="E100" t="s">
        <v>423</v>
      </c>
      <c r="F100" t="s">
        <v>424</v>
      </c>
      <c r="G100" t="s">
        <v>124</v>
      </c>
      <c r="H100" t="s">
        <v>125</v>
      </c>
      <c r="I100">
        <v>17</v>
      </c>
      <c r="J100" t="s">
        <v>199</v>
      </c>
      <c r="K100" t="s">
        <v>125</v>
      </c>
      <c r="L100" t="s">
        <v>425</v>
      </c>
      <c r="U100" t="s">
        <v>149</v>
      </c>
      <c r="W100" t="s">
        <v>135</v>
      </c>
      <c r="X100">
        <v>1</v>
      </c>
      <c r="AC100" t="s">
        <v>209</v>
      </c>
      <c r="AE100" t="s">
        <v>137</v>
      </c>
    </row>
    <row r="101" spans="1:78" hidden="1" x14ac:dyDescent="0.2">
      <c r="A101" t="s">
        <v>119</v>
      </c>
      <c r="B101" t="s">
        <v>120</v>
      </c>
      <c r="C101" t="s">
        <v>426</v>
      </c>
      <c r="D101">
        <v>5</v>
      </c>
      <c r="E101" t="s">
        <v>427</v>
      </c>
      <c r="F101" t="s">
        <v>428</v>
      </c>
      <c r="G101" t="s">
        <v>124</v>
      </c>
      <c r="H101" t="s">
        <v>125</v>
      </c>
      <c r="I101">
        <v>0</v>
      </c>
      <c r="J101" t="s">
        <v>126</v>
      </c>
      <c r="K101" t="s">
        <v>125</v>
      </c>
      <c r="L101" t="s">
        <v>429</v>
      </c>
      <c r="T101" t="s">
        <v>142</v>
      </c>
      <c r="W101" t="s">
        <v>135</v>
      </c>
      <c r="AC101" t="s">
        <v>143</v>
      </c>
      <c r="AE101" t="s">
        <v>144</v>
      </c>
      <c r="AG101">
        <v>3</v>
      </c>
      <c r="AH101" t="s">
        <v>160</v>
      </c>
      <c r="AI101" t="s">
        <v>146</v>
      </c>
      <c r="AJ101" t="s">
        <v>131</v>
      </c>
      <c r="AK101" t="s">
        <v>125</v>
      </c>
      <c r="AL101">
        <v>5</v>
      </c>
      <c r="AM101" t="s">
        <v>338</v>
      </c>
      <c r="AN101" t="s">
        <v>125</v>
      </c>
      <c r="AO101" t="s">
        <v>430</v>
      </c>
      <c r="BP101" t="s">
        <v>149</v>
      </c>
      <c r="BR101" t="s">
        <v>155</v>
      </c>
      <c r="BS101">
        <v>3</v>
      </c>
      <c r="BX101" t="s">
        <v>136</v>
      </c>
      <c r="BZ101" t="s">
        <v>137</v>
      </c>
    </row>
    <row r="102" spans="1:78" x14ac:dyDescent="0.2">
      <c r="A102" t="s">
        <v>119</v>
      </c>
      <c r="B102" t="s">
        <v>120</v>
      </c>
      <c r="C102" t="s">
        <v>431</v>
      </c>
      <c r="D102">
        <v>7</v>
      </c>
      <c r="E102" t="s">
        <v>323</v>
      </c>
      <c r="F102" t="s">
        <v>283</v>
      </c>
      <c r="G102" t="s">
        <v>124</v>
      </c>
      <c r="H102" t="s">
        <v>125</v>
      </c>
      <c r="I102">
        <v>0</v>
      </c>
      <c r="J102" t="s">
        <v>126</v>
      </c>
      <c r="K102" t="s">
        <v>125</v>
      </c>
      <c r="L102" t="s">
        <v>432</v>
      </c>
      <c r="U102" t="s">
        <v>149</v>
      </c>
      <c r="W102" t="s">
        <v>135</v>
      </c>
      <c r="X102">
        <v>1</v>
      </c>
      <c r="AC102" t="s">
        <v>136</v>
      </c>
      <c r="AE102" t="s">
        <v>137</v>
      </c>
    </row>
    <row r="103" spans="1:78" x14ac:dyDescent="0.2">
      <c r="A103" t="s">
        <v>119</v>
      </c>
      <c r="B103" t="s">
        <v>120</v>
      </c>
      <c r="C103" t="s">
        <v>431</v>
      </c>
      <c r="D103">
        <v>16</v>
      </c>
      <c r="E103" t="s">
        <v>191</v>
      </c>
      <c r="F103" t="s">
        <v>169</v>
      </c>
      <c r="G103" t="s">
        <v>124</v>
      </c>
      <c r="H103" t="s">
        <v>125</v>
      </c>
      <c r="I103">
        <v>7</v>
      </c>
      <c r="J103" t="s">
        <v>161</v>
      </c>
      <c r="K103" t="s">
        <v>125</v>
      </c>
      <c r="L103" t="s">
        <v>433</v>
      </c>
      <c r="U103" t="s">
        <v>149</v>
      </c>
      <c r="W103" t="s">
        <v>135</v>
      </c>
      <c r="X103">
        <v>1</v>
      </c>
      <c r="AC103" t="s">
        <v>136</v>
      </c>
      <c r="AE103" t="s">
        <v>137</v>
      </c>
    </row>
    <row r="104" spans="1:78" hidden="1" x14ac:dyDescent="0.2">
      <c r="A104" t="s">
        <v>119</v>
      </c>
      <c r="B104" t="s">
        <v>120</v>
      </c>
      <c r="C104" t="s">
        <v>431</v>
      </c>
      <c r="D104">
        <v>24</v>
      </c>
      <c r="E104" t="s">
        <v>434</v>
      </c>
      <c r="F104" t="s">
        <v>434</v>
      </c>
      <c r="G104" t="s">
        <v>124</v>
      </c>
      <c r="H104" t="s">
        <v>125</v>
      </c>
      <c r="I104">
        <v>37</v>
      </c>
      <c r="J104" t="s">
        <v>268</v>
      </c>
      <c r="K104" t="s">
        <v>125</v>
      </c>
      <c r="L104" t="s">
        <v>435</v>
      </c>
      <c r="AE104" t="s">
        <v>128</v>
      </c>
    </row>
    <row r="105" spans="1:78" hidden="1" x14ac:dyDescent="0.2">
      <c r="A105" t="s">
        <v>119</v>
      </c>
      <c r="B105" t="s">
        <v>120</v>
      </c>
      <c r="C105" t="s">
        <v>431</v>
      </c>
      <c r="D105">
        <v>33</v>
      </c>
      <c r="E105" t="s">
        <v>377</v>
      </c>
      <c r="F105" t="s">
        <v>350</v>
      </c>
      <c r="G105" t="s">
        <v>124</v>
      </c>
      <c r="H105" t="s">
        <v>125</v>
      </c>
      <c r="I105">
        <v>37</v>
      </c>
      <c r="J105" t="s">
        <v>268</v>
      </c>
      <c r="K105" t="s">
        <v>125</v>
      </c>
      <c r="L105" t="s">
        <v>436</v>
      </c>
      <c r="AG105">
        <v>32</v>
      </c>
      <c r="AH105" t="s">
        <v>437</v>
      </c>
      <c r="AI105" t="s">
        <v>130</v>
      </c>
      <c r="AJ105" t="s">
        <v>131</v>
      </c>
      <c r="AK105" t="s">
        <v>125</v>
      </c>
      <c r="AL105">
        <v>33</v>
      </c>
      <c r="AM105" t="s">
        <v>132</v>
      </c>
      <c r="AN105" t="s">
        <v>125</v>
      </c>
      <c r="AO105" t="s">
        <v>438</v>
      </c>
      <c r="BP105" t="s">
        <v>309</v>
      </c>
      <c r="BR105" t="s">
        <v>135</v>
      </c>
      <c r="BS105">
        <v>1</v>
      </c>
      <c r="BX105" t="s">
        <v>209</v>
      </c>
      <c r="BZ105" t="s">
        <v>137</v>
      </c>
    </row>
    <row r="106" spans="1:78" x14ac:dyDescent="0.2">
      <c r="A106" t="s">
        <v>119</v>
      </c>
      <c r="B106" t="s">
        <v>120</v>
      </c>
      <c r="C106" t="s">
        <v>431</v>
      </c>
      <c r="D106">
        <v>37</v>
      </c>
      <c r="E106" t="s">
        <v>439</v>
      </c>
      <c r="F106" t="s">
        <v>194</v>
      </c>
      <c r="G106" t="s">
        <v>124</v>
      </c>
      <c r="H106" t="s">
        <v>125</v>
      </c>
      <c r="I106">
        <v>16</v>
      </c>
      <c r="J106" t="s">
        <v>161</v>
      </c>
      <c r="K106" t="s">
        <v>125</v>
      </c>
      <c r="L106" t="s">
        <v>440</v>
      </c>
      <c r="U106" t="s">
        <v>134</v>
      </c>
      <c r="W106" t="s">
        <v>135</v>
      </c>
      <c r="X106">
        <v>1</v>
      </c>
      <c r="AC106" t="s">
        <v>136</v>
      </c>
      <c r="AE106" t="s">
        <v>137</v>
      </c>
    </row>
    <row r="107" spans="1:78" x14ac:dyDescent="0.2">
      <c r="A107" t="s">
        <v>119</v>
      </c>
      <c r="B107" t="s">
        <v>120</v>
      </c>
      <c r="C107" t="s">
        <v>431</v>
      </c>
      <c r="D107">
        <v>43</v>
      </c>
      <c r="E107" t="s">
        <v>392</v>
      </c>
      <c r="F107" t="s">
        <v>373</v>
      </c>
      <c r="G107" t="s">
        <v>124</v>
      </c>
      <c r="H107" t="s">
        <v>125</v>
      </c>
      <c r="I107">
        <v>37</v>
      </c>
      <c r="J107" t="s">
        <v>161</v>
      </c>
      <c r="K107" t="s">
        <v>125</v>
      </c>
      <c r="L107" t="s">
        <v>441</v>
      </c>
      <c r="U107" t="s">
        <v>149</v>
      </c>
      <c r="W107" t="s">
        <v>135</v>
      </c>
      <c r="X107">
        <v>1</v>
      </c>
      <c r="AC107" t="s">
        <v>136</v>
      </c>
      <c r="AE107" t="s">
        <v>137</v>
      </c>
    </row>
    <row r="108" spans="1:78" hidden="1" x14ac:dyDescent="0.2">
      <c r="A108" t="s">
        <v>119</v>
      </c>
      <c r="B108" t="s">
        <v>120</v>
      </c>
      <c r="C108" t="s">
        <v>442</v>
      </c>
      <c r="D108">
        <v>3</v>
      </c>
      <c r="E108" t="s">
        <v>443</v>
      </c>
      <c r="F108" t="s">
        <v>202</v>
      </c>
      <c r="G108" t="s">
        <v>124</v>
      </c>
      <c r="H108" t="s">
        <v>125</v>
      </c>
      <c r="I108">
        <v>0</v>
      </c>
      <c r="J108" t="s">
        <v>126</v>
      </c>
      <c r="K108" t="s">
        <v>125</v>
      </c>
      <c r="L108" t="s">
        <v>444</v>
      </c>
      <c r="U108" t="s">
        <v>149</v>
      </c>
      <c r="W108" t="s">
        <v>135</v>
      </c>
      <c r="X108">
        <v>1</v>
      </c>
      <c r="AC108" t="s">
        <v>209</v>
      </c>
      <c r="AE108" t="s">
        <v>137</v>
      </c>
    </row>
    <row r="109" spans="1:78" hidden="1" x14ac:dyDescent="0.2">
      <c r="A109" t="s">
        <v>119</v>
      </c>
      <c r="B109" t="s">
        <v>120</v>
      </c>
      <c r="C109" t="s">
        <v>442</v>
      </c>
      <c r="D109">
        <v>7</v>
      </c>
      <c r="E109" t="s">
        <v>385</v>
      </c>
      <c r="F109" t="s">
        <v>373</v>
      </c>
      <c r="G109" t="s">
        <v>124</v>
      </c>
      <c r="H109" t="s">
        <v>125</v>
      </c>
      <c r="I109">
        <v>5</v>
      </c>
      <c r="J109" t="s">
        <v>386</v>
      </c>
      <c r="K109" t="s">
        <v>125</v>
      </c>
      <c r="L109" t="s">
        <v>445</v>
      </c>
      <c r="AE109" t="s">
        <v>128</v>
      </c>
    </row>
    <row r="110" spans="1:78" hidden="1" x14ac:dyDescent="0.2">
      <c r="A110" t="s">
        <v>119</v>
      </c>
      <c r="B110" t="s">
        <v>120</v>
      </c>
      <c r="C110" t="s">
        <v>442</v>
      </c>
      <c r="D110">
        <v>12</v>
      </c>
      <c r="E110" t="s">
        <v>421</v>
      </c>
      <c r="F110" t="s">
        <v>205</v>
      </c>
      <c r="G110" t="s">
        <v>124</v>
      </c>
      <c r="H110" t="s">
        <v>125</v>
      </c>
      <c r="I110">
        <v>3</v>
      </c>
      <c r="J110" t="s">
        <v>268</v>
      </c>
      <c r="K110" t="s">
        <v>125</v>
      </c>
      <c r="L110" t="s">
        <v>446</v>
      </c>
      <c r="U110" t="s">
        <v>149</v>
      </c>
      <c r="W110" t="s">
        <v>135</v>
      </c>
      <c r="X110">
        <v>1</v>
      </c>
      <c r="AC110" t="s">
        <v>209</v>
      </c>
      <c r="AE110" t="s">
        <v>137</v>
      </c>
    </row>
    <row r="111" spans="1:78" hidden="1" x14ac:dyDescent="0.2">
      <c r="A111" t="s">
        <v>119</v>
      </c>
      <c r="B111" t="s">
        <v>120</v>
      </c>
      <c r="C111" t="s">
        <v>447</v>
      </c>
      <c r="D111">
        <v>7</v>
      </c>
      <c r="E111" t="s">
        <v>448</v>
      </c>
      <c r="F111" t="s">
        <v>449</v>
      </c>
      <c r="G111" t="s">
        <v>124</v>
      </c>
      <c r="H111" t="s">
        <v>125</v>
      </c>
      <c r="I111">
        <v>0</v>
      </c>
      <c r="J111" t="s">
        <v>126</v>
      </c>
      <c r="K111" t="s">
        <v>125</v>
      </c>
      <c r="L111" t="s">
        <v>450</v>
      </c>
      <c r="T111" t="s">
        <v>154</v>
      </c>
      <c r="W111" t="s">
        <v>135</v>
      </c>
      <c r="AC111" t="s">
        <v>143</v>
      </c>
      <c r="AE111" t="s">
        <v>144</v>
      </c>
      <c r="AG111">
        <v>5</v>
      </c>
      <c r="AH111" t="s">
        <v>204</v>
      </c>
      <c r="AI111" t="s">
        <v>205</v>
      </c>
      <c r="AJ111" t="s">
        <v>131</v>
      </c>
      <c r="AK111" t="s">
        <v>125</v>
      </c>
      <c r="AL111">
        <v>7</v>
      </c>
      <c r="AM111" t="s">
        <v>132</v>
      </c>
      <c r="AN111" t="s">
        <v>125</v>
      </c>
      <c r="AO111" t="s">
        <v>451</v>
      </c>
      <c r="BP111" t="s">
        <v>149</v>
      </c>
      <c r="BR111" t="s">
        <v>135</v>
      </c>
      <c r="BS111">
        <v>1</v>
      </c>
      <c r="BX111" t="s">
        <v>136</v>
      </c>
      <c r="BZ111" t="s">
        <v>137</v>
      </c>
    </row>
    <row r="112" spans="1:78" hidden="1" x14ac:dyDescent="0.2">
      <c r="A112" t="s">
        <v>119</v>
      </c>
      <c r="B112" t="s">
        <v>120</v>
      </c>
      <c r="C112" t="s">
        <v>447</v>
      </c>
      <c r="D112">
        <v>11</v>
      </c>
      <c r="E112" t="s">
        <v>452</v>
      </c>
      <c r="F112" t="s">
        <v>146</v>
      </c>
      <c r="G112" t="s">
        <v>124</v>
      </c>
      <c r="H112" t="s">
        <v>125</v>
      </c>
      <c r="I112">
        <v>16</v>
      </c>
      <c r="J112" t="s">
        <v>210</v>
      </c>
      <c r="K112" t="s">
        <v>125</v>
      </c>
      <c r="L112" t="s">
        <v>453</v>
      </c>
      <c r="U112" t="s">
        <v>149</v>
      </c>
      <c r="W112" t="s">
        <v>135</v>
      </c>
      <c r="X112">
        <v>1</v>
      </c>
      <c r="AC112" t="s">
        <v>209</v>
      </c>
      <c r="AE112" t="s">
        <v>137</v>
      </c>
    </row>
    <row r="113" spans="1:78" hidden="1" x14ac:dyDescent="0.2">
      <c r="A113" t="s">
        <v>119</v>
      </c>
      <c r="B113" t="s">
        <v>120</v>
      </c>
      <c r="C113" t="s">
        <v>447</v>
      </c>
      <c r="D113">
        <v>22</v>
      </c>
      <c r="E113" t="s">
        <v>427</v>
      </c>
      <c r="F113" t="s">
        <v>454</v>
      </c>
      <c r="G113" t="s">
        <v>124</v>
      </c>
      <c r="H113" t="s">
        <v>125</v>
      </c>
      <c r="I113">
        <v>7</v>
      </c>
      <c r="J113" t="s">
        <v>199</v>
      </c>
      <c r="K113" t="s">
        <v>125</v>
      </c>
      <c r="L113" t="s">
        <v>455</v>
      </c>
      <c r="T113" t="s">
        <v>142</v>
      </c>
      <c r="W113" t="s">
        <v>135</v>
      </c>
      <c r="AC113" t="s">
        <v>143</v>
      </c>
      <c r="AE113" t="s">
        <v>144</v>
      </c>
      <c r="AG113">
        <v>19</v>
      </c>
      <c r="AH113" t="s">
        <v>235</v>
      </c>
      <c r="AI113" t="s">
        <v>146</v>
      </c>
      <c r="AJ113" t="s">
        <v>131</v>
      </c>
      <c r="AK113" t="s">
        <v>125</v>
      </c>
      <c r="AL113">
        <v>22</v>
      </c>
      <c r="AM113" t="s">
        <v>132</v>
      </c>
      <c r="AN113" t="s">
        <v>125</v>
      </c>
      <c r="AO113" t="s">
        <v>456</v>
      </c>
      <c r="BP113" t="s">
        <v>149</v>
      </c>
      <c r="BR113" t="s">
        <v>155</v>
      </c>
      <c r="BS113">
        <v>3</v>
      </c>
      <c r="BX113" t="s">
        <v>136</v>
      </c>
      <c r="BZ113" t="s">
        <v>137</v>
      </c>
    </row>
    <row r="114" spans="1:78" x14ac:dyDescent="0.2">
      <c r="A114" t="s">
        <v>119</v>
      </c>
      <c r="B114" t="s">
        <v>120</v>
      </c>
      <c r="C114" t="s">
        <v>447</v>
      </c>
      <c r="D114">
        <v>30</v>
      </c>
      <c r="E114" t="s">
        <v>457</v>
      </c>
      <c r="F114" t="s">
        <v>458</v>
      </c>
      <c r="G114" t="s">
        <v>124</v>
      </c>
      <c r="H114" t="s">
        <v>125</v>
      </c>
      <c r="I114">
        <v>22</v>
      </c>
      <c r="J114" t="s">
        <v>268</v>
      </c>
      <c r="K114" t="s">
        <v>125</v>
      </c>
      <c r="L114" t="s">
        <v>459</v>
      </c>
      <c r="U114" t="s">
        <v>149</v>
      </c>
      <c r="W114" t="s">
        <v>135</v>
      </c>
      <c r="X114">
        <v>3</v>
      </c>
      <c r="AC114" t="s">
        <v>136</v>
      </c>
      <c r="AE114" t="s">
        <v>137</v>
      </c>
    </row>
    <row r="115" spans="1:78" x14ac:dyDescent="0.2">
      <c r="A115" t="s">
        <v>119</v>
      </c>
      <c r="B115" t="s">
        <v>120</v>
      </c>
      <c r="C115" t="s">
        <v>460</v>
      </c>
      <c r="D115">
        <v>4</v>
      </c>
      <c r="E115" t="s">
        <v>410</v>
      </c>
      <c r="F115" t="s">
        <v>411</v>
      </c>
      <c r="G115" t="s">
        <v>124</v>
      </c>
      <c r="H115" t="s">
        <v>125</v>
      </c>
      <c r="I115">
        <v>0</v>
      </c>
      <c r="J115" t="s">
        <v>126</v>
      </c>
      <c r="K115" t="s">
        <v>125</v>
      </c>
      <c r="L115" t="s">
        <v>461</v>
      </c>
      <c r="U115" t="s">
        <v>149</v>
      </c>
      <c r="W115" t="s">
        <v>135</v>
      </c>
      <c r="X115">
        <v>1</v>
      </c>
      <c r="AC115" t="s">
        <v>136</v>
      </c>
      <c r="AE115" t="s">
        <v>137</v>
      </c>
    </row>
    <row r="116" spans="1:78" hidden="1" x14ac:dyDescent="0.2">
      <c r="A116" t="s">
        <v>119</v>
      </c>
      <c r="B116" t="s">
        <v>120</v>
      </c>
      <c r="C116" t="s">
        <v>460</v>
      </c>
      <c r="D116">
        <v>5</v>
      </c>
      <c r="E116" t="s">
        <v>404</v>
      </c>
      <c r="F116" t="s">
        <v>361</v>
      </c>
      <c r="G116" t="s">
        <v>124</v>
      </c>
      <c r="H116" t="s">
        <v>125</v>
      </c>
      <c r="I116">
        <v>4</v>
      </c>
      <c r="J116" t="s">
        <v>294</v>
      </c>
      <c r="K116" t="s">
        <v>125</v>
      </c>
      <c r="L116" t="s">
        <v>462</v>
      </c>
      <c r="AE116" t="s">
        <v>128</v>
      </c>
    </row>
    <row r="117" spans="1:78" hidden="1" x14ac:dyDescent="0.2">
      <c r="A117" t="s">
        <v>119</v>
      </c>
      <c r="B117" t="s">
        <v>120</v>
      </c>
      <c r="C117" t="s">
        <v>460</v>
      </c>
      <c r="D117">
        <v>12</v>
      </c>
      <c r="E117" t="s">
        <v>283</v>
      </c>
      <c r="F117" t="s">
        <v>283</v>
      </c>
      <c r="G117" t="s">
        <v>124</v>
      </c>
      <c r="H117" t="s">
        <v>125</v>
      </c>
      <c r="I117">
        <v>5</v>
      </c>
      <c r="J117" t="s">
        <v>161</v>
      </c>
      <c r="K117" t="s">
        <v>125</v>
      </c>
      <c r="L117" t="s">
        <v>463</v>
      </c>
      <c r="AE117" t="s">
        <v>128</v>
      </c>
    </row>
    <row r="118" spans="1:78" hidden="1" x14ac:dyDescent="0.2">
      <c r="A118" t="s">
        <v>119</v>
      </c>
      <c r="B118" t="s">
        <v>120</v>
      </c>
      <c r="C118" t="s">
        <v>464</v>
      </c>
      <c r="D118">
        <v>3</v>
      </c>
      <c r="E118" t="s">
        <v>465</v>
      </c>
      <c r="F118" t="s">
        <v>373</v>
      </c>
      <c r="G118" t="s">
        <v>124</v>
      </c>
      <c r="H118" t="s">
        <v>125</v>
      </c>
      <c r="I118">
        <v>0</v>
      </c>
      <c r="J118" t="s">
        <v>126</v>
      </c>
      <c r="K118" t="s">
        <v>125</v>
      </c>
      <c r="L118" t="s">
        <v>466</v>
      </c>
      <c r="T118" t="s">
        <v>154</v>
      </c>
      <c r="W118" t="s">
        <v>135</v>
      </c>
      <c r="AC118" t="s">
        <v>143</v>
      </c>
      <c r="AE118" t="s">
        <v>144</v>
      </c>
      <c r="AG118">
        <v>2</v>
      </c>
      <c r="AH118" t="s">
        <v>204</v>
      </c>
      <c r="AI118" t="s">
        <v>205</v>
      </c>
      <c r="AJ118" t="s">
        <v>131</v>
      </c>
      <c r="AK118" t="s">
        <v>125</v>
      </c>
      <c r="AL118">
        <v>3</v>
      </c>
      <c r="AM118" t="s">
        <v>132</v>
      </c>
      <c r="AN118" t="s">
        <v>125</v>
      </c>
      <c r="AO118" t="s">
        <v>467</v>
      </c>
      <c r="BP118" t="s">
        <v>149</v>
      </c>
      <c r="BR118" t="s">
        <v>135</v>
      </c>
      <c r="BS118">
        <v>1</v>
      </c>
      <c r="BX118" t="s">
        <v>136</v>
      </c>
      <c r="BZ118" t="s">
        <v>137</v>
      </c>
    </row>
    <row r="119" spans="1:78" hidden="1" x14ac:dyDescent="0.2">
      <c r="A119" t="s">
        <v>119</v>
      </c>
      <c r="B119" t="s">
        <v>120</v>
      </c>
      <c r="C119" t="s">
        <v>464</v>
      </c>
      <c r="D119">
        <v>10</v>
      </c>
      <c r="E119" t="s">
        <v>465</v>
      </c>
      <c r="F119" t="s">
        <v>373</v>
      </c>
      <c r="G119" t="s">
        <v>124</v>
      </c>
      <c r="H119" t="s">
        <v>125</v>
      </c>
      <c r="I119">
        <v>3</v>
      </c>
      <c r="J119" t="s">
        <v>161</v>
      </c>
      <c r="K119" t="s">
        <v>125</v>
      </c>
      <c r="L119" t="s">
        <v>468</v>
      </c>
      <c r="T119" t="s">
        <v>154</v>
      </c>
      <c r="W119" t="s">
        <v>135</v>
      </c>
      <c r="AC119" t="s">
        <v>143</v>
      </c>
      <c r="AE119" t="s">
        <v>144</v>
      </c>
      <c r="AG119">
        <v>8</v>
      </c>
      <c r="AH119" t="s">
        <v>204</v>
      </c>
      <c r="AI119" t="s">
        <v>205</v>
      </c>
      <c r="AJ119" t="s">
        <v>131</v>
      </c>
      <c r="AK119" t="s">
        <v>125</v>
      </c>
      <c r="AL119">
        <v>10</v>
      </c>
      <c r="AM119" t="s">
        <v>132</v>
      </c>
      <c r="AN119" t="s">
        <v>125</v>
      </c>
      <c r="AO119" t="s">
        <v>469</v>
      </c>
      <c r="BP119" t="s">
        <v>149</v>
      </c>
      <c r="BR119" t="s">
        <v>135</v>
      </c>
      <c r="BS119">
        <v>1</v>
      </c>
      <c r="BX119" t="s">
        <v>136</v>
      </c>
      <c r="BZ119" t="s">
        <v>137</v>
      </c>
    </row>
    <row r="120" spans="1:78" hidden="1" x14ac:dyDescent="0.2">
      <c r="A120" t="s">
        <v>119</v>
      </c>
      <c r="B120" t="s">
        <v>120</v>
      </c>
      <c r="C120" t="s">
        <v>464</v>
      </c>
      <c r="D120">
        <v>14</v>
      </c>
      <c r="E120" t="s">
        <v>421</v>
      </c>
      <c r="F120" t="s">
        <v>205</v>
      </c>
      <c r="G120" t="s">
        <v>124</v>
      </c>
      <c r="H120" t="s">
        <v>125</v>
      </c>
      <c r="I120">
        <v>10</v>
      </c>
      <c r="J120" t="s">
        <v>268</v>
      </c>
      <c r="K120" t="s">
        <v>125</v>
      </c>
      <c r="L120" t="s">
        <v>470</v>
      </c>
      <c r="U120" t="s">
        <v>149</v>
      </c>
      <c r="W120" t="s">
        <v>135</v>
      </c>
      <c r="X120">
        <v>1</v>
      </c>
      <c r="AC120" t="s">
        <v>209</v>
      </c>
      <c r="AE120" t="s">
        <v>137</v>
      </c>
    </row>
    <row r="121" spans="1:78" x14ac:dyDescent="0.2">
      <c r="A121" t="s">
        <v>119</v>
      </c>
      <c r="B121" t="s">
        <v>120</v>
      </c>
      <c r="C121" t="s">
        <v>471</v>
      </c>
      <c r="D121">
        <v>3</v>
      </c>
      <c r="E121" t="s">
        <v>472</v>
      </c>
      <c r="F121" t="s">
        <v>202</v>
      </c>
      <c r="G121" t="s">
        <v>124</v>
      </c>
      <c r="H121" t="s">
        <v>125</v>
      </c>
      <c r="I121">
        <v>1</v>
      </c>
      <c r="J121" t="s">
        <v>182</v>
      </c>
      <c r="K121" t="s">
        <v>125</v>
      </c>
      <c r="L121" t="s">
        <v>473</v>
      </c>
      <c r="U121" t="s">
        <v>209</v>
      </c>
      <c r="W121" t="s">
        <v>135</v>
      </c>
      <c r="X121">
        <v>2</v>
      </c>
      <c r="AC121" t="s">
        <v>136</v>
      </c>
      <c r="AE121" t="s">
        <v>137</v>
      </c>
    </row>
    <row r="122" spans="1:78" hidden="1" x14ac:dyDescent="0.2">
      <c r="A122" t="s">
        <v>119</v>
      </c>
      <c r="B122" t="s">
        <v>120</v>
      </c>
      <c r="C122" t="s">
        <v>474</v>
      </c>
      <c r="D122">
        <v>4</v>
      </c>
      <c r="E122" t="s">
        <v>475</v>
      </c>
      <c r="F122" t="s">
        <v>373</v>
      </c>
      <c r="G122" t="s">
        <v>124</v>
      </c>
      <c r="H122" t="s">
        <v>125</v>
      </c>
      <c r="I122">
        <v>0</v>
      </c>
      <c r="J122" t="s">
        <v>126</v>
      </c>
      <c r="K122" t="s">
        <v>125</v>
      </c>
      <c r="L122" t="s">
        <v>476</v>
      </c>
      <c r="U122" t="s">
        <v>149</v>
      </c>
      <c r="W122" t="s">
        <v>135</v>
      </c>
      <c r="X122">
        <v>1</v>
      </c>
      <c r="AC122" t="s">
        <v>209</v>
      </c>
      <c r="AE122" t="s">
        <v>137</v>
      </c>
    </row>
    <row r="123" spans="1:78" hidden="1" x14ac:dyDescent="0.2">
      <c r="A123" t="s">
        <v>119</v>
      </c>
      <c r="B123" t="s">
        <v>120</v>
      </c>
      <c r="C123" t="s">
        <v>474</v>
      </c>
      <c r="D123">
        <v>7</v>
      </c>
      <c r="E123" t="s">
        <v>477</v>
      </c>
      <c r="F123" t="s">
        <v>478</v>
      </c>
      <c r="G123" t="s">
        <v>124</v>
      </c>
      <c r="H123" t="s">
        <v>125</v>
      </c>
      <c r="I123">
        <v>4</v>
      </c>
      <c r="J123" t="s">
        <v>268</v>
      </c>
      <c r="K123" t="s">
        <v>125</v>
      </c>
      <c r="L123" t="s">
        <v>479</v>
      </c>
      <c r="U123" t="s">
        <v>149</v>
      </c>
      <c r="W123" t="s">
        <v>135</v>
      </c>
      <c r="X123">
        <v>3</v>
      </c>
      <c r="AC123" t="s">
        <v>209</v>
      </c>
      <c r="AE123" t="s">
        <v>137</v>
      </c>
    </row>
    <row r="124" spans="1:78" hidden="1" x14ac:dyDescent="0.2">
      <c r="A124" t="s">
        <v>119</v>
      </c>
      <c r="B124" t="s">
        <v>120</v>
      </c>
      <c r="C124" t="s">
        <v>480</v>
      </c>
      <c r="D124">
        <v>5</v>
      </c>
      <c r="E124" t="s">
        <v>139</v>
      </c>
      <c r="F124" t="s">
        <v>140</v>
      </c>
      <c r="G124" t="s">
        <v>124</v>
      </c>
      <c r="H124" t="s">
        <v>125</v>
      </c>
      <c r="I124">
        <v>0</v>
      </c>
      <c r="J124" t="s">
        <v>126</v>
      </c>
      <c r="K124" t="s">
        <v>125</v>
      </c>
      <c r="L124" t="s">
        <v>481</v>
      </c>
      <c r="T124" t="s">
        <v>142</v>
      </c>
      <c r="W124" t="s">
        <v>135</v>
      </c>
      <c r="AC124" t="s">
        <v>143</v>
      </c>
      <c r="AE124" t="s">
        <v>144</v>
      </c>
      <c r="AG124">
        <v>4</v>
      </c>
      <c r="AH124" t="s">
        <v>145</v>
      </c>
      <c r="AI124" t="s">
        <v>146</v>
      </c>
      <c r="AJ124" t="s">
        <v>131</v>
      </c>
      <c r="AK124" t="s">
        <v>125</v>
      </c>
      <c r="AL124">
        <v>5</v>
      </c>
      <c r="AM124" t="s">
        <v>147</v>
      </c>
      <c r="AN124" t="s">
        <v>125</v>
      </c>
      <c r="AO124" t="s">
        <v>482</v>
      </c>
      <c r="BP124" t="s">
        <v>149</v>
      </c>
      <c r="BR124" t="s">
        <v>135</v>
      </c>
      <c r="BS124">
        <v>3</v>
      </c>
      <c r="BX124" t="s">
        <v>136</v>
      </c>
      <c r="BZ124" t="s">
        <v>137</v>
      </c>
    </row>
    <row r="125" spans="1:78" x14ac:dyDescent="0.2">
      <c r="A125" t="s">
        <v>119</v>
      </c>
      <c r="B125" t="s">
        <v>120</v>
      </c>
      <c r="C125" t="s">
        <v>483</v>
      </c>
      <c r="D125">
        <v>4</v>
      </c>
      <c r="E125" t="s">
        <v>260</v>
      </c>
      <c r="F125" t="s">
        <v>261</v>
      </c>
      <c r="G125" t="s">
        <v>124</v>
      </c>
      <c r="H125" t="s">
        <v>125</v>
      </c>
      <c r="I125">
        <v>0</v>
      </c>
      <c r="J125" t="s">
        <v>126</v>
      </c>
      <c r="K125" t="s">
        <v>125</v>
      </c>
      <c r="L125" t="s">
        <v>484</v>
      </c>
      <c r="U125" t="s">
        <v>149</v>
      </c>
      <c r="W125" t="s">
        <v>155</v>
      </c>
      <c r="X125">
        <v>1</v>
      </c>
      <c r="AC125" t="s">
        <v>136</v>
      </c>
      <c r="AE125" t="s">
        <v>137</v>
      </c>
    </row>
    <row r="126" spans="1:78" x14ac:dyDescent="0.2">
      <c r="A126" t="s">
        <v>119</v>
      </c>
      <c r="B126" t="s">
        <v>120</v>
      </c>
      <c r="C126" t="s">
        <v>483</v>
      </c>
      <c r="D126">
        <v>24</v>
      </c>
      <c r="E126" t="s">
        <v>260</v>
      </c>
      <c r="F126" t="s">
        <v>261</v>
      </c>
      <c r="G126" t="s">
        <v>124</v>
      </c>
      <c r="H126" t="s">
        <v>125</v>
      </c>
      <c r="I126">
        <v>22</v>
      </c>
      <c r="J126" t="s">
        <v>182</v>
      </c>
      <c r="K126" t="s">
        <v>125</v>
      </c>
      <c r="L126" t="s">
        <v>485</v>
      </c>
      <c r="U126" t="s">
        <v>149</v>
      </c>
      <c r="W126" t="s">
        <v>155</v>
      </c>
      <c r="X126">
        <v>1</v>
      </c>
      <c r="AC126" t="s">
        <v>136</v>
      </c>
      <c r="AE126" t="s">
        <v>137</v>
      </c>
    </row>
    <row r="127" spans="1:78" hidden="1" x14ac:dyDescent="0.2">
      <c r="A127" t="s">
        <v>119</v>
      </c>
      <c r="B127" t="s">
        <v>120</v>
      </c>
      <c r="C127" t="s">
        <v>486</v>
      </c>
      <c r="D127">
        <v>3</v>
      </c>
      <c r="E127" t="s">
        <v>140</v>
      </c>
      <c r="F127" t="s">
        <v>140</v>
      </c>
      <c r="G127" t="s">
        <v>124</v>
      </c>
      <c r="H127" t="s">
        <v>125</v>
      </c>
      <c r="I127">
        <v>11</v>
      </c>
      <c r="J127" t="s">
        <v>386</v>
      </c>
      <c r="K127" t="s">
        <v>125</v>
      </c>
      <c r="L127" t="s">
        <v>487</v>
      </c>
      <c r="AE127" t="s">
        <v>128</v>
      </c>
    </row>
    <row r="128" spans="1:78" hidden="1" x14ac:dyDescent="0.2">
      <c r="A128" t="s">
        <v>119</v>
      </c>
      <c r="B128" t="s">
        <v>120</v>
      </c>
      <c r="C128" t="s">
        <v>486</v>
      </c>
      <c r="D128">
        <v>21</v>
      </c>
      <c r="E128" t="s">
        <v>267</v>
      </c>
      <c r="F128" t="s">
        <v>140</v>
      </c>
      <c r="G128" t="s">
        <v>124</v>
      </c>
      <c r="H128" t="s">
        <v>125</v>
      </c>
      <c r="I128">
        <v>11</v>
      </c>
      <c r="J128" t="s">
        <v>161</v>
      </c>
      <c r="K128" t="s">
        <v>125</v>
      </c>
      <c r="L128" t="s">
        <v>488</v>
      </c>
    </row>
    <row r="129" spans="1:78" hidden="1" x14ac:dyDescent="0.2">
      <c r="A129" t="s">
        <v>119</v>
      </c>
      <c r="B129" t="s">
        <v>120</v>
      </c>
      <c r="C129" t="s">
        <v>489</v>
      </c>
      <c r="D129">
        <v>4</v>
      </c>
      <c r="E129" t="s">
        <v>490</v>
      </c>
      <c r="F129" t="s">
        <v>283</v>
      </c>
      <c r="G129" t="s">
        <v>124</v>
      </c>
      <c r="H129" t="s">
        <v>125</v>
      </c>
      <c r="I129">
        <v>0</v>
      </c>
      <c r="J129" t="s">
        <v>126</v>
      </c>
      <c r="K129" t="s">
        <v>125</v>
      </c>
      <c r="L129" t="s">
        <v>491</v>
      </c>
      <c r="U129" t="s">
        <v>149</v>
      </c>
      <c r="W129" t="s">
        <v>135</v>
      </c>
      <c r="X129">
        <v>1</v>
      </c>
      <c r="AC129" t="s">
        <v>143</v>
      </c>
      <c r="AE129" t="s">
        <v>137</v>
      </c>
    </row>
    <row r="130" spans="1:78" hidden="1" x14ac:dyDescent="0.2">
      <c r="A130" t="s">
        <v>119</v>
      </c>
      <c r="B130" t="s">
        <v>120</v>
      </c>
      <c r="C130" t="s">
        <v>492</v>
      </c>
      <c r="D130">
        <v>5</v>
      </c>
      <c r="E130" t="s">
        <v>493</v>
      </c>
      <c r="F130" t="s">
        <v>494</v>
      </c>
      <c r="G130" t="s">
        <v>124</v>
      </c>
      <c r="H130" t="s">
        <v>125</v>
      </c>
      <c r="I130">
        <v>0</v>
      </c>
      <c r="J130" t="s">
        <v>126</v>
      </c>
      <c r="K130" t="s">
        <v>125</v>
      </c>
      <c r="L130" t="s">
        <v>495</v>
      </c>
      <c r="T130" t="s">
        <v>154</v>
      </c>
      <c r="W130" t="s">
        <v>135</v>
      </c>
      <c r="AC130" t="s">
        <v>143</v>
      </c>
      <c r="AE130" t="s">
        <v>144</v>
      </c>
      <c r="AG130">
        <v>4</v>
      </c>
      <c r="AH130" t="s">
        <v>496</v>
      </c>
      <c r="AI130" t="s">
        <v>205</v>
      </c>
      <c r="AJ130" t="s">
        <v>131</v>
      </c>
      <c r="AK130" t="s">
        <v>125</v>
      </c>
      <c r="AL130">
        <v>5</v>
      </c>
      <c r="AM130" t="s">
        <v>132</v>
      </c>
      <c r="AN130" t="s">
        <v>125</v>
      </c>
      <c r="AO130" t="s">
        <v>497</v>
      </c>
      <c r="BP130" t="s">
        <v>149</v>
      </c>
      <c r="BR130" t="s">
        <v>135</v>
      </c>
      <c r="BS130">
        <v>2</v>
      </c>
      <c r="BX130" t="s">
        <v>136</v>
      </c>
      <c r="BZ130" t="s">
        <v>137</v>
      </c>
    </row>
    <row r="131" spans="1:78" x14ac:dyDescent="0.2">
      <c r="A131" t="s">
        <v>119</v>
      </c>
      <c r="B131" t="s">
        <v>120</v>
      </c>
      <c r="C131" t="s">
        <v>492</v>
      </c>
      <c r="D131">
        <v>10</v>
      </c>
      <c r="E131" t="s">
        <v>490</v>
      </c>
      <c r="F131" t="s">
        <v>283</v>
      </c>
      <c r="G131" t="s">
        <v>124</v>
      </c>
      <c r="H131" t="s">
        <v>125</v>
      </c>
      <c r="I131">
        <v>5</v>
      </c>
      <c r="J131" t="s">
        <v>268</v>
      </c>
      <c r="K131" t="s">
        <v>125</v>
      </c>
      <c r="L131" t="s">
        <v>498</v>
      </c>
      <c r="U131" t="s">
        <v>149</v>
      </c>
      <c r="W131" t="s">
        <v>135</v>
      </c>
      <c r="X131">
        <v>2</v>
      </c>
      <c r="AC131" t="s">
        <v>136</v>
      </c>
      <c r="AE131" t="s">
        <v>137</v>
      </c>
    </row>
    <row r="132" spans="1:78" hidden="1" x14ac:dyDescent="0.2">
      <c r="A132" t="s">
        <v>119</v>
      </c>
      <c r="B132" t="s">
        <v>120</v>
      </c>
      <c r="C132" t="s">
        <v>499</v>
      </c>
      <c r="D132">
        <v>20</v>
      </c>
      <c r="E132" t="s">
        <v>263</v>
      </c>
      <c r="F132" t="s">
        <v>158</v>
      </c>
      <c r="G132" t="s">
        <v>124</v>
      </c>
      <c r="H132" t="s">
        <v>125</v>
      </c>
      <c r="I132">
        <v>7</v>
      </c>
      <c r="J132" t="s">
        <v>161</v>
      </c>
      <c r="K132" t="s">
        <v>125</v>
      </c>
      <c r="L132" t="s">
        <v>500</v>
      </c>
      <c r="T132" t="s">
        <v>154</v>
      </c>
      <c r="W132" t="s">
        <v>135</v>
      </c>
      <c r="AC132" t="s">
        <v>143</v>
      </c>
      <c r="AE132" t="s">
        <v>144</v>
      </c>
      <c r="AG132">
        <v>19</v>
      </c>
      <c r="AH132" t="s">
        <v>204</v>
      </c>
      <c r="AI132" t="s">
        <v>205</v>
      </c>
      <c r="AJ132" t="s">
        <v>131</v>
      </c>
      <c r="AK132" t="s">
        <v>125</v>
      </c>
      <c r="AL132">
        <v>20</v>
      </c>
      <c r="AM132" t="s">
        <v>132</v>
      </c>
      <c r="AN132" t="s">
        <v>125</v>
      </c>
      <c r="AO132" t="s">
        <v>501</v>
      </c>
      <c r="BP132" t="s">
        <v>149</v>
      </c>
      <c r="BR132" t="s">
        <v>135</v>
      </c>
      <c r="BS132">
        <v>1</v>
      </c>
      <c r="BX132" t="s">
        <v>136</v>
      </c>
      <c r="BZ132" t="s">
        <v>137</v>
      </c>
    </row>
    <row r="133" spans="1:78" hidden="1" x14ac:dyDescent="0.2">
      <c r="A133" t="s">
        <v>119</v>
      </c>
      <c r="B133" t="s">
        <v>120</v>
      </c>
      <c r="C133" t="s">
        <v>502</v>
      </c>
      <c r="D133">
        <v>5</v>
      </c>
      <c r="E133" t="s">
        <v>263</v>
      </c>
      <c r="F133" t="s">
        <v>158</v>
      </c>
      <c r="G133" t="s">
        <v>124</v>
      </c>
      <c r="H133" t="s">
        <v>125</v>
      </c>
      <c r="I133">
        <v>0</v>
      </c>
      <c r="J133" t="s">
        <v>126</v>
      </c>
      <c r="K133" t="s">
        <v>125</v>
      </c>
      <c r="L133" t="s">
        <v>503</v>
      </c>
      <c r="T133" t="s">
        <v>154</v>
      </c>
      <c r="W133" t="s">
        <v>135</v>
      </c>
      <c r="AC133" t="s">
        <v>143</v>
      </c>
      <c r="AE133" t="s">
        <v>144</v>
      </c>
      <c r="AG133">
        <v>4</v>
      </c>
      <c r="AH133" t="s">
        <v>496</v>
      </c>
      <c r="AI133" t="s">
        <v>205</v>
      </c>
      <c r="AJ133" t="s">
        <v>131</v>
      </c>
      <c r="AK133" t="s">
        <v>125</v>
      </c>
      <c r="AL133">
        <v>5</v>
      </c>
      <c r="AM133" t="s">
        <v>132</v>
      </c>
      <c r="AN133" t="s">
        <v>125</v>
      </c>
      <c r="AO133" t="s">
        <v>504</v>
      </c>
      <c r="BP133" t="s">
        <v>149</v>
      </c>
      <c r="BR133" t="s">
        <v>135</v>
      </c>
      <c r="BS133">
        <v>2</v>
      </c>
      <c r="BX133" t="s">
        <v>136</v>
      </c>
      <c r="BZ133" t="s">
        <v>137</v>
      </c>
    </row>
    <row r="134" spans="1:78" hidden="1" x14ac:dyDescent="0.2">
      <c r="A134" t="s">
        <v>119</v>
      </c>
      <c r="B134" t="s">
        <v>120</v>
      </c>
      <c r="C134" t="s">
        <v>505</v>
      </c>
      <c r="D134">
        <v>7</v>
      </c>
      <c r="E134" t="s">
        <v>493</v>
      </c>
      <c r="F134" t="s">
        <v>494</v>
      </c>
      <c r="G134" t="s">
        <v>124</v>
      </c>
      <c r="H134" t="s">
        <v>125</v>
      </c>
      <c r="I134">
        <v>0</v>
      </c>
      <c r="J134" t="s">
        <v>126</v>
      </c>
      <c r="K134" t="s">
        <v>125</v>
      </c>
      <c r="L134" t="s">
        <v>506</v>
      </c>
      <c r="T134" t="s">
        <v>154</v>
      </c>
      <c r="W134" t="s">
        <v>135</v>
      </c>
      <c r="AC134" t="s">
        <v>143</v>
      </c>
      <c r="AE134" t="s">
        <v>144</v>
      </c>
      <c r="AG134">
        <v>6</v>
      </c>
      <c r="AH134" t="s">
        <v>232</v>
      </c>
      <c r="AI134" t="s">
        <v>205</v>
      </c>
      <c r="AJ134" t="s">
        <v>131</v>
      </c>
      <c r="AK134" t="s">
        <v>125</v>
      </c>
      <c r="AL134">
        <v>7</v>
      </c>
      <c r="AM134" t="s">
        <v>132</v>
      </c>
      <c r="AN134" t="s">
        <v>125</v>
      </c>
      <c r="AO134" t="s">
        <v>507</v>
      </c>
      <c r="BP134" t="s">
        <v>149</v>
      </c>
      <c r="BR134" t="s">
        <v>155</v>
      </c>
      <c r="BS134">
        <v>1</v>
      </c>
      <c r="BX134" t="s">
        <v>136</v>
      </c>
      <c r="BZ134" t="s">
        <v>137</v>
      </c>
    </row>
    <row r="135" spans="1:78" hidden="1" x14ac:dyDescent="0.2">
      <c r="A135" t="s">
        <v>119</v>
      </c>
      <c r="B135" t="s">
        <v>120</v>
      </c>
      <c r="C135" t="s">
        <v>505</v>
      </c>
      <c r="D135">
        <v>21</v>
      </c>
      <c r="E135" t="s">
        <v>508</v>
      </c>
      <c r="F135" t="s">
        <v>186</v>
      </c>
      <c r="G135" t="s">
        <v>124</v>
      </c>
      <c r="H135" t="s">
        <v>125</v>
      </c>
      <c r="I135">
        <v>7</v>
      </c>
      <c r="J135" t="s">
        <v>161</v>
      </c>
      <c r="K135" t="s">
        <v>125</v>
      </c>
      <c r="L135" t="s">
        <v>509</v>
      </c>
      <c r="T135" t="s">
        <v>142</v>
      </c>
      <c r="W135" t="s">
        <v>135</v>
      </c>
      <c r="AC135" t="s">
        <v>143</v>
      </c>
      <c r="AE135" t="s">
        <v>144</v>
      </c>
      <c r="AG135">
        <v>19</v>
      </c>
      <c r="AH135" t="s">
        <v>235</v>
      </c>
      <c r="AI135" t="s">
        <v>146</v>
      </c>
      <c r="AJ135" t="s">
        <v>131</v>
      </c>
      <c r="AK135" t="s">
        <v>125</v>
      </c>
      <c r="AL135">
        <v>21</v>
      </c>
      <c r="AM135" t="s">
        <v>132</v>
      </c>
      <c r="AN135" t="s">
        <v>125</v>
      </c>
      <c r="AO135" t="s">
        <v>510</v>
      </c>
      <c r="BP135" t="s">
        <v>149</v>
      </c>
      <c r="BR135" t="s">
        <v>155</v>
      </c>
      <c r="BS135">
        <v>3</v>
      </c>
      <c r="BX135" t="s">
        <v>136</v>
      </c>
      <c r="BZ135" t="s">
        <v>137</v>
      </c>
    </row>
    <row r="136" spans="1:78" hidden="1" x14ac:dyDescent="0.2">
      <c r="A136" t="s">
        <v>119</v>
      </c>
      <c r="B136" t="s">
        <v>120</v>
      </c>
      <c r="C136" t="s">
        <v>505</v>
      </c>
      <c r="D136">
        <v>25</v>
      </c>
      <c r="E136" t="s">
        <v>207</v>
      </c>
      <c r="F136" t="s">
        <v>146</v>
      </c>
      <c r="G136" t="s">
        <v>124</v>
      </c>
      <c r="H136" t="s">
        <v>125</v>
      </c>
      <c r="I136">
        <v>21</v>
      </c>
      <c r="J136" t="s">
        <v>268</v>
      </c>
      <c r="K136" t="s">
        <v>125</v>
      </c>
      <c r="L136" t="s">
        <v>511</v>
      </c>
      <c r="U136" t="s">
        <v>149</v>
      </c>
      <c r="W136" t="s">
        <v>135</v>
      </c>
      <c r="X136">
        <v>3</v>
      </c>
      <c r="AC136" t="s">
        <v>209</v>
      </c>
      <c r="AE136" t="s">
        <v>137</v>
      </c>
    </row>
    <row r="137" spans="1:78" hidden="1" x14ac:dyDescent="0.2">
      <c r="A137" t="s">
        <v>119</v>
      </c>
      <c r="B137" t="s">
        <v>120</v>
      </c>
      <c r="C137" t="s">
        <v>505</v>
      </c>
      <c r="D137">
        <v>53</v>
      </c>
      <c r="E137" t="s">
        <v>512</v>
      </c>
      <c r="F137" t="s">
        <v>146</v>
      </c>
      <c r="G137" t="s">
        <v>124</v>
      </c>
      <c r="H137" t="s">
        <v>125</v>
      </c>
      <c r="I137">
        <v>49</v>
      </c>
      <c r="J137" t="s">
        <v>161</v>
      </c>
      <c r="K137" t="s">
        <v>125</v>
      </c>
      <c r="L137" t="s">
        <v>513</v>
      </c>
      <c r="U137" t="s">
        <v>149</v>
      </c>
      <c r="W137" t="s">
        <v>155</v>
      </c>
      <c r="X137">
        <v>3</v>
      </c>
      <c r="AC137" t="s">
        <v>209</v>
      </c>
      <c r="AE137" t="s">
        <v>137</v>
      </c>
    </row>
    <row r="138" spans="1:78" hidden="1" x14ac:dyDescent="0.2">
      <c r="A138" t="s">
        <v>119</v>
      </c>
      <c r="B138" t="s">
        <v>120</v>
      </c>
      <c r="C138" t="s">
        <v>514</v>
      </c>
      <c r="D138">
        <v>2</v>
      </c>
      <c r="E138" t="s">
        <v>515</v>
      </c>
      <c r="F138" t="s">
        <v>283</v>
      </c>
      <c r="G138" t="s">
        <v>124</v>
      </c>
      <c r="H138" t="s">
        <v>125</v>
      </c>
      <c r="I138">
        <v>0</v>
      </c>
      <c r="J138" t="s">
        <v>126</v>
      </c>
      <c r="K138" t="s">
        <v>125</v>
      </c>
      <c r="L138" t="s">
        <v>516</v>
      </c>
      <c r="T138" t="s">
        <v>154</v>
      </c>
    </row>
    <row r="139" spans="1:78" hidden="1" x14ac:dyDescent="0.2">
      <c r="A139" t="s">
        <v>119</v>
      </c>
      <c r="B139" t="s">
        <v>120</v>
      </c>
      <c r="C139" t="s">
        <v>517</v>
      </c>
      <c r="D139">
        <v>5</v>
      </c>
      <c r="E139" t="s">
        <v>518</v>
      </c>
      <c r="F139" t="s">
        <v>146</v>
      </c>
      <c r="G139" t="s">
        <v>124</v>
      </c>
      <c r="H139" t="s">
        <v>125</v>
      </c>
      <c r="I139">
        <v>0</v>
      </c>
      <c r="J139" t="s">
        <v>126</v>
      </c>
      <c r="K139" t="s">
        <v>125</v>
      </c>
      <c r="L139" t="s">
        <v>519</v>
      </c>
    </row>
    <row r="140" spans="1:78" hidden="1" x14ac:dyDescent="0.2">
      <c r="A140" t="s">
        <v>119</v>
      </c>
      <c r="B140" t="s">
        <v>120</v>
      </c>
      <c r="C140" t="s">
        <v>517</v>
      </c>
      <c r="D140">
        <v>11</v>
      </c>
      <c r="E140" t="s">
        <v>520</v>
      </c>
      <c r="F140" t="s">
        <v>521</v>
      </c>
      <c r="G140" t="s">
        <v>124</v>
      </c>
      <c r="H140" t="s">
        <v>125</v>
      </c>
      <c r="I140">
        <v>8</v>
      </c>
      <c r="J140" t="s">
        <v>170</v>
      </c>
      <c r="K140" t="s">
        <v>125</v>
      </c>
      <c r="L140" t="s">
        <v>522</v>
      </c>
      <c r="U140" t="s">
        <v>149</v>
      </c>
      <c r="W140" t="s">
        <v>155</v>
      </c>
      <c r="X140">
        <v>3</v>
      </c>
      <c r="AC140" t="s">
        <v>209</v>
      </c>
      <c r="AE140" t="s">
        <v>137</v>
      </c>
    </row>
    <row r="141" spans="1:78" hidden="1" x14ac:dyDescent="0.2">
      <c r="A141" t="s">
        <v>119</v>
      </c>
      <c r="B141" t="s">
        <v>120</v>
      </c>
      <c r="C141" t="s">
        <v>523</v>
      </c>
      <c r="D141">
        <v>8</v>
      </c>
      <c r="E141" t="s">
        <v>524</v>
      </c>
      <c r="F141" t="s">
        <v>525</v>
      </c>
      <c r="G141" t="s">
        <v>124</v>
      </c>
      <c r="H141" t="s">
        <v>125</v>
      </c>
      <c r="I141">
        <v>5</v>
      </c>
      <c r="J141" t="s">
        <v>161</v>
      </c>
      <c r="K141" t="s">
        <v>125</v>
      </c>
      <c r="L141" t="s">
        <v>526</v>
      </c>
      <c r="T141" t="s">
        <v>142</v>
      </c>
      <c r="W141" t="s">
        <v>135</v>
      </c>
      <c r="AC141" t="s">
        <v>143</v>
      </c>
      <c r="AE141" t="s">
        <v>144</v>
      </c>
      <c r="AG141">
        <v>7</v>
      </c>
      <c r="AH141" t="s">
        <v>207</v>
      </c>
      <c r="AI141" t="s">
        <v>146</v>
      </c>
      <c r="AJ141" t="s">
        <v>131</v>
      </c>
      <c r="AK141" t="s">
        <v>125</v>
      </c>
      <c r="AL141">
        <v>8</v>
      </c>
      <c r="AM141" t="s">
        <v>147</v>
      </c>
      <c r="AN141" t="s">
        <v>125</v>
      </c>
      <c r="AO141" t="s">
        <v>527</v>
      </c>
      <c r="BP141" t="s">
        <v>149</v>
      </c>
      <c r="BR141" t="s">
        <v>135</v>
      </c>
      <c r="BS141">
        <v>3</v>
      </c>
      <c r="BX141" t="s">
        <v>209</v>
      </c>
      <c r="BZ141" t="s">
        <v>137</v>
      </c>
    </row>
    <row r="142" spans="1:78" hidden="1" x14ac:dyDescent="0.2">
      <c r="A142" t="s">
        <v>119</v>
      </c>
      <c r="B142" t="s">
        <v>120</v>
      </c>
      <c r="C142" t="s">
        <v>523</v>
      </c>
      <c r="D142">
        <v>33</v>
      </c>
      <c r="E142" t="s">
        <v>216</v>
      </c>
      <c r="F142" t="s">
        <v>178</v>
      </c>
      <c r="G142" t="s">
        <v>124</v>
      </c>
      <c r="H142" t="s">
        <v>125</v>
      </c>
      <c r="I142">
        <v>26</v>
      </c>
      <c r="J142" t="s">
        <v>170</v>
      </c>
      <c r="K142" t="s">
        <v>125</v>
      </c>
      <c r="L142" t="s">
        <v>528</v>
      </c>
      <c r="T142" t="s">
        <v>154</v>
      </c>
      <c r="W142" t="s">
        <v>135</v>
      </c>
      <c r="AC142" t="s">
        <v>143</v>
      </c>
      <c r="AE142" t="s">
        <v>144</v>
      </c>
      <c r="AG142">
        <v>32</v>
      </c>
      <c r="AH142" t="s">
        <v>218</v>
      </c>
      <c r="AI142" t="s">
        <v>205</v>
      </c>
      <c r="AJ142" t="s">
        <v>131</v>
      </c>
      <c r="AK142" t="s">
        <v>125</v>
      </c>
      <c r="AL142">
        <v>33</v>
      </c>
      <c r="AM142" t="s">
        <v>132</v>
      </c>
      <c r="AN142" t="s">
        <v>125</v>
      </c>
      <c r="AO142" t="s">
        <v>529</v>
      </c>
      <c r="BP142" t="s">
        <v>149</v>
      </c>
      <c r="BR142" t="s">
        <v>155</v>
      </c>
      <c r="BS142">
        <v>3</v>
      </c>
      <c r="BX142" t="s">
        <v>136</v>
      </c>
      <c r="BZ142" t="s">
        <v>137</v>
      </c>
    </row>
    <row r="143" spans="1:78" hidden="1" x14ac:dyDescent="0.2">
      <c r="A143" t="s">
        <v>119</v>
      </c>
      <c r="B143" t="s">
        <v>120</v>
      </c>
      <c r="C143" t="s">
        <v>530</v>
      </c>
      <c r="D143">
        <v>15</v>
      </c>
      <c r="E143" t="s">
        <v>201</v>
      </c>
      <c r="F143" t="s">
        <v>202</v>
      </c>
      <c r="G143" t="s">
        <v>124</v>
      </c>
      <c r="H143" t="s">
        <v>125</v>
      </c>
      <c r="I143">
        <v>8</v>
      </c>
      <c r="J143" t="s">
        <v>161</v>
      </c>
      <c r="K143" t="s">
        <v>125</v>
      </c>
      <c r="L143" t="s">
        <v>531</v>
      </c>
      <c r="T143" t="s">
        <v>154</v>
      </c>
      <c r="W143" t="s">
        <v>135</v>
      </c>
      <c r="AC143" t="s">
        <v>143</v>
      </c>
      <c r="AE143" t="s">
        <v>144</v>
      </c>
      <c r="AG143">
        <v>14</v>
      </c>
      <c r="AH143" t="s">
        <v>421</v>
      </c>
      <c r="AI143" t="s">
        <v>205</v>
      </c>
      <c r="AJ143" t="s">
        <v>131</v>
      </c>
      <c r="AK143" t="s">
        <v>125</v>
      </c>
      <c r="AL143">
        <v>15</v>
      </c>
      <c r="AM143" t="s">
        <v>132</v>
      </c>
      <c r="AN143" t="s">
        <v>125</v>
      </c>
      <c r="AO143" t="s">
        <v>532</v>
      </c>
      <c r="BP143" t="s">
        <v>149</v>
      </c>
      <c r="BR143" t="s">
        <v>135</v>
      </c>
      <c r="BS143">
        <v>1</v>
      </c>
      <c r="BX143" t="s">
        <v>209</v>
      </c>
      <c r="BZ143" t="s">
        <v>137</v>
      </c>
    </row>
    <row r="144" spans="1:78" hidden="1" x14ac:dyDescent="0.2">
      <c r="A144" t="s">
        <v>119</v>
      </c>
      <c r="B144" t="s">
        <v>120</v>
      </c>
      <c r="C144" t="s">
        <v>530</v>
      </c>
      <c r="D144">
        <v>19</v>
      </c>
      <c r="E144" t="s">
        <v>533</v>
      </c>
      <c r="F144" t="s">
        <v>534</v>
      </c>
      <c r="G144" t="s">
        <v>124</v>
      </c>
      <c r="H144" t="s">
        <v>125</v>
      </c>
      <c r="I144">
        <v>15</v>
      </c>
      <c r="J144" t="s">
        <v>268</v>
      </c>
      <c r="K144" t="s">
        <v>125</v>
      </c>
      <c r="L144" t="s">
        <v>535</v>
      </c>
      <c r="U144" t="s">
        <v>149</v>
      </c>
      <c r="W144" t="s">
        <v>135</v>
      </c>
      <c r="X144">
        <v>1</v>
      </c>
      <c r="AC144" t="s">
        <v>209</v>
      </c>
      <c r="AE144" t="s">
        <v>137</v>
      </c>
    </row>
    <row r="145" spans="1:78" x14ac:dyDescent="0.2">
      <c r="A145" t="s">
        <v>119</v>
      </c>
      <c r="B145" t="s">
        <v>120</v>
      </c>
      <c r="C145" t="s">
        <v>536</v>
      </c>
      <c r="D145">
        <v>4</v>
      </c>
      <c r="E145" t="s">
        <v>537</v>
      </c>
      <c r="F145" t="s">
        <v>261</v>
      </c>
      <c r="G145" t="s">
        <v>124</v>
      </c>
      <c r="H145" t="s">
        <v>125</v>
      </c>
      <c r="I145">
        <v>0</v>
      </c>
      <c r="J145" t="s">
        <v>126</v>
      </c>
      <c r="K145" t="s">
        <v>125</v>
      </c>
      <c r="L145" t="s">
        <v>538</v>
      </c>
      <c r="U145" t="s">
        <v>149</v>
      </c>
      <c r="W145" t="s">
        <v>135</v>
      </c>
      <c r="X145">
        <v>2</v>
      </c>
      <c r="AC145" t="s">
        <v>136</v>
      </c>
      <c r="AE145" t="s">
        <v>137</v>
      </c>
    </row>
    <row r="146" spans="1:78" hidden="1" x14ac:dyDescent="0.2">
      <c r="A146" t="s">
        <v>119</v>
      </c>
      <c r="B146" t="s">
        <v>120</v>
      </c>
      <c r="C146" t="s">
        <v>539</v>
      </c>
      <c r="D146">
        <v>18</v>
      </c>
      <c r="E146" t="s">
        <v>177</v>
      </c>
      <c r="F146" t="s">
        <v>178</v>
      </c>
      <c r="G146" t="s">
        <v>124</v>
      </c>
      <c r="H146" t="s">
        <v>125</v>
      </c>
      <c r="I146">
        <v>14</v>
      </c>
      <c r="J146" t="s">
        <v>170</v>
      </c>
      <c r="K146" t="s">
        <v>125</v>
      </c>
      <c r="L146" t="s">
        <v>540</v>
      </c>
      <c r="T146" t="s">
        <v>142</v>
      </c>
      <c r="W146" t="s">
        <v>135</v>
      </c>
      <c r="AC146" t="s">
        <v>143</v>
      </c>
      <c r="AE146" t="s">
        <v>144</v>
      </c>
      <c r="AG146">
        <v>16</v>
      </c>
      <c r="AH146" t="s">
        <v>145</v>
      </c>
      <c r="AI146" t="s">
        <v>146</v>
      </c>
      <c r="AJ146" t="s">
        <v>131</v>
      </c>
      <c r="AK146" t="s">
        <v>125</v>
      </c>
      <c r="AL146">
        <v>18</v>
      </c>
      <c r="AM146" t="s">
        <v>132</v>
      </c>
      <c r="AN146" t="s">
        <v>125</v>
      </c>
      <c r="AO146" t="s">
        <v>541</v>
      </c>
      <c r="BP146" t="s">
        <v>149</v>
      </c>
      <c r="BR146" t="s">
        <v>135</v>
      </c>
      <c r="BS146">
        <v>3</v>
      </c>
      <c r="BX146" t="s">
        <v>136</v>
      </c>
      <c r="BZ146" t="s">
        <v>137</v>
      </c>
    </row>
    <row r="147" spans="1:78" hidden="1" x14ac:dyDescent="0.2">
      <c r="A147" t="s">
        <v>119</v>
      </c>
      <c r="B147" t="s">
        <v>120</v>
      </c>
      <c r="C147" t="s">
        <v>542</v>
      </c>
      <c r="D147">
        <v>6</v>
      </c>
      <c r="E147" t="s">
        <v>543</v>
      </c>
      <c r="F147" t="s">
        <v>543</v>
      </c>
      <c r="G147" t="s">
        <v>124</v>
      </c>
      <c r="H147" t="s">
        <v>125</v>
      </c>
      <c r="I147">
        <v>7</v>
      </c>
      <c r="J147" t="s">
        <v>182</v>
      </c>
      <c r="K147" t="s">
        <v>125</v>
      </c>
      <c r="L147" t="s">
        <v>544</v>
      </c>
    </row>
    <row r="148" spans="1:78" x14ac:dyDescent="0.2">
      <c r="A148" t="s">
        <v>119</v>
      </c>
      <c r="B148" t="s">
        <v>120</v>
      </c>
      <c r="C148" t="s">
        <v>545</v>
      </c>
      <c r="D148">
        <v>4</v>
      </c>
      <c r="E148" t="s">
        <v>546</v>
      </c>
      <c r="F148" t="s">
        <v>283</v>
      </c>
      <c r="G148" t="s">
        <v>124</v>
      </c>
      <c r="H148" t="s">
        <v>125</v>
      </c>
      <c r="I148">
        <v>2</v>
      </c>
      <c r="J148" t="s">
        <v>170</v>
      </c>
      <c r="K148" t="s">
        <v>125</v>
      </c>
      <c r="L148" t="s">
        <v>547</v>
      </c>
      <c r="U148" t="s">
        <v>149</v>
      </c>
      <c r="W148" t="s">
        <v>135</v>
      </c>
      <c r="X148">
        <v>3</v>
      </c>
      <c r="AC148" t="s">
        <v>136</v>
      </c>
      <c r="AE148" t="s">
        <v>137</v>
      </c>
    </row>
    <row r="149" spans="1:78" x14ac:dyDescent="0.2">
      <c r="A149" t="s">
        <v>119</v>
      </c>
      <c r="B149" t="s">
        <v>120</v>
      </c>
      <c r="C149" t="s">
        <v>545</v>
      </c>
      <c r="D149">
        <v>6</v>
      </c>
      <c r="E149" t="s">
        <v>260</v>
      </c>
      <c r="F149" t="s">
        <v>261</v>
      </c>
      <c r="G149" t="s">
        <v>124</v>
      </c>
      <c r="H149" t="s">
        <v>125</v>
      </c>
      <c r="I149">
        <v>12</v>
      </c>
      <c r="J149" t="s">
        <v>182</v>
      </c>
      <c r="K149" t="s">
        <v>125</v>
      </c>
      <c r="L149" t="s">
        <v>548</v>
      </c>
      <c r="U149" t="s">
        <v>149</v>
      </c>
      <c r="W149" t="s">
        <v>155</v>
      </c>
      <c r="X149">
        <v>1</v>
      </c>
      <c r="AC149" t="s">
        <v>136</v>
      </c>
      <c r="AE149" t="s">
        <v>137</v>
      </c>
    </row>
    <row r="150" spans="1:78" x14ac:dyDescent="0.2">
      <c r="A150" t="s">
        <v>119</v>
      </c>
      <c r="B150" t="s">
        <v>120</v>
      </c>
      <c r="C150" t="s">
        <v>545</v>
      </c>
      <c r="D150">
        <v>22</v>
      </c>
      <c r="E150" t="s">
        <v>180</v>
      </c>
      <c r="F150" t="s">
        <v>181</v>
      </c>
      <c r="G150" t="s">
        <v>124</v>
      </c>
      <c r="H150" t="s">
        <v>125</v>
      </c>
      <c r="I150">
        <v>20</v>
      </c>
      <c r="J150" t="s">
        <v>182</v>
      </c>
      <c r="K150" t="s">
        <v>125</v>
      </c>
      <c r="L150" t="s">
        <v>549</v>
      </c>
      <c r="U150" t="s">
        <v>149</v>
      </c>
      <c r="W150" t="s">
        <v>135</v>
      </c>
      <c r="X150">
        <v>1</v>
      </c>
      <c r="AC150" t="s">
        <v>136</v>
      </c>
      <c r="AE150" t="s">
        <v>137</v>
      </c>
    </row>
    <row r="151" spans="1:78" x14ac:dyDescent="0.2">
      <c r="A151" t="s">
        <v>119</v>
      </c>
      <c r="B151" t="s">
        <v>120</v>
      </c>
      <c r="C151" t="s">
        <v>545</v>
      </c>
      <c r="D151">
        <v>25</v>
      </c>
      <c r="E151" t="s">
        <v>197</v>
      </c>
      <c r="F151" t="s">
        <v>198</v>
      </c>
      <c r="G151" t="s">
        <v>124</v>
      </c>
      <c r="H151" t="s">
        <v>125</v>
      </c>
      <c r="I151">
        <v>20</v>
      </c>
      <c r="J151" t="s">
        <v>182</v>
      </c>
      <c r="K151" t="s">
        <v>125</v>
      </c>
      <c r="L151" t="s">
        <v>550</v>
      </c>
      <c r="U151" t="s">
        <v>149</v>
      </c>
      <c r="W151" t="s">
        <v>135</v>
      </c>
      <c r="X151">
        <v>1</v>
      </c>
      <c r="AC151" t="s">
        <v>136</v>
      </c>
      <c r="AE151" t="s">
        <v>137</v>
      </c>
    </row>
    <row r="152" spans="1:78" x14ac:dyDescent="0.2">
      <c r="A152" t="s">
        <v>119</v>
      </c>
      <c r="B152" t="s">
        <v>120</v>
      </c>
      <c r="C152" t="s">
        <v>551</v>
      </c>
      <c r="D152">
        <v>2</v>
      </c>
      <c r="E152" t="s">
        <v>343</v>
      </c>
      <c r="F152" t="s">
        <v>311</v>
      </c>
      <c r="G152" t="s">
        <v>124</v>
      </c>
      <c r="H152" t="s">
        <v>125</v>
      </c>
      <c r="I152">
        <v>0</v>
      </c>
      <c r="J152" t="s">
        <v>126</v>
      </c>
      <c r="K152" t="s">
        <v>125</v>
      </c>
      <c r="L152" t="s">
        <v>552</v>
      </c>
      <c r="U152" t="s">
        <v>149</v>
      </c>
      <c r="W152" t="s">
        <v>135</v>
      </c>
      <c r="X152">
        <v>1</v>
      </c>
      <c r="AC152" t="s">
        <v>136</v>
      </c>
      <c r="AE152" t="s">
        <v>137</v>
      </c>
    </row>
    <row r="153" spans="1:78" hidden="1" x14ac:dyDescent="0.2">
      <c r="A153" t="s">
        <v>119</v>
      </c>
      <c r="B153" t="s">
        <v>120</v>
      </c>
      <c r="C153" t="s">
        <v>553</v>
      </c>
      <c r="D153">
        <v>6</v>
      </c>
      <c r="E153" t="s">
        <v>263</v>
      </c>
      <c r="F153" t="s">
        <v>158</v>
      </c>
      <c r="G153" t="s">
        <v>124</v>
      </c>
      <c r="H153" t="s">
        <v>125</v>
      </c>
      <c r="I153">
        <v>0</v>
      </c>
      <c r="J153" t="s">
        <v>126</v>
      </c>
      <c r="K153" t="s">
        <v>125</v>
      </c>
      <c r="L153" t="s">
        <v>554</v>
      </c>
      <c r="T153" t="s">
        <v>154</v>
      </c>
      <c r="W153" t="s">
        <v>135</v>
      </c>
      <c r="AC153" t="s">
        <v>143</v>
      </c>
      <c r="AE153" t="s">
        <v>144</v>
      </c>
      <c r="AG153">
        <v>5</v>
      </c>
      <c r="AH153" t="s">
        <v>496</v>
      </c>
      <c r="AI153" t="s">
        <v>205</v>
      </c>
      <c r="AJ153" t="s">
        <v>131</v>
      </c>
      <c r="AK153" t="s">
        <v>125</v>
      </c>
      <c r="AL153">
        <v>6</v>
      </c>
      <c r="AM153" t="s">
        <v>132</v>
      </c>
      <c r="AN153" t="s">
        <v>125</v>
      </c>
      <c r="AO153" t="s">
        <v>555</v>
      </c>
      <c r="BP153" t="s">
        <v>149</v>
      </c>
      <c r="BR153" t="s">
        <v>135</v>
      </c>
      <c r="BS153">
        <v>2</v>
      </c>
      <c r="BX153" t="s">
        <v>136</v>
      </c>
      <c r="BZ153" t="s">
        <v>137</v>
      </c>
    </row>
    <row r="154" spans="1:78" hidden="1" x14ac:dyDescent="0.2">
      <c r="A154" t="s">
        <v>119</v>
      </c>
      <c r="B154" t="s">
        <v>120</v>
      </c>
      <c r="C154" t="s">
        <v>556</v>
      </c>
      <c r="D154">
        <v>16</v>
      </c>
      <c r="E154" t="s">
        <v>557</v>
      </c>
      <c r="F154" t="s">
        <v>146</v>
      </c>
      <c r="G154" t="s">
        <v>124</v>
      </c>
      <c r="H154" t="s">
        <v>125</v>
      </c>
      <c r="I154">
        <v>9</v>
      </c>
      <c r="J154" t="s">
        <v>161</v>
      </c>
      <c r="K154" t="s">
        <v>125</v>
      </c>
      <c r="L154" t="s">
        <v>558</v>
      </c>
      <c r="T154" t="s">
        <v>154</v>
      </c>
      <c r="W154" t="s">
        <v>135</v>
      </c>
      <c r="AC154" t="s">
        <v>143</v>
      </c>
      <c r="AE154" t="s">
        <v>144</v>
      </c>
      <c r="AG154">
        <v>15</v>
      </c>
      <c r="AH154" t="s">
        <v>145</v>
      </c>
      <c r="AI154" t="s">
        <v>146</v>
      </c>
      <c r="AJ154" t="s">
        <v>131</v>
      </c>
      <c r="AK154" t="s">
        <v>125</v>
      </c>
      <c r="AL154">
        <v>16</v>
      </c>
      <c r="AM154" t="s">
        <v>132</v>
      </c>
      <c r="AN154" t="s">
        <v>125</v>
      </c>
      <c r="AO154" t="s">
        <v>559</v>
      </c>
      <c r="BP154" t="s">
        <v>149</v>
      </c>
      <c r="BR154" t="s">
        <v>135</v>
      </c>
      <c r="BS154">
        <v>3</v>
      </c>
      <c r="BX154" t="s">
        <v>136</v>
      </c>
      <c r="BZ154" t="s">
        <v>137</v>
      </c>
    </row>
    <row r="155" spans="1:78" hidden="1" x14ac:dyDescent="0.2">
      <c r="A155" t="s">
        <v>119</v>
      </c>
      <c r="B155" t="s">
        <v>120</v>
      </c>
      <c r="C155" t="s">
        <v>556</v>
      </c>
      <c r="D155">
        <v>22</v>
      </c>
      <c r="E155" t="s">
        <v>560</v>
      </c>
      <c r="F155" t="s">
        <v>169</v>
      </c>
      <c r="G155" t="s">
        <v>124</v>
      </c>
      <c r="H155" t="s">
        <v>125</v>
      </c>
      <c r="I155">
        <v>18</v>
      </c>
      <c r="J155" t="s">
        <v>170</v>
      </c>
      <c r="K155" t="s">
        <v>125</v>
      </c>
      <c r="L155" t="s">
        <v>561</v>
      </c>
      <c r="T155" t="s">
        <v>154</v>
      </c>
      <c r="W155" t="s">
        <v>135</v>
      </c>
      <c r="AC155" t="s">
        <v>143</v>
      </c>
      <c r="AE155" t="s">
        <v>144</v>
      </c>
      <c r="AG155">
        <v>21</v>
      </c>
      <c r="AH155" t="s">
        <v>218</v>
      </c>
      <c r="AI155" t="s">
        <v>205</v>
      </c>
      <c r="AJ155" t="s">
        <v>131</v>
      </c>
      <c r="AK155" t="s">
        <v>125</v>
      </c>
      <c r="AL155">
        <v>22</v>
      </c>
      <c r="AM155" t="s">
        <v>132</v>
      </c>
      <c r="AN155" t="s">
        <v>125</v>
      </c>
      <c r="AO155" t="s">
        <v>562</v>
      </c>
      <c r="BP155" t="s">
        <v>149</v>
      </c>
      <c r="BR155" t="s">
        <v>155</v>
      </c>
      <c r="BS155">
        <v>3</v>
      </c>
      <c r="BX155" t="s">
        <v>136</v>
      </c>
      <c r="BZ155" t="s">
        <v>137</v>
      </c>
    </row>
    <row r="156" spans="1:78" x14ac:dyDescent="0.2">
      <c r="A156" t="s">
        <v>119</v>
      </c>
      <c r="B156" t="s">
        <v>120</v>
      </c>
      <c r="C156" t="s">
        <v>563</v>
      </c>
      <c r="D156">
        <v>16</v>
      </c>
      <c r="E156" t="s">
        <v>564</v>
      </c>
      <c r="F156" t="s">
        <v>146</v>
      </c>
      <c r="G156" t="s">
        <v>124</v>
      </c>
      <c r="H156" t="s">
        <v>125</v>
      </c>
      <c r="I156">
        <v>12</v>
      </c>
      <c r="J156" t="s">
        <v>367</v>
      </c>
      <c r="K156" t="s">
        <v>125</v>
      </c>
      <c r="L156" t="s">
        <v>565</v>
      </c>
      <c r="U156" t="s">
        <v>309</v>
      </c>
      <c r="W156" t="s">
        <v>155</v>
      </c>
      <c r="X156">
        <v>3</v>
      </c>
      <c r="AC156" t="s">
        <v>136</v>
      </c>
      <c r="AE156" t="s">
        <v>137</v>
      </c>
    </row>
    <row r="157" spans="1:78" hidden="1" x14ac:dyDescent="0.2">
      <c r="A157" t="s">
        <v>119</v>
      </c>
      <c r="B157" t="s">
        <v>120</v>
      </c>
      <c r="C157" t="s">
        <v>563</v>
      </c>
      <c r="D157">
        <v>34</v>
      </c>
      <c r="E157" t="s">
        <v>566</v>
      </c>
      <c r="F157" t="s">
        <v>566</v>
      </c>
      <c r="G157" t="s">
        <v>124</v>
      </c>
      <c r="H157" t="s">
        <v>125</v>
      </c>
      <c r="I157">
        <v>32</v>
      </c>
      <c r="J157" t="s">
        <v>386</v>
      </c>
      <c r="K157" t="s">
        <v>125</v>
      </c>
      <c r="L157" t="s">
        <v>567</v>
      </c>
      <c r="AE157" t="s">
        <v>128</v>
      </c>
    </row>
    <row r="158" spans="1:78" hidden="1" x14ac:dyDescent="0.2">
      <c r="A158" t="s">
        <v>119</v>
      </c>
      <c r="B158" t="s">
        <v>120</v>
      </c>
      <c r="C158" t="s">
        <v>563</v>
      </c>
      <c r="D158">
        <v>38</v>
      </c>
      <c r="E158" t="s">
        <v>205</v>
      </c>
      <c r="F158" t="s">
        <v>205</v>
      </c>
      <c r="G158" t="s">
        <v>124</v>
      </c>
      <c r="H158" t="s">
        <v>125</v>
      </c>
      <c r="I158">
        <v>34</v>
      </c>
      <c r="J158" t="s">
        <v>268</v>
      </c>
      <c r="K158" t="s">
        <v>125</v>
      </c>
      <c r="L158" t="s">
        <v>568</v>
      </c>
      <c r="AE158" t="s">
        <v>128</v>
      </c>
    </row>
    <row r="159" spans="1:78" hidden="1" x14ac:dyDescent="0.2">
      <c r="A159" t="s">
        <v>119</v>
      </c>
      <c r="B159" t="s">
        <v>120</v>
      </c>
      <c r="C159" t="s">
        <v>563</v>
      </c>
      <c r="D159">
        <v>52</v>
      </c>
      <c r="E159" t="s">
        <v>569</v>
      </c>
      <c r="F159" t="s">
        <v>569</v>
      </c>
      <c r="G159" t="s">
        <v>124</v>
      </c>
      <c r="H159" t="s">
        <v>125</v>
      </c>
      <c r="I159">
        <v>32</v>
      </c>
      <c r="J159" t="s">
        <v>268</v>
      </c>
      <c r="K159" t="s">
        <v>125</v>
      </c>
      <c r="L159" t="s">
        <v>570</v>
      </c>
      <c r="AE159" t="s">
        <v>128</v>
      </c>
      <c r="AG159">
        <v>51</v>
      </c>
      <c r="AH159" t="s">
        <v>571</v>
      </c>
      <c r="AI159" t="s">
        <v>572</v>
      </c>
      <c r="AJ159" t="s">
        <v>131</v>
      </c>
      <c r="AK159" t="s">
        <v>125</v>
      </c>
      <c r="AL159">
        <v>52</v>
      </c>
      <c r="AM159" t="s">
        <v>132</v>
      </c>
      <c r="AN159" t="s">
        <v>125</v>
      </c>
      <c r="AO159" t="s">
        <v>573</v>
      </c>
      <c r="BP159" t="s">
        <v>149</v>
      </c>
      <c r="BR159" t="s">
        <v>155</v>
      </c>
      <c r="BS159">
        <v>3</v>
      </c>
      <c r="BX159" t="s">
        <v>136</v>
      </c>
      <c r="BZ159" t="s">
        <v>137</v>
      </c>
    </row>
    <row r="160" spans="1:78" hidden="1" x14ac:dyDescent="0.2">
      <c r="A160" t="s">
        <v>119</v>
      </c>
      <c r="B160" t="s">
        <v>120</v>
      </c>
      <c r="C160" t="s">
        <v>574</v>
      </c>
      <c r="D160">
        <v>7</v>
      </c>
      <c r="E160" t="s">
        <v>575</v>
      </c>
      <c r="F160" t="s">
        <v>576</v>
      </c>
      <c r="G160" t="s">
        <v>124</v>
      </c>
      <c r="H160" t="s">
        <v>125</v>
      </c>
      <c r="I160">
        <v>0</v>
      </c>
      <c r="J160" t="s">
        <v>126</v>
      </c>
      <c r="K160" t="s">
        <v>125</v>
      </c>
      <c r="L160" t="s">
        <v>577</v>
      </c>
      <c r="T160" t="s">
        <v>154</v>
      </c>
      <c r="W160" t="s">
        <v>135</v>
      </c>
      <c r="AC160" t="s">
        <v>143</v>
      </c>
      <c r="AE160" t="s">
        <v>144</v>
      </c>
      <c r="AG160">
        <v>5</v>
      </c>
      <c r="AH160" t="s">
        <v>204</v>
      </c>
      <c r="AI160" t="s">
        <v>205</v>
      </c>
      <c r="AJ160" t="s">
        <v>131</v>
      </c>
      <c r="AK160" t="s">
        <v>125</v>
      </c>
      <c r="AL160">
        <v>7</v>
      </c>
      <c r="AM160" t="s">
        <v>132</v>
      </c>
      <c r="AN160" t="s">
        <v>125</v>
      </c>
      <c r="AO160" t="s">
        <v>578</v>
      </c>
      <c r="BP160" t="s">
        <v>149</v>
      </c>
      <c r="BR160" t="s">
        <v>135</v>
      </c>
      <c r="BS160">
        <v>1</v>
      </c>
      <c r="BX160" t="s">
        <v>136</v>
      </c>
      <c r="BZ160" t="s">
        <v>137</v>
      </c>
    </row>
    <row r="161" spans="1:78" hidden="1" x14ac:dyDescent="0.2">
      <c r="A161" t="s">
        <v>119</v>
      </c>
      <c r="B161" t="s">
        <v>120</v>
      </c>
      <c r="C161" t="s">
        <v>574</v>
      </c>
      <c r="D161">
        <v>13</v>
      </c>
      <c r="E161" t="s">
        <v>579</v>
      </c>
      <c r="F161" t="s">
        <v>146</v>
      </c>
      <c r="G161" t="s">
        <v>124</v>
      </c>
      <c r="H161" t="s">
        <v>125</v>
      </c>
      <c r="I161">
        <v>20</v>
      </c>
      <c r="J161" t="s">
        <v>268</v>
      </c>
      <c r="K161" t="s">
        <v>125</v>
      </c>
      <c r="L161" t="s">
        <v>580</v>
      </c>
      <c r="U161" t="s">
        <v>309</v>
      </c>
      <c r="W161" t="s">
        <v>135</v>
      </c>
      <c r="X161">
        <v>3</v>
      </c>
      <c r="AC161" t="s">
        <v>209</v>
      </c>
      <c r="AE161" t="s">
        <v>137</v>
      </c>
    </row>
    <row r="162" spans="1:78" x14ac:dyDescent="0.2">
      <c r="A162" t="s">
        <v>119</v>
      </c>
      <c r="B162" t="s">
        <v>120</v>
      </c>
      <c r="C162" t="s">
        <v>574</v>
      </c>
      <c r="D162">
        <v>20</v>
      </c>
      <c r="E162" t="s">
        <v>581</v>
      </c>
      <c r="F162" t="s">
        <v>582</v>
      </c>
      <c r="G162" t="s">
        <v>124</v>
      </c>
      <c r="H162" t="s">
        <v>125</v>
      </c>
      <c r="I162">
        <v>7</v>
      </c>
      <c r="J162" t="s">
        <v>268</v>
      </c>
      <c r="K162" t="s">
        <v>125</v>
      </c>
      <c r="L162" t="s">
        <v>583</v>
      </c>
      <c r="U162" t="s">
        <v>134</v>
      </c>
      <c r="W162" t="s">
        <v>135</v>
      </c>
      <c r="X162">
        <v>1</v>
      </c>
      <c r="AC162" t="s">
        <v>136</v>
      </c>
      <c r="AE162" t="s">
        <v>137</v>
      </c>
    </row>
    <row r="163" spans="1:78" hidden="1" x14ac:dyDescent="0.2">
      <c r="A163" t="s">
        <v>119</v>
      </c>
      <c r="B163" t="s">
        <v>120</v>
      </c>
      <c r="C163" t="s">
        <v>574</v>
      </c>
      <c r="D163">
        <v>32</v>
      </c>
      <c r="E163" t="s">
        <v>350</v>
      </c>
      <c r="F163" t="s">
        <v>350</v>
      </c>
      <c r="G163" t="s">
        <v>124</v>
      </c>
      <c r="H163" t="s">
        <v>125</v>
      </c>
      <c r="I163">
        <v>41</v>
      </c>
      <c r="J163" t="s">
        <v>268</v>
      </c>
      <c r="K163" t="s">
        <v>125</v>
      </c>
      <c r="L163" t="s">
        <v>584</v>
      </c>
      <c r="AE163" t="s">
        <v>128</v>
      </c>
    </row>
    <row r="164" spans="1:78" x14ac:dyDescent="0.2">
      <c r="A164" t="s">
        <v>119</v>
      </c>
      <c r="B164" t="s">
        <v>120</v>
      </c>
      <c r="C164" t="s">
        <v>574</v>
      </c>
      <c r="D164">
        <v>36</v>
      </c>
      <c r="E164" t="s">
        <v>585</v>
      </c>
      <c r="F164" t="s">
        <v>586</v>
      </c>
      <c r="G164" t="s">
        <v>124</v>
      </c>
      <c r="H164" t="s">
        <v>125</v>
      </c>
      <c r="I164">
        <v>41</v>
      </c>
      <c r="J164" t="s">
        <v>210</v>
      </c>
      <c r="K164" t="s">
        <v>125</v>
      </c>
      <c r="L164" t="s">
        <v>587</v>
      </c>
      <c r="U164" t="s">
        <v>309</v>
      </c>
      <c r="W164" t="s">
        <v>135</v>
      </c>
      <c r="X164">
        <v>3</v>
      </c>
      <c r="AC164" t="s">
        <v>136</v>
      </c>
      <c r="AE164" t="s">
        <v>137</v>
      </c>
    </row>
    <row r="165" spans="1:78" hidden="1" x14ac:dyDescent="0.2">
      <c r="A165" t="s">
        <v>119</v>
      </c>
      <c r="B165" t="s">
        <v>120</v>
      </c>
      <c r="C165" t="s">
        <v>574</v>
      </c>
      <c r="D165">
        <v>41</v>
      </c>
      <c r="E165" t="s">
        <v>586</v>
      </c>
      <c r="F165" t="s">
        <v>586</v>
      </c>
      <c r="G165" t="s">
        <v>124</v>
      </c>
      <c r="H165" t="s">
        <v>125</v>
      </c>
      <c r="I165">
        <v>7</v>
      </c>
      <c r="J165" t="s">
        <v>268</v>
      </c>
      <c r="K165" t="s">
        <v>125</v>
      </c>
      <c r="L165" t="s">
        <v>588</v>
      </c>
      <c r="AE165" t="s">
        <v>128</v>
      </c>
      <c r="AG165">
        <v>40</v>
      </c>
      <c r="AH165" t="s">
        <v>375</v>
      </c>
      <c r="AI165" t="s">
        <v>130</v>
      </c>
      <c r="AJ165" t="s">
        <v>131</v>
      </c>
      <c r="AK165" t="s">
        <v>125</v>
      </c>
      <c r="AL165">
        <v>41</v>
      </c>
      <c r="AM165" t="s">
        <v>132</v>
      </c>
      <c r="AN165" t="s">
        <v>125</v>
      </c>
      <c r="AO165" t="s">
        <v>589</v>
      </c>
      <c r="BP165" t="s">
        <v>149</v>
      </c>
      <c r="BR165" t="s">
        <v>135</v>
      </c>
      <c r="BS165">
        <v>2</v>
      </c>
      <c r="BX165" t="s">
        <v>136</v>
      </c>
      <c r="BZ165" t="s">
        <v>137</v>
      </c>
    </row>
    <row r="166" spans="1:78" x14ac:dyDescent="0.2">
      <c r="A166" t="s">
        <v>119</v>
      </c>
      <c r="B166" t="s">
        <v>120</v>
      </c>
      <c r="C166" t="s">
        <v>590</v>
      </c>
      <c r="D166">
        <v>3</v>
      </c>
      <c r="E166" t="s">
        <v>591</v>
      </c>
      <c r="F166" t="s">
        <v>592</v>
      </c>
      <c r="G166" t="s">
        <v>124</v>
      </c>
      <c r="H166" t="s">
        <v>125</v>
      </c>
      <c r="I166">
        <v>0</v>
      </c>
      <c r="J166" t="s">
        <v>126</v>
      </c>
      <c r="K166" t="s">
        <v>125</v>
      </c>
      <c r="L166" t="s">
        <v>593</v>
      </c>
      <c r="U166" t="s">
        <v>149</v>
      </c>
      <c r="W166" t="s">
        <v>135</v>
      </c>
      <c r="X166">
        <v>3</v>
      </c>
      <c r="AC166" t="s">
        <v>136</v>
      </c>
      <c r="AE166" t="s">
        <v>137</v>
      </c>
    </row>
    <row r="167" spans="1:78" x14ac:dyDescent="0.2">
      <c r="A167" t="s">
        <v>119</v>
      </c>
      <c r="B167" t="s">
        <v>120</v>
      </c>
      <c r="C167" t="s">
        <v>590</v>
      </c>
      <c r="D167">
        <v>12</v>
      </c>
      <c r="E167" t="s">
        <v>496</v>
      </c>
      <c r="F167" t="s">
        <v>205</v>
      </c>
      <c r="G167" t="s">
        <v>124</v>
      </c>
      <c r="H167" t="s">
        <v>125</v>
      </c>
      <c r="I167">
        <v>9</v>
      </c>
      <c r="J167" t="s">
        <v>161</v>
      </c>
      <c r="K167" t="s">
        <v>125</v>
      </c>
      <c r="L167" t="s">
        <v>594</v>
      </c>
      <c r="U167" t="s">
        <v>149</v>
      </c>
      <c r="W167" t="s">
        <v>135</v>
      </c>
      <c r="X167">
        <v>2</v>
      </c>
      <c r="AC167" t="s">
        <v>136</v>
      </c>
      <c r="AE167" t="s">
        <v>137</v>
      </c>
    </row>
    <row r="168" spans="1:78" hidden="1" x14ac:dyDescent="0.2">
      <c r="A168" t="s">
        <v>119</v>
      </c>
      <c r="B168" t="s">
        <v>120</v>
      </c>
      <c r="C168" t="s">
        <v>590</v>
      </c>
      <c r="D168">
        <v>16</v>
      </c>
      <c r="E168" t="s">
        <v>350</v>
      </c>
      <c r="F168" t="s">
        <v>350</v>
      </c>
      <c r="G168" t="s">
        <v>124</v>
      </c>
      <c r="H168" t="s">
        <v>125</v>
      </c>
      <c r="I168">
        <v>13</v>
      </c>
      <c r="J168" t="s">
        <v>386</v>
      </c>
      <c r="K168" t="s">
        <v>125</v>
      </c>
      <c r="L168" t="s">
        <v>595</v>
      </c>
      <c r="AE168" t="s">
        <v>128</v>
      </c>
    </row>
    <row r="169" spans="1:78" x14ac:dyDescent="0.2">
      <c r="A169" t="s">
        <v>119</v>
      </c>
      <c r="B169" t="s">
        <v>120</v>
      </c>
      <c r="C169" t="s">
        <v>590</v>
      </c>
      <c r="D169">
        <v>20</v>
      </c>
      <c r="E169" t="s">
        <v>496</v>
      </c>
      <c r="F169" t="s">
        <v>205</v>
      </c>
      <c r="G169" t="s">
        <v>124</v>
      </c>
      <c r="H169" t="s">
        <v>125</v>
      </c>
      <c r="I169">
        <v>13</v>
      </c>
      <c r="J169" t="s">
        <v>199</v>
      </c>
      <c r="K169" t="s">
        <v>125</v>
      </c>
      <c r="L169" t="s">
        <v>596</v>
      </c>
      <c r="U169" t="s">
        <v>149</v>
      </c>
      <c r="W169" t="s">
        <v>135</v>
      </c>
      <c r="X169">
        <v>2</v>
      </c>
      <c r="AC169" t="s">
        <v>136</v>
      </c>
      <c r="AE169" t="s">
        <v>137</v>
      </c>
    </row>
    <row r="170" spans="1:78" x14ac:dyDescent="0.2">
      <c r="A170" t="s">
        <v>119</v>
      </c>
      <c r="B170" t="s">
        <v>120</v>
      </c>
      <c r="C170" t="s">
        <v>590</v>
      </c>
      <c r="D170">
        <v>26</v>
      </c>
      <c r="E170" t="s">
        <v>597</v>
      </c>
      <c r="F170" t="s">
        <v>598</v>
      </c>
      <c r="G170" t="s">
        <v>124</v>
      </c>
      <c r="H170" t="s">
        <v>125</v>
      </c>
      <c r="I170">
        <v>3</v>
      </c>
      <c r="J170" t="s">
        <v>264</v>
      </c>
      <c r="K170" t="s">
        <v>125</v>
      </c>
      <c r="L170" t="s">
        <v>599</v>
      </c>
      <c r="U170" t="s">
        <v>149</v>
      </c>
      <c r="W170" t="s">
        <v>135</v>
      </c>
      <c r="X170">
        <v>2</v>
      </c>
      <c r="AC170" t="s">
        <v>136</v>
      </c>
      <c r="AE170" t="s">
        <v>137</v>
      </c>
    </row>
    <row r="171" spans="1:78" hidden="1" x14ac:dyDescent="0.2">
      <c r="A171" t="s">
        <v>119</v>
      </c>
      <c r="B171" t="s">
        <v>120</v>
      </c>
      <c r="C171" t="s">
        <v>600</v>
      </c>
      <c r="D171">
        <v>4</v>
      </c>
      <c r="E171" t="s">
        <v>601</v>
      </c>
      <c r="F171" t="s">
        <v>602</v>
      </c>
      <c r="G171" t="s">
        <v>124</v>
      </c>
      <c r="H171" t="s">
        <v>125</v>
      </c>
      <c r="I171">
        <v>16</v>
      </c>
      <c r="J171" t="s">
        <v>268</v>
      </c>
      <c r="K171" t="s">
        <v>125</v>
      </c>
      <c r="L171" t="s">
        <v>603</v>
      </c>
      <c r="AE171" t="s">
        <v>394</v>
      </c>
    </row>
    <row r="172" spans="1:78" hidden="1" x14ac:dyDescent="0.2">
      <c r="A172" t="s">
        <v>119</v>
      </c>
      <c r="B172" t="s">
        <v>120</v>
      </c>
      <c r="C172" t="s">
        <v>600</v>
      </c>
      <c r="D172">
        <v>10</v>
      </c>
      <c r="E172" t="s">
        <v>604</v>
      </c>
      <c r="F172" t="s">
        <v>390</v>
      </c>
      <c r="G172" t="s">
        <v>124</v>
      </c>
      <c r="H172" t="s">
        <v>125</v>
      </c>
      <c r="I172">
        <v>8</v>
      </c>
      <c r="J172" t="s">
        <v>170</v>
      </c>
      <c r="K172" t="s">
        <v>125</v>
      </c>
      <c r="L172" t="s">
        <v>605</v>
      </c>
      <c r="U172" t="s">
        <v>149</v>
      </c>
      <c r="W172" t="s">
        <v>135</v>
      </c>
      <c r="X172">
        <v>1</v>
      </c>
      <c r="AC172" t="s">
        <v>209</v>
      </c>
      <c r="AE172" t="s">
        <v>137</v>
      </c>
    </row>
    <row r="173" spans="1:78" hidden="1" x14ac:dyDescent="0.2">
      <c r="A173" t="s">
        <v>119</v>
      </c>
      <c r="B173" t="s">
        <v>120</v>
      </c>
      <c r="C173" t="s">
        <v>600</v>
      </c>
      <c r="D173">
        <v>16</v>
      </c>
      <c r="E173" t="s">
        <v>606</v>
      </c>
      <c r="F173" t="s">
        <v>598</v>
      </c>
      <c r="G173" t="s">
        <v>124</v>
      </c>
      <c r="H173" t="s">
        <v>125</v>
      </c>
      <c r="I173">
        <v>0</v>
      </c>
      <c r="J173" t="s">
        <v>126</v>
      </c>
      <c r="K173" t="s">
        <v>125</v>
      </c>
      <c r="L173" t="s">
        <v>607</v>
      </c>
      <c r="U173" t="s">
        <v>149</v>
      </c>
      <c r="W173" t="s">
        <v>135</v>
      </c>
      <c r="X173">
        <v>1</v>
      </c>
      <c r="AC173" t="s">
        <v>209</v>
      </c>
      <c r="AE173" t="s">
        <v>137</v>
      </c>
    </row>
    <row r="174" spans="1:78" hidden="1" x14ac:dyDescent="0.2">
      <c r="A174" t="s">
        <v>119</v>
      </c>
      <c r="B174" t="s">
        <v>120</v>
      </c>
      <c r="C174" t="s">
        <v>608</v>
      </c>
      <c r="D174">
        <v>7</v>
      </c>
      <c r="E174" t="s">
        <v>202</v>
      </c>
      <c r="F174" t="s">
        <v>202</v>
      </c>
      <c r="G174" t="s">
        <v>124</v>
      </c>
      <c r="H174" t="s">
        <v>125</v>
      </c>
      <c r="I174">
        <v>5</v>
      </c>
      <c r="J174" t="s">
        <v>386</v>
      </c>
      <c r="K174" t="s">
        <v>125</v>
      </c>
      <c r="L174" t="s">
        <v>609</v>
      </c>
      <c r="AE174" t="s">
        <v>128</v>
      </c>
    </row>
    <row r="175" spans="1:78" hidden="1" x14ac:dyDescent="0.2">
      <c r="A175" t="s">
        <v>119</v>
      </c>
      <c r="B175" t="s">
        <v>120</v>
      </c>
      <c r="C175" t="s">
        <v>608</v>
      </c>
      <c r="D175">
        <v>18</v>
      </c>
      <c r="E175" t="s">
        <v>610</v>
      </c>
      <c r="F175" t="s">
        <v>194</v>
      </c>
      <c r="G175" t="s">
        <v>124</v>
      </c>
      <c r="H175" t="s">
        <v>125</v>
      </c>
      <c r="I175">
        <v>0</v>
      </c>
      <c r="J175" t="s">
        <v>126</v>
      </c>
      <c r="K175" t="s">
        <v>125</v>
      </c>
      <c r="L175" t="s">
        <v>611</v>
      </c>
      <c r="U175" t="s">
        <v>149</v>
      </c>
      <c r="W175" t="s">
        <v>135</v>
      </c>
      <c r="X175">
        <v>3</v>
      </c>
      <c r="AC175" t="s">
        <v>209</v>
      </c>
      <c r="AE175" t="s">
        <v>137</v>
      </c>
    </row>
    <row r="176" spans="1:78" x14ac:dyDescent="0.2">
      <c r="A176" t="s">
        <v>119</v>
      </c>
      <c r="B176" t="s">
        <v>120</v>
      </c>
      <c r="C176" t="s">
        <v>612</v>
      </c>
      <c r="D176">
        <v>18</v>
      </c>
      <c r="E176" t="s">
        <v>235</v>
      </c>
      <c r="F176" t="s">
        <v>146</v>
      </c>
      <c r="G176" t="s">
        <v>124</v>
      </c>
      <c r="H176" t="s">
        <v>125</v>
      </c>
      <c r="I176">
        <v>15</v>
      </c>
      <c r="J176" t="s">
        <v>161</v>
      </c>
      <c r="K176" t="s">
        <v>125</v>
      </c>
      <c r="L176" t="s">
        <v>613</v>
      </c>
      <c r="U176" t="s">
        <v>149</v>
      </c>
      <c r="W176" t="s">
        <v>155</v>
      </c>
      <c r="X176">
        <v>3</v>
      </c>
      <c r="AC176" t="s">
        <v>136</v>
      </c>
      <c r="AE176" t="s">
        <v>137</v>
      </c>
    </row>
    <row r="177" spans="1:78" x14ac:dyDescent="0.2">
      <c r="A177" t="s">
        <v>119</v>
      </c>
      <c r="B177" t="s">
        <v>120</v>
      </c>
      <c r="C177" t="s">
        <v>612</v>
      </c>
      <c r="D177">
        <v>26</v>
      </c>
      <c r="E177" t="s">
        <v>614</v>
      </c>
      <c r="F177" t="s">
        <v>205</v>
      </c>
      <c r="G177" t="s">
        <v>124</v>
      </c>
      <c r="H177" t="s">
        <v>125</v>
      </c>
      <c r="I177">
        <v>9</v>
      </c>
      <c r="J177" t="s">
        <v>268</v>
      </c>
      <c r="K177" t="s">
        <v>125</v>
      </c>
      <c r="L177" t="s">
        <v>615</v>
      </c>
      <c r="U177" t="s">
        <v>149</v>
      </c>
      <c r="W177" t="s">
        <v>135</v>
      </c>
      <c r="X177">
        <v>3</v>
      </c>
      <c r="AC177" t="s">
        <v>136</v>
      </c>
      <c r="AE177" t="s">
        <v>137</v>
      </c>
    </row>
    <row r="178" spans="1:78" x14ac:dyDescent="0.2">
      <c r="A178" t="s">
        <v>119</v>
      </c>
      <c r="B178" t="s">
        <v>120</v>
      </c>
      <c r="C178" t="s">
        <v>612</v>
      </c>
      <c r="D178">
        <v>37</v>
      </c>
      <c r="E178" t="s">
        <v>616</v>
      </c>
      <c r="F178" t="s">
        <v>617</v>
      </c>
      <c r="G178" t="s">
        <v>124</v>
      </c>
      <c r="H178" t="s">
        <v>125</v>
      </c>
      <c r="I178">
        <v>26</v>
      </c>
      <c r="J178" t="s">
        <v>268</v>
      </c>
      <c r="K178" t="s">
        <v>125</v>
      </c>
      <c r="L178" t="s">
        <v>618</v>
      </c>
      <c r="U178" t="s">
        <v>149</v>
      </c>
      <c r="W178" t="s">
        <v>135</v>
      </c>
      <c r="X178">
        <v>1</v>
      </c>
      <c r="AC178" t="s">
        <v>136</v>
      </c>
      <c r="AE178" t="s">
        <v>137</v>
      </c>
    </row>
    <row r="179" spans="1:78" x14ac:dyDescent="0.2">
      <c r="A179" t="s">
        <v>119</v>
      </c>
      <c r="B179" t="s">
        <v>120</v>
      </c>
      <c r="C179" t="s">
        <v>619</v>
      </c>
      <c r="D179">
        <v>2</v>
      </c>
      <c r="E179" t="s">
        <v>260</v>
      </c>
      <c r="F179" t="s">
        <v>261</v>
      </c>
      <c r="G179" t="s">
        <v>124</v>
      </c>
      <c r="H179" t="s">
        <v>125</v>
      </c>
      <c r="I179">
        <v>0</v>
      </c>
      <c r="J179" t="s">
        <v>126</v>
      </c>
      <c r="K179" t="s">
        <v>125</v>
      </c>
      <c r="L179" t="s">
        <v>620</v>
      </c>
      <c r="U179" t="s">
        <v>149</v>
      </c>
      <c r="W179" t="s">
        <v>155</v>
      </c>
      <c r="X179">
        <v>1</v>
      </c>
      <c r="AC179" t="s">
        <v>136</v>
      </c>
      <c r="AE179" t="s">
        <v>137</v>
      </c>
    </row>
    <row r="180" spans="1:78" hidden="1" x14ac:dyDescent="0.2">
      <c r="A180" t="s">
        <v>119</v>
      </c>
      <c r="B180" t="s">
        <v>120</v>
      </c>
      <c r="C180" t="s">
        <v>619</v>
      </c>
      <c r="D180">
        <v>7</v>
      </c>
      <c r="E180" t="s">
        <v>621</v>
      </c>
      <c r="F180" t="s">
        <v>411</v>
      </c>
      <c r="G180" t="s">
        <v>124</v>
      </c>
      <c r="H180" t="s">
        <v>125</v>
      </c>
      <c r="I180">
        <v>2</v>
      </c>
      <c r="J180" t="s">
        <v>268</v>
      </c>
      <c r="K180" t="s">
        <v>125</v>
      </c>
      <c r="L180" t="s">
        <v>622</v>
      </c>
      <c r="T180" t="s">
        <v>154</v>
      </c>
      <c r="W180" t="s">
        <v>135</v>
      </c>
    </row>
    <row r="181" spans="1:78" hidden="1" x14ac:dyDescent="0.2">
      <c r="A181" t="s">
        <v>119</v>
      </c>
      <c r="B181" t="s">
        <v>120</v>
      </c>
      <c r="C181" t="s">
        <v>623</v>
      </c>
      <c r="D181">
        <v>11</v>
      </c>
      <c r="E181" t="s">
        <v>524</v>
      </c>
      <c r="F181" t="s">
        <v>525</v>
      </c>
      <c r="G181" t="s">
        <v>124</v>
      </c>
      <c r="H181" t="s">
        <v>125</v>
      </c>
      <c r="I181">
        <v>5</v>
      </c>
      <c r="J181" t="s">
        <v>161</v>
      </c>
      <c r="K181" t="s">
        <v>125</v>
      </c>
      <c r="L181" t="s">
        <v>624</v>
      </c>
      <c r="T181" t="s">
        <v>142</v>
      </c>
      <c r="W181" t="s">
        <v>135</v>
      </c>
      <c r="AC181" t="s">
        <v>143</v>
      </c>
      <c r="AE181" t="s">
        <v>144</v>
      </c>
      <c r="AG181">
        <v>9</v>
      </c>
      <c r="AH181" t="s">
        <v>145</v>
      </c>
      <c r="AI181" t="s">
        <v>146</v>
      </c>
      <c r="AJ181" t="s">
        <v>131</v>
      </c>
      <c r="AK181" t="s">
        <v>125</v>
      </c>
      <c r="AL181">
        <v>11</v>
      </c>
      <c r="AM181" t="s">
        <v>132</v>
      </c>
      <c r="AN181" t="s">
        <v>125</v>
      </c>
      <c r="AO181" t="s">
        <v>625</v>
      </c>
      <c r="BP181" t="s">
        <v>149</v>
      </c>
      <c r="BR181" t="s">
        <v>135</v>
      </c>
      <c r="BS181">
        <v>3</v>
      </c>
      <c r="BX181" t="s">
        <v>136</v>
      </c>
      <c r="BZ181" t="s">
        <v>137</v>
      </c>
    </row>
    <row r="182" spans="1:78" x14ac:dyDescent="0.2">
      <c r="A182" t="s">
        <v>119</v>
      </c>
      <c r="B182" t="s">
        <v>120</v>
      </c>
      <c r="C182" t="s">
        <v>623</v>
      </c>
      <c r="D182">
        <v>29</v>
      </c>
      <c r="E182" t="s">
        <v>323</v>
      </c>
      <c r="F182" t="s">
        <v>283</v>
      </c>
      <c r="G182" t="s">
        <v>124</v>
      </c>
      <c r="H182" t="s">
        <v>125</v>
      </c>
      <c r="I182">
        <v>22</v>
      </c>
      <c r="J182" t="s">
        <v>161</v>
      </c>
      <c r="K182" t="s">
        <v>125</v>
      </c>
      <c r="L182" t="s">
        <v>626</v>
      </c>
      <c r="U182" t="s">
        <v>149</v>
      </c>
      <c r="W182" t="s">
        <v>135</v>
      </c>
      <c r="X182">
        <v>1</v>
      </c>
      <c r="AC182" t="s">
        <v>136</v>
      </c>
      <c r="AE182" t="s">
        <v>137</v>
      </c>
    </row>
    <row r="183" spans="1:78" hidden="1" x14ac:dyDescent="0.2">
      <c r="A183" t="s">
        <v>119</v>
      </c>
      <c r="B183" t="s">
        <v>120</v>
      </c>
      <c r="C183" t="s">
        <v>627</v>
      </c>
      <c r="D183">
        <v>9</v>
      </c>
      <c r="E183" t="s">
        <v>323</v>
      </c>
      <c r="F183" t="s">
        <v>283</v>
      </c>
      <c r="G183" t="s">
        <v>124</v>
      </c>
      <c r="H183" t="s">
        <v>125</v>
      </c>
      <c r="I183">
        <v>7</v>
      </c>
      <c r="J183" t="s">
        <v>170</v>
      </c>
      <c r="K183" t="s">
        <v>125</v>
      </c>
      <c r="L183" t="s">
        <v>628</v>
      </c>
      <c r="T183" t="s">
        <v>154</v>
      </c>
      <c r="W183" t="s">
        <v>135</v>
      </c>
      <c r="AC183" t="s">
        <v>143</v>
      </c>
      <c r="AE183" t="s">
        <v>144</v>
      </c>
    </row>
    <row r="184" spans="1:78" hidden="1" x14ac:dyDescent="0.2">
      <c r="A184" t="s">
        <v>119</v>
      </c>
      <c r="B184" t="s">
        <v>120</v>
      </c>
      <c r="C184" t="s">
        <v>627</v>
      </c>
      <c r="D184">
        <v>18</v>
      </c>
      <c r="E184" t="s">
        <v>407</v>
      </c>
      <c r="F184" t="s">
        <v>140</v>
      </c>
      <c r="G184" t="s">
        <v>124</v>
      </c>
      <c r="H184" t="s">
        <v>125</v>
      </c>
      <c r="I184">
        <v>7</v>
      </c>
      <c r="J184" t="s">
        <v>161</v>
      </c>
      <c r="K184" t="s">
        <v>125</v>
      </c>
      <c r="L184" t="s">
        <v>629</v>
      </c>
      <c r="T184" t="s">
        <v>154</v>
      </c>
      <c r="W184" t="s">
        <v>135</v>
      </c>
      <c r="AC184" t="s">
        <v>143</v>
      </c>
      <c r="AE184" t="s">
        <v>144</v>
      </c>
      <c r="AG184">
        <v>17</v>
      </c>
      <c r="AH184" t="s">
        <v>614</v>
      </c>
      <c r="AI184" t="s">
        <v>205</v>
      </c>
      <c r="AJ184" t="s">
        <v>131</v>
      </c>
      <c r="AK184" t="s">
        <v>125</v>
      </c>
      <c r="AL184">
        <v>18</v>
      </c>
      <c r="AM184" t="s">
        <v>132</v>
      </c>
      <c r="AN184" t="s">
        <v>125</v>
      </c>
      <c r="AO184" t="s">
        <v>630</v>
      </c>
      <c r="BP184" t="s">
        <v>149</v>
      </c>
      <c r="BR184" t="s">
        <v>135</v>
      </c>
      <c r="BS184">
        <v>3</v>
      </c>
      <c r="BX184" t="s">
        <v>136</v>
      </c>
      <c r="BZ184" t="s">
        <v>137</v>
      </c>
    </row>
    <row r="185" spans="1:78" hidden="1" x14ac:dyDescent="0.2">
      <c r="A185" t="s">
        <v>119</v>
      </c>
      <c r="B185" t="s">
        <v>120</v>
      </c>
      <c r="C185" t="s">
        <v>627</v>
      </c>
      <c r="D185">
        <v>25</v>
      </c>
      <c r="E185" t="s">
        <v>631</v>
      </c>
      <c r="F185" t="s">
        <v>632</v>
      </c>
      <c r="G185" t="s">
        <v>124</v>
      </c>
      <c r="H185" t="s">
        <v>125</v>
      </c>
      <c r="I185">
        <v>18</v>
      </c>
      <c r="J185" t="s">
        <v>199</v>
      </c>
      <c r="K185" t="s">
        <v>125</v>
      </c>
      <c r="L185" t="s">
        <v>633</v>
      </c>
      <c r="T185" t="s">
        <v>154</v>
      </c>
      <c r="W185" t="s">
        <v>135</v>
      </c>
      <c r="AC185" t="s">
        <v>143</v>
      </c>
      <c r="AE185" t="s">
        <v>144</v>
      </c>
      <c r="AG185">
        <v>24</v>
      </c>
      <c r="AH185" t="s">
        <v>204</v>
      </c>
      <c r="AI185" t="s">
        <v>205</v>
      </c>
      <c r="AJ185" t="s">
        <v>131</v>
      </c>
      <c r="AK185" t="s">
        <v>125</v>
      </c>
      <c r="AL185">
        <v>25</v>
      </c>
      <c r="AM185" t="s">
        <v>132</v>
      </c>
      <c r="AN185" t="s">
        <v>125</v>
      </c>
      <c r="AO185" t="s">
        <v>634</v>
      </c>
      <c r="BP185" t="s">
        <v>149</v>
      </c>
      <c r="BR185" t="s">
        <v>135</v>
      </c>
      <c r="BS185">
        <v>1</v>
      </c>
      <c r="BX185" t="s">
        <v>136</v>
      </c>
      <c r="BZ185" t="s">
        <v>137</v>
      </c>
    </row>
    <row r="186" spans="1:78" hidden="1" x14ac:dyDescent="0.2">
      <c r="A186" t="s">
        <v>119</v>
      </c>
      <c r="B186" t="s">
        <v>120</v>
      </c>
      <c r="C186" t="s">
        <v>635</v>
      </c>
      <c r="D186">
        <v>9</v>
      </c>
      <c r="E186" t="s">
        <v>636</v>
      </c>
      <c r="F186" t="s">
        <v>205</v>
      </c>
      <c r="G186" t="s">
        <v>124</v>
      </c>
      <c r="H186" t="s">
        <v>125</v>
      </c>
      <c r="I186">
        <v>6</v>
      </c>
      <c r="J186" t="s">
        <v>264</v>
      </c>
      <c r="K186" t="s">
        <v>125</v>
      </c>
      <c r="L186" t="s">
        <v>637</v>
      </c>
      <c r="T186" t="s">
        <v>154</v>
      </c>
      <c r="W186" t="s">
        <v>155</v>
      </c>
      <c r="AC186" t="s">
        <v>143</v>
      </c>
      <c r="AE186" t="s">
        <v>144</v>
      </c>
    </row>
    <row r="187" spans="1:78" x14ac:dyDescent="0.2">
      <c r="A187" t="s">
        <v>119</v>
      </c>
      <c r="B187" t="s">
        <v>120</v>
      </c>
      <c r="C187" t="s">
        <v>635</v>
      </c>
      <c r="D187">
        <v>13</v>
      </c>
      <c r="E187" t="s">
        <v>638</v>
      </c>
      <c r="F187" t="s">
        <v>123</v>
      </c>
      <c r="G187" t="s">
        <v>124</v>
      </c>
      <c r="H187" t="s">
        <v>125</v>
      </c>
      <c r="I187">
        <v>10</v>
      </c>
      <c r="J187" t="s">
        <v>170</v>
      </c>
      <c r="K187" t="s">
        <v>125</v>
      </c>
      <c r="L187" t="s">
        <v>639</v>
      </c>
      <c r="U187" t="s">
        <v>149</v>
      </c>
      <c r="W187" t="s">
        <v>135</v>
      </c>
      <c r="X187">
        <v>3</v>
      </c>
      <c r="AC187" t="s">
        <v>136</v>
      </c>
      <c r="AE187" t="s">
        <v>137</v>
      </c>
    </row>
    <row r="188" spans="1:78" hidden="1" x14ac:dyDescent="0.2">
      <c r="A188" t="s">
        <v>119</v>
      </c>
      <c r="B188" t="s">
        <v>120</v>
      </c>
      <c r="C188" t="s">
        <v>635</v>
      </c>
      <c r="D188">
        <v>16</v>
      </c>
      <c r="E188" t="s">
        <v>640</v>
      </c>
      <c r="F188" t="s">
        <v>641</v>
      </c>
      <c r="G188" t="s">
        <v>124</v>
      </c>
      <c r="H188" t="s">
        <v>125</v>
      </c>
      <c r="I188">
        <v>6</v>
      </c>
      <c r="J188" t="s">
        <v>642</v>
      </c>
      <c r="K188" t="s">
        <v>125</v>
      </c>
      <c r="L188" t="s">
        <v>643</v>
      </c>
    </row>
    <row r="189" spans="1:78" hidden="1" x14ac:dyDescent="0.2">
      <c r="A189" t="s">
        <v>119</v>
      </c>
      <c r="B189" t="s">
        <v>120</v>
      </c>
      <c r="C189" t="s">
        <v>635</v>
      </c>
      <c r="D189">
        <v>21</v>
      </c>
      <c r="E189" t="s">
        <v>644</v>
      </c>
      <c r="F189" t="s">
        <v>140</v>
      </c>
      <c r="G189" t="s">
        <v>124</v>
      </c>
      <c r="H189" t="s">
        <v>125</v>
      </c>
      <c r="I189">
        <v>6</v>
      </c>
      <c r="J189" t="s">
        <v>161</v>
      </c>
      <c r="K189" t="s">
        <v>125</v>
      </c>
      <c r="L189" t="s">
        <v>645</v>
      </c>
      <c r="U189" t="s">
        <v>149</v>
      </c>
      <c r="W189" t="s">
        <v>135</v>
      </c>
      <c r="X189">
        <v>3</v>
      </c>
      <c r="AC189" t="s">
        <v>209</v>
      </c>
      <c r="AE189" t="s">
        <v>137</v>
      </c>
    </row>
    <row r="190" spans="1:78" hidden="1" x14ac:dyDescent="0.2">
      <c r="A190" t="s">
        <v>119</v>
      </c>
      <c r="B190" t="s">
        <v>120</v>
      </c>
      <c r="C190" t="s">
        <v>646</v>
      </c>
      <c r="D190">
        <v>3</v>
      </c>
      <c r="E190" t="s">
        <v>616</v>
      </c>
      <c r="F190" t="s">
        <v>617</v>
      </c>
      <c r="G190" t="s">
        <v>124</v>
      </c>
      <c r="H190" t="s">
        <v>125</v>
      </c>
      <c r="I190">
        <v>6</v>
      </c>
      <c r="J190" t="s">
        <v>647</v>
      </c>
      <c r="K190" t="s">
        <v>125</v>
      </c>
      <c r="L190" t="s">
        <v>648</v>
      </c>
      <c r="T190" t="s">
        <v>154</v>
      </c>
      <c r="W190" t="s">
        <v>135</v>
      </c>
    </row>
    <row r="191" spans="1:78" x14ac:dyDescent="0.2">
      <c r="A191" t="s">
        <v>119</v>
      </c>
      <c r="B191" t="s">
        <v>120</v>
      </c>
      <c r="C191" t="s">
        <v>649</v>
      </c>
      <c r="D191">
        <v>2</v>
      </c>
      <c r="E191" t="s">
        <v>145</v>
      </c>
      <c r="F191" t="s">
        <v>146</v>
      </c>
      <c r="G191" t="s">
        <v>124</v>
      </c>
      <c r="H191" t="s">
        <v>125</v>
      </c>
      <c r="I191">
        <v>0</v>
      </c>
      <c r="J191" t="s">
        <v>126</v>
      </c>
      <c r="K191" t="s">
        <v>125</v>
      </c>
      <c r="L191" t="s">
        <v>650</v>
      </c>
      <c r="U191" t="s">
        <v>149</v>
      </c>
      <c r="W191" t="s">
        <v>135</v>
      </c>
      <c r="X191">
        <v>3</v>
      </c>
      <c r="AC191" t="s">
        <v>136</v>
      </c>
      <c r="AE191" t="s">
        <v>137</v>
      </c>
    </row>
    <row r="192" spans="1:78" x14ac:dyDescent="0.2">
      <c r="A192" t="s">
        <v>119</v>
      </c>
      <c r="B192" t="s">
        <v>120</v>
      </c>
      <c r="C192" t="s">
        <v>649</v>
      </c>
      <c r="D192">
        <v>13</v>
      </c>
      <c r="E192" t="s">
        <v>614</v>
      </c>
      <c r="F192" t="s">
        <v>205</v>
      </c>
      <c r="G192" t="s">
        <v>124</v>
      </c>
      <c r="H192" t="s">
        <v>125</v>
      </c>
      <c r="I192">
        <v>10</v>
      </c>
      <c r="J192" t="s">
        <v>170</v>
      </c>
      <c r="K192" t="s">
        <v>125</v>
      </c>
      <c r="L192" t="s">
        <v>651</v>
      </c>
      <c r="U192" t="s">
        <v>149</v>
      </c>
      <c r="W192" t="s">
        <v>135</v>
      </c>
      <c r="X192">
        <v>3</v>
      </c>
      <c r="AC192" t="s">
        <v>136</v>
      </c>
      <c r="AE192" t="s">
        <v>137</v>
      </c>
    </row>
    <row r="193" spans="1:78" x14ac:dyDescent="0.2">
      <c r="A193" t="s">
        <v>119</v>
      </c>
      <c r="B193" t="s">
        <v>120</v>
      </c>
      <c r="C193" t="s">
        <v>649</v>
      </c>
      <c r="D193">
        <v>30</v>
      </c>
      <c r="E193" t="s">
        <v>260</v>
      </c>
      <c r="F193" t="s">
        <v>261</v>
      </c>
      <c r="G193" t="s">
        <v>124</v>
      </c>
      <c r="H193" t="s">
        <v>125</v>
      </c>
      <c r="I193">
        <v>29</v>
      </c>
      <c r="J193" t="s">
        <v>182</v>
      </c>
      <c r="K193" t="s">
        <v>125</v>
      </c>
      <c r="L193" t="s">
        <v>652</v>
      </c>
      <c r="U193" t="s">
        <v>149</v>
      </c>
      <c r="W193" t="s">
        <v>155</v>
      </c>
      <c r="X193">
        <v>1</v>
      </c>
      <c r="AC193" t="s">
        <v>136</v>
      </c>
      <c r="AE193" t="s">
        <v>137</v>
      </c>
    </row>
    <row r="194" spans="1:78" hidden="1" x14ac:dyDescent="0.2">
      <c r="A194" t="s">
        <v>119</v>
      </c>
      <c r="B194" t="s">
        <v>120</v>
      </c>
      <c r="C194" t="s">
        <v>649</v>
      </c>
      <c r="D194">
        <v>35</v>
      </c>
      <c r="E194" t="s">
        <v>653</v>
      </c>
      <c r="F194" t="s">
        <v>632</v>
      </c>
      <c r="G194" t="s">
        <v>124</v>
      </c>
      <c r="H194" t="s">
        <v>125</v>
      </c>
      <c r="I194">
        <v>39</v>
      </c>
      <c r="J194" t="s">
        <v>210</v>
      </c>
      <c r="K194" t="s">
        <v>125</v>
      </c>
      <c r="L194" t="s">
        <v>654</v>
      </c>
      <c r="T194" t="s">
        <v>142</v>
      </c>
      <c r="W194" t="s">
        <v>135</v>
      </c>
      <c r="AC194" t="s">
        <v>143</v>
      </c>
      <c r="AE194" t="s">
        <v>144</v>
      </c>
      <c r="AG194">
        <v>33</v>
      </c>
      <c r="AH194" t="s">
        <v>204</v>
      </c>
      <c r="AI194" t="s">
        <v>205</v>
      </c>
      <c r="AJ194" t="s">
        <v>131</v>
      </c>
      <c r="AK194" t="s">
        <v>125</v>
      </c>
      <c r="AL194">
        <v>35</v>
      </c>
      <c r="AM194" t="s">
        <v>132</v>
      </c>
      <c r="AN194" t="s">
        <v>125</v>
      </c>
      <c r="AO194" t="s">
        <v>655</v>
      </c>
      <c r="BP194" t="s">
        <v>149</v>
      </c>
      <c r="BR194" t="s">
        <v>135</v>
      </c>
      <c r="BS194">
        <v>1</v>
      </c>
      <c r="BX194" t="s">
        <v>136</v>
      </c>
      <c r="BZ194" t="s">
        <v>137</v>
      </c>
    </row>
    <row r="195" spans="1:78" hidden="1" x14ac:dyDescent="0.2">
      <c r="A195" t="s">
        <v>119</v>
      </c>
      <c r="B195" t="s">
        <v>120</v>
      </c>
      <c r="C195" t="s">
        <v>649</v>
      </c>
      <c r="D195">
        <v>39</v>
      </c>
      <c r="E195" t="s">
        <v>631</v>
      </c>
      <c r="F195" t="s">
        <v>632</v>
      </c>
      <c r="G195" t="s">
        <v>124</v>
      </c>
      <c r="H195" t="s">
        <v>125</v>
      </c>
      <c r="I195">
        <v>10</v>
      </c>
      <c r="J195" t="s">
        <v>268</v>
      </c>
      <c r="K195" t="s">
        <v>125</v>
      </c>
      <c r="L195" t="s">
        <v>656</v>
      </c>
      <c r="T195" t="s">
        <v>154</v>
      </c>
      <c r="W195" t="s">
        <v>135</v>
      </c>
      <c r="AC195" t="s">
        <v>143</v>
      </c>
      <c r="AE195" t="s">
        <v>144</v>
      </c>
      <c r="AG195">
        <v>37</v>
      </c>
      <c r="AH195" t="s">
        <v>204</v>
      </c>
      <c r="AI195" t="s">
        <v>205</v>
      </c>
      <c r="AJ195" t="s">
        <v>131</v>
      </c>
      <c r="AK195" t="s">
        <v>125</v>
      </c>
      <c r="AL195">
        <v>39</v>
      </c>
      <c r="AM195" t="s">
        <v>132</v>
      </c>
      <c r="AN195" t="s">
        <v>125</v>
      </c>
      <c r="AO195" t="s">
        <v>657</v>
      </c>
      <c r="BP195" t="s">
        <v>149</v>
      </c>
      <c r="BR195" t="s">
        <v>135</v>
      </c>
      <c r="BS195">
        <v>1</v>
      </c>
      <c r="BX195" t="s">
        <v>136</v>
      </c>
      <c r="BZ195" t="s">
        <v>137</v>
      </c>
    </row>
    <row r="196" spans="1:78" hidden="1" x14ac:dyDescent="0.2">
      <c r="A196" t="s">
        <v>119</v>
      </c>
      <c r="B196" t="s">
        <v>120</v>
      </c>
      <c r="C196" t="s">
        <v>649</v>
      </c>
      <c r="D196">
        <v>43</v>
      </c>
      <c r="E196" t="s">
        <v>350</v>
      </c>
      <c r="F196" t="s">
        <v>350</v>
      </c>
      <c r="G196" t="s">
        <v>124</v>
      </c>
      <c r="H196" t="s">
        <v>125</v>
      </c>
      <c r="I196">
        <v>41</v>
      </c>
      <c r="J196" t="s">
        <v>386</v>
      </c>
      <c r="K196" t="s">
        <v>125</v>
      </c>
      <c r="L196" t="s">
        <v>658</v>
      </c>
      <c r="AE196" t="s">
        <v>128</v>
      </c>
    </row>
    <row r="197" spans="1:78" hidden="1" x14ac:dyDescent="0.2">
      <c r="A197" t="s">
        <v>119</v>
      </c>
      <c r="B197" t="s">
        <v>120</v>
      </c>
      <c r="C197" t="s">
        <v>659</v>
      </c>
      <c r="D197">
        <v>25</v>
      </c>
      <c r="E197" t="s">
        <v>660</v>
      </c>
      <c r="F197" t="s">
        <v>390</v>
      </c>
      <c r="G197" t="s">
        <v>124</v>
      </c>
      <c r="H197" t="s">
        <v>125</v>
      </c>
      <c r="I197">
        <v>11</v>
      </c>
      <c r="J197" t="s">
        <v>264</v>
      </c>
      <c r="K197" t="s">
        <v>125</v>
      </c>
      <c r="L197" t="s">
        <v>661</v>
      </c>
      <c r="U197" t="s">
        <v>149</v>
      </c>
      <c r="W197" t="s">
        <v>135</v>
      </c>
      <c r="X197">
        <v>3</v>
      </c>
      <c r="AC197" t="s">
        <v>209</v>
      </c>
      <c r="AE197" t="s">
        <v>137</v>
      </c>
    </row>
    <row r="198" spans="1:78" hidden="1" x14ac:dyDescent="0.2">
      <c r="A198" t="s">
        <v>119</v>
      </c>
      <c r="B198" t="s">
        <v>120</v>
      </c>
      <c r="C198" t="s">
        <v>659</v>
      </c>
      <c r="D198">
        <v>37</v>
      </c>
      <c r="E198" t="s">
        <v>421</v>
      </c>
      <c r="F198" t="s">
        <v>205</v>
      </c>
      <c r="G198" t="s">
        <v>124</v>
      </c>
      <c r="H198" t="s">
        <v>125</v>
      </c>
      <c r="I198">
        <v>25</v>
      </c>
      <c r="J198" t="s">
        <v>268</v>
      </c>
      <c r="K198" t="s">
        <v>125</v>
      </c>
      <c r="L198" t="s">
        <v>662</v>
      </c>
      <c r="U198" t="s">
        <v>149</v>
      </c>
      <c r="W198" t="s">
        <v>135</v>
      </c>
      <c r="X198">
        <v>1</v>
      </c>
      <c r="AC198" t="s">
        <v>209</v>
      </c>
      <c r="AE198" t="s">
        <v>137</v>
      </c>
    </row>
    <row r="199" spans="1:78" hidden="1" x14ac:dyDescent="0.2">
      <c r="A199" t="s">
        <v>119</v>
      </c>
      <c r="B199" t="s">
        <v>120</v>
      </c>
      <c r="C199" t="s">
        <v>663</v>
      </c>
      <c r="D199">
        <v>4</v>
      </c>
      <c r="E199" t="s">
        <v>664</v>
      </c>
      <c r="F199" t="s">
        <v>664</v>
      </c>
      <c r="G199" t="s">
        <v>124</v>
      </c>
      <c r="H199" t="s">
        <v>125</v>
      </c>
      <c r="I199">
        <v>11</v>
      </c>
      <c r="J199" t="s">
        <v>268</v>
      </c>
      <c r="K199" t="s">
        <v>125</v>
      </c>
      <c r="L199" t="s">
        <v>665</v>
      </c>
      <c r="T199" t="s">
        <v>154</v>
      </c>
      <c r="W199" t="s">
        <v>155</v>
      </c>
      <c r="AG199">
        <v>3</v>
      </c>
      <c r="AH199" t="s">
        <v>666</v>
      </c>
      <c r="AI199" t="s">
        <v>667</v>
      </c>
      <c r="AJ199" t="s">
        <v>131</v>
      </c>
      <c r="AK199" t="s">
        <v>125</v>
      </c>
      <c r="AL199">
        <v>4</v>
      </c>
      <c r="AM199" t="s">
        <v>132</v>
      </c>
      <c r="AN199" t="s">
        <v>125</v>
      </c>
      <c r="AO199" t="s">
        <v>668</v>
      </c>
      <c r="BP199" t="s">
        <v>149</v>
      </c>
      <c r="BR199" t="s">
        <v>135</v>
      </c>
      <c r="BS199">
        <v>1</v>
      </c>
      <c r="BX199" t="s">
        <v>209</v>
      </c>
      <c r="BZ199" t="s">
        <v>137</v>
      </c>
    </row>
    <row r="200" spans="1:78" hidden="1" x14ac:dyDescent="0.2">
      <c r="A200" t="s">
        <v>119</v>
      </c>
      <c r="B200" t="s">
        <v>120</v>
      </c>
      <c r="C200" t="s">
        <v>663</v>
      </c>
      <c r="D200">
        <v>11</v>
      </c>
      <c r="E200" t="s">
        <v>669</v>
      </c>
      <c r="F200" t="s">
        <v>140</v>
      </c>
      <c r="G200" t="s">
        <v>124</v>
      </c>
      <c r="H200" t="s">
        <v>125</v>
      </c>
      <c r="I200">
        <v>0</v>
      </c>
      <c r="J200" t="s">
        <v>126</v>
      </c>
      <c r="K200" t="s">
        <v>125</v>
      </c>
      <c r="L200" t="s">
        <v>670</v>
      </c>
      <c r="U200" t="s">
        <v>149</v>
      </c>
      <c r="W200" t="s">
        <v>135</v>
      </c>
      <c r="X200">
        <v>1</v>
      </c>
      <c r="AC200" t="s">
        <v>209</v>
      </c>
      <c r="AE200" t="s">
        <v>137</v>
      </c>
    </row>
    <row r="201" spans="1:78" x14ac:dyDescent="0.2">
      <c r="A201" t="s">
        <v>119</v>
      </c>
      <c r="B201" t="s">
        <v>120</v>
      </c>
      <c r="C201" t="s">
        <v>671</v>
      </c>
      <c r="D201">
        <v>3</v>
      </c>
      <c r="E201" t="s">
        <v>260</v>
      </c>
      <c r="F201" t="s">
        <v>261</v>
      </c>
      <c r="G201" t="s">
        <v>124</v>
      </c>
      <c r="H201" t="s">
        <v>125</v>
      </c>
      <c r="I201">
        <v>0</v>
      </c>
      <c r="J201" t="s">
        <v>126</v>
      </c>
      <c r="K201" t="s">
        <v>125</v>
      </c>
      <c r="L201" t="s">
        <v>672</v>
      </c>
      <c r="U201" t="s">
        <v>149</v>
      </c>
      <c r="W201" t="s">
        <v>155</v>
      </c>
      <c r="X201">
        <v>1</v>
      </c>
      <c r="AC201" t="s">
        <v>136</v>
      </c>
      <c r="AE201" t="s">
        <v>137</v>
      </c>
    </row>
    <row r="202" spans="1:78" hidden="1" x14ac:dyDescent="0.2">
      <c r="A202" t="s">
        <v>119</v>
      </c>
      <c r="B202" t="s">
        <v>120</v>
      </c>
      <c r="C202" t="s">
        <v>671</v>
      </c>
      <c r="D202">
        <v>5</v>
      </c>
      <c r="E202" t="s">
        <v>673</v>
      </c>
      <c r="F202" t="s">
        <v>674</v>
      </c>
      <c r="G202" t="s">
        <v>124</v>
      </c>
      <c r="H202" t="s">
        <v>125</v>
      </c>
      <c r="I202">
        <v>6</v>
      </c>
      <c r="J202" t="s">
        <v>268</v>
      </c>
      <c r="K202" t="s">
        <v>125</v>
      </c>
      <c r="L202" t="s">
        <v>675</v>
      </c>
      <c r="AE202" t="s">
        <v>394</v>
      </c>
    </row>
    <row r="203" spans="1:78" hidden="1" x14ac:dyDescent="0.2">
      <c r="A203" t="s">
        <v>119</v>
      </c>
      <c r="B203" t="s">
        <v>120</v>
      </c>
      <c r="C203" t="s">
        <v>671</v>
      </c>
      <c r="D203">
        <v>6</v>
      </c>
      <c r="E203" t="s">
        <v>496</v>
      </c>
      <c r="F203" t="s">
        <v>205</v>
      </c>
      <c r="G203" t="s">
        <v>124</v>
      </c>
      <c r="H203" t="s">
        <v>125</v>
      </c>
      <c r="I203">
        <v>3</v>
      </c>
      <c r="J203" t="s">
        <v>264</v>
      </c>
      <c r="K203" t="s">
        <v>125</v>
      </c>
      <c r="L203" t="s">
        <v>676</v>
      </c>
    </row>
    <row r="204" spans="1:78" hidden="1" x14ac:dyDescent="0.2">
      <c r="A204" t="s">
        <v>119</v>
      </c>
      <c r="B204" t="s">
        <v>120</v>
      </c>
      <c r="C204" t="s">
        <v>671</v>
      </c>
      <c r="D204">
        <v>9</v>
      </c>
      <c r="E204" t="s">
        <v>205</v>
      </c>
      <c r="F204" t="s">
        <v>205</v>
      </c>
      <c r="G204" t="s">
        <v>124</v>
      </c>
      <c r="H204" t="s">
        <v>125</v>
      </c>
      <c r="I204">
        <v>7</v>
      </c>
      <c r="J204" t="s">
        <v>386</v>
      </c>
      <c r="K204" t="s">
        <v>125</v>
      </c>
      <c r="L204" t="s">
        <v>677</v>
      </c>
      <c r="AE204" t="s">
        <v>128</v>
      </c>
    </row>
    <row r="205" spans="1:78" x14ac:dyDescent="0.2">
      <c r="A205" t="s">
        <v>119</v>
      </c>
      <c r="B205" t="s">
        <v>120</v>
      </c>
      <c r="C205" t="s">
        <v>678</v>
      </c>
      <c r="D205">
        <v>8</v>
      </c>
      <c r="E205" t="s">
        <v>679</v>
      </c>
      <c r="F205" t="s">
        <v>680</v>
      </c>
      <c r="G205" t="s">
        <v>124</v>
      </c>
      <c r="H205" t="s">
        <v>125</v>
      </c>
      <c r="I205">
        <v>6</v>
      </c>
      <c r="J205" t="s">
        <v>199</v>
      </c>
      <c r="K205" t="s">
        <v>125</v>
      </c>
      <c r="L205" t="s">
        <v>681</v>
      </c>
      <c r="U205" t="s">
        <v>149</v>
      </c>
      <c r="W205" t="s">
        <v>135</v>
      </c>
      <c r="X205">
        <v>3</v>
      </c>
      <c r="AC205" t="s">
        <v>136</v>
      </c>
      <c r="AE205" t="s">
        <v>137</v>
      </c>
    </row>
    <row r="206" spans="1:78" hidden="1" x14ac:dyDescent="0.2">
      <c r="A206" t="s">
        <v>119</v>
      </c>
      <c r="B206" t="s">
        <v>120</v>
      </c>
      <c r="C206" t="s">
        <v>682</v>
      </c>
      <c r="D206">
        <v>2</v>
      </c>
      <c r="E206" t="s">
        <v>673</v>
      </c>
      <c r="F206" t="s">
        <v>674</v>
      </c>
      <c r="G206" t="s">
        <v>124</v>
      </c>
      <c r="H206" t="s">
        <v>125</v>
      </c>
      <c r="I206">
        <v>5</v>
      </c>
      <c r="J206" t="s">
        <v>268</v>
      </c>
      <c r="K206" t="s">
        <v>125</v>
      </c>
      <c r="L206" t="s">
        <v>683</v>
      </c>
      <c r="AE206" t="s">
        <v>394</v>
      </c>
    </row>
    <row r="207" spans="1:78" x14ac:dyDescent="0.2">
      <c r="A207" t="s">
        <v>119</v>
      </c>
      <c r="B207" t="s">
        <v>120</v>
      </c>
      <c r="C207" t="s">
        <v>682</v>
      </c>
      <c r="D207">
        <v>5</v>
      </c>
      <c r="E207" t="s">
        <v>496</v>
      </c>
      <c r="F207" t="s">
        <v>205</v>
      </c>
      <c r="G207" t="s">
        <v>124</v>
      </c>
      <c r="H207" t="s">
        <v>125</v>
      </c>
      <c r="I207">
        <v>0</v>
      </c>
      <c r="J207" t="s">
        <v>126</v>
      </c>
      <c r="K207" t="s">
        <v>125</v>
      </c>
      <c r="L207" t="s">
        <v>684</v>
      </c>
      <c r="U207" t="s">
        <v>149</v>
      </c>
      <c r="W207" t="s">
        <v>135</v>
      </c>
      <c r="X207">
        <v>2</v>
      </c>
      <c r="AC207" t="s">
        <v>136</v>
      </c>
      <c r="AE207" t="s">
        <v>137</v>
      </c>
    </row>
    <row r="208" spans="1:78" hidden="1" x14ac:dyDescent="0.2">
      <c r="A208" t="s">
        <v>119</v>
      </c>
      <c r="B208" t="s">
        <v>120</v>
      </c>
      <c r="C208" t="s">
        <v>682</v>
      </c>
      <c r="D208">
        <v>9</v>
      </c>
      <c r="E208" t="s">
        <v>205</v>
      </c>
      <c r="F208" t="s">
        <v>205</v>
      </c>
      <c r="G208" t="s">
        <v>124</v>
      </c>
      <c r="H208" t="s">
        <v>125</v>
      </c>
      <c r="I208">
        <v>6</v>
      </c>
      <c r="J208" t="s">
        <v>268</v>
      </c>
      <c r="K208" t="s">
        <v>125</v>
      </c>
      <c r="L208" t="s">
        <v>685</v>
      </c>
      <c r="AE208" t="s">
        <v>128</v>
      </c>
    </row>
    <row r="209" spans="1:78" hidden="1" x14ac:dyDescent="0.2">
      <c r="A209" t="s">
        <v>119</v>
      </c>
      <c r="B209" t="s">
        <v>120</v>
      </c>
      <c r="C209" t="s">
        <v>682</v>
      </c>
      <c r="D209">
        <v>15</v>
      </c>
      <c r="E209" t="s">
        <v>686</v>
      </c>
      <c r="F209" t="s">
        <v>687</v>
      </c>
      <c r="G209" t="s">
        <v>124</v>
      </c>
      <c r="H209" t="s">
        <v>125</v>
      </c>
      <c r="I209">
        <v>12</v>
      </c>
      <c r="J209" t="s">
        <v>170</v>
      </c>
      <c r="K209" t="s">
        <v>125</v>
      </c>
      <c r="L209" t="s">
        <v>688</v>
      </c>
      <c r="AE209" t="s">
        <v>128</v>
      </c>
    </row>
    <row r="210" spans="1:78" x14ac:dyDescent="0.2">
      <c r="A210" t="s">
        <v>119</v>
      </c>
      <c r="B210" t="s">
        <v>120</v>
      </c>
      <c r="C210" t="s">
        <v>689</v>
      </c>
      <c r="D210">
        <v>2</v>
      </c>
      <c r="E210" t="s">
        <v>197</v>
      </c>
      <c r="F210" t="s">
        <v>198</v>
      </c>
      <c r="G210" t="s">
        <v>124</v>
      </c>
      <c r="H210" t="s">
        <v>125</v>
      </c>
      <c r="I210">
        <v>0</v>
      </c>
      <c r="J210" t="s">
        <v>126</v>
      </c>
      <c r="K210" t="s">
        <v>125</v>
      </c>
      <c r="L210" t="s">
        <v>690</v>
      </c>
      <c r="U210" t="s">
        <v>149</v>
      </c>
      <c r="W210" t="s">
        <v>135</v>
      </c>
      <c r="X210">
        <v>1</v>
      </c>
      <c r="AC210" t="s">
        <v>136</v>
      </c>
      <c r="AE210" t="s">
        <v>137</v>
      </c>
    </row>
    <row r="211" spans="1:78" hidden="1" x14ac:dyDescent="0.2">
      <c r="A211" t="s">
        <v>119</v>
      </c>
      <c r="B211" t="s">
        <v>120</v>
      </c>
      <c r="C211" t="s">
        <v>689</v>
      </c>
      <c r="D211">
        <v>7</v>
      </c>
      <c r="E211" t="s">
        <v>691</v>
      </c>
      <c r="F211" t="s">
        <v>261</v>
      </c>
      <c r="G211" t="s">
        <v>124</v>
      </c>
      <c r="H211" t="s">
        <v>125</v>
      </c>
      <c r="I211">
        <v>2</v>
      </c>
      <c r="J211" t="s">
        <v>264</v>
      </c>
      <c r="K211" t="s">
        <v>125</v>
      </c>
      <c r="L211" t="s">
        <v>692</v>
      </c>
      <c r="T211" t="s">
        <v>154</v>
      </c>
      <c r="W211" t="s">
        <v>135</v>
      </c>
      <c r="AC211" t="s">
        <v>143</v>
      </c>
      <c r="AE211" t="s">
        <v>144</v>
      </c>
      <c r="AG211">
        <v>6</v>
      </c>
      <c r="AH211" t="s">
        <v>421</v>
      </c>
      <c r="AI211" t="s">
        <v>205</v>
      </c>
      <c r="AJ211" t="s">
        <v>131</v>
      </c>
      <c r="AK211" t="s">
        <v>125</v>
      </c>
      <c r="AL211">
        <v>7</v>
      </c>
      <c r="AM211" t="s">
        <v>132</v>
      </c>
      <c r="AN211" t="s">
        <v>125</v>
      </c>
      <c r="AO211" t="s">
        <v>693</v>
      </c>
      <c r="BP211" t="s">
        <v>149</v>
      </c>
      <c r="BR211" t="s">
        <v>135</v>
      </c>
      <c r="BS211">
        <v>1</v>
      </c>
      <c r="BX211" t="s">
        <v>209</v>
      </c>
      <c r="BZ211" t="s">
        <v>137</v>
      </c>
    </row>
    <row r="212" spans="1:78" hidden="1" x14ac:dyDescent="0.2">
      <c r="A212" t="s">
        <v>119</v>
      </c>
      <c r="B212" t="s">
        <v>120</v>
      </c>
      <c r="C212" t="s">
        <v>689</v>
      </c>
      <c r="D212">
        <v>14</v>
      </c>
      <c r="E212" t="s">
        <v>694</v>
      </c>
      <c r="F212" t="s">
        <v>434</v>
      </c>
      <c r="G212" t="s">
        <v>124</v>
      </c>
      <c r="H212" t="s">
        <v>125</v>
      </c>
      <c r="I212">
        <v>7</v>
      </c>
      <c r="J212" t="s">
        <v>264</v>
      </c>
      <c r="K212" t="s">
        <v>125</v>
      </c>
      <c r="L212" t="s">
        <v>695</v>
      </c>
      <c r="T212" t="s">
        <v>142</v>
      </c>
      <c r="W212" t="s">
        <v>135</v>
      </c>
      <c r="AC212" t="s">
        <v>143</v>
      </c>
      <c r="AE212" t="s">
        <v>144</v>
      </c>
      <c r="AG212">
        <v>13</v>
      </c>
      <c r="AH212" t="s">
        <v>452</v>
      </c>
      <c r="AI212" t="s">
        <v>146</v>
      </c>
      <c r="AJ212" t="s">
        <v>131</v>
      </c>
      <c r="AK212" t="s">
        <v>125</v>
      </c>
      <c r="AL212">
        <v>14</v>
      </c>
      <c r="AM212" t="s">
        <v>132</v>
      </c>
      <c r="AN212" t="s">
        <v>125</v>
      </c>
      <c r="AO212" t="s">
        <v>696</v>
      </c>
      <c r="BP212" t="s">
        <v>149</v>
      </c>
      <c r="BR212" t="s">
        <v>135</v>
      </c>
      <c r="BS212">
        <v>1</v>
      </c>
      <c r="BX212" t="s">
        <v>209</v>
      </c>
      <c r="BZ212" t="s">
        <v>137</v>
      </c>
    </row>
    <row r="213" spans="1:78" hidden="1" x14ac:dyDescent="0.2">
      <c r="A213" t="s">
        <v>119</v>
      </c>
      <c r="B213" t="s">
        <v>120</v>
      </c>
      <c r="C213" t="s">
        <v>689</v>
      </c>
      <c r="D213">
        <v>22</v>
      </c>
      <c r="E213" t="s">
        <v>669</v>
      </c>
      <c r="F213" t="s">
        <v>140</v>
      </c>
      <c r="G213" t="s">
        <v>124</v>
      </c>
      <c r="H213" t="s">
        <v>125</v>
      </c>
      <c r="I213">
        <v>14</v>
      </c>
      <c r="J213" t="s">
        <v>268</v>
      </c>
      <c r="K213" t="s">
        <v>125</v>
      </c>
      <c r="L213" t="s">
        <v>697</v>
      </c>
      <c r="U213" t="s">
        <v>149</v>
      </c>
      <c r="W213" t="s">
        <v>135</v>
      </c>
      <c r="X213">
        <v>1</v>
      </c>
      <c r="AC213" t="s">
        <v>209</v>
      </c>
      <c r="AE213" t="s">
        <v>137</v>
      </c>
    </row>
    <row r="214" spans="1:78" hidden="1" x14ac:dyDescent="0.2">
      <c r="A214" t="s">
        <v>119</v>
      </c>
      <c r="B214" t="s">
        <v>120</v>
      </c>
      <c r="C214" t="s">
        <v>689</v>
      </c>
      <c r="D214">
        <v>25</v>
      </c>
      <c r="E214" t="s">
        <v>698</v>
      </c>
      <c r="F214" t="s">
        <v>699</v>
      </c>
      <c r="G214" t="s">
        <v>124</v>
      </c>
      <c r="H214" t="s">
        <v>125</v>
      </c>
      <c r="I214">
        <v>22</v>
      </c>
      <c r="J214" t="s">
        <v>199</v>
      </c>
      <c r="K214" t="s">
        <v>125</v>
      </c>
      <c r="L214" t="s">
        <v>700</v>
      </c>
      <c r="AE214" t="s">
        <v>394</v>
      </c>
      <c r="AG214">
        <v>24</v>
      </c>
      <c r="AH214" t="s">
        <v>701</v>
      </c>
      <c r="AI214" t="s">
        <v>283</v>
      </c>
      <c r="AJ214" t="s">
        <v>131</v>
      </c>
      <c r="AK214" t="s">
        <v>125</v>
      </c>
      <c r="AL214">
        <v>25</v>
      </c>
      <c r="AM214" t="s">
        <v>132</v>
      </c>
      <c r="AN214" t="s">
        <v>125</v>
      </c>
      <c r="AO214" t="s">
        <v>702</v>
      </c>
      <c r="BO214" t="s">
        <v>154</v>
      </c>
      <c r="BR214" t="s">
        <v>135</v>
      </c>
    </row>
    <row r="215" spans="1:78" hidden="1" x14ac:dyDescent="0.2">
      <c r="A215" t="s">
        <v>119</v>
      </c>
      <c r="B215" t="s">
        <v>120</v>
      </c>
      <c r="C215" t="s">
        <v>703</v>
      </c>
      <c r="D215">
        <v>5</v>
      </c>
      <c r="E215" t="s">
        <v>704</v>
      </c>
      <c r="F215" t="s">
        <v>205</v>
      </c>
      <c r="G215" t="s">
        <v>124</v>
      </c>
      <c r="H215" t="s">
        <v>125</v>
      </c>
      <c r="I215">
        <v>0</v>
      </c>
      <c r="J215" t="s">
        <v>126</v>
      </c>
      <c r="K215" t="s">
        <v>125</v>
      </c>
      <c r="L215" t="s">
        <v>705</v>
      </c>
      <c r="U215" t="s">
        <v>149</v>
      </c>
      <c r="W215" t="s">
        <v>155</v>
      </c>
      <c r="X215">
        <v>1</v>
      </c>
      <c r="AC215" t="s">
        <v>209</v>
      </c>
      <c r="AE215" t="s">
        <v>137</v>
      </c>
    </row>
    <row r="216" spans="1:78" hidden="1" x14ac:dyDescent="0.2">
      <c r="A216" t="s">
        <v>119</v>
      </c>
      <c r="B216" t="s">
        <v>120</v>
      </c>
      <c r="C216" t="s">
        <v>703</v>
      </c>
      <c r="D216">
        <v>13</v>
      </c>
      <c r="E216" t="s">
        <v>706</v>
      </c>
      <c r="F216" t="s">
        <v>205</v>
      </c>
      <c r="G216" t="s">
        <v>124</v>
      </c>
      <c r="H216" t="s">
        <v>125</v>
      </c>
      <c r="I216">
        <v>6</v>
      </c>
      <c r="J216" t="s">
        <v>170</v>
      </c>
      <c r="K216" t="s">
        <v>125</v>
      </c>
      <c r="L216" t="s">
        <v>707</v>
      </c>
      <c r="U216" t="s">
        <v>149</v>
      </c>
      <c r="W216" t="s">
        <v>155</v>
      </c>
      <c r="X216">
        <v>3</v>
      </c>
      <c r="AC216" t="s">
        <v>209</v>
      </c>
      <c r="AE216" t="s">
        <v>137</v>
      </c>
    </row>
    <row r="217" spans="1:78" hidden="1" x14ac:dyDescent="0.2">
      <c r="A217" t="s">
        <v>119</v>
      </c>
      <c r="B217" t="s">
        <v>120</v>
      </c>
      <c r="C217" t="s">
        <v>703</v>
      </c>
      <c r="D217">
        <v>19</v>
      </c>
      <c r="E217" t="s">
        <v>706</v>
      </c>
      <c r="F217" t="s">
        <v>205</v>
      </c>
      <c r="G217" t="s">
        <v>124</v>
      </c>
      <c r="H217" t="s">
        <v>125</v>
      </c>
      <c r="I217">
        <v>13</v>
      </c>
      <c r="J217" t="s">
        <v>199</v>
      </c>
      <c r="K217" t="s">
        <v>125</v>
      </c>
      <c r="L217" t="s">
        <v>708</v>
      </c>
      <c r="U217" t="s">
        <v>149</v>
      </c>
      <c r="W217" t="s">
        <v>155</v>
      </c>
      <c r="X217">
        <v>3</v>
      </c>
      <c r="AC217" t="s">
        <v>209</v>
      </c>
      <c r="AE217" t="s">
        <v>137</v>
      </c>
    </row>
    <row r="218" spans="1:78" x14ac:dyDescent="0.2">
      <c r="A218" t="s">
        <v>119</v>
      </c>
      <c r="B218" t="s">
        <v>120</v>
      </c>
      <c r="C218" t="s">
        <v>709</v>
      </c>
      <c r="D218">
        <v>5</v>
      </c>
      <c r="E218" t="s">
        <v>710</v>
      </c>
      <c r="F218" t="s">
        <v>283</v>
      </c>
      <c r="G218" t="s">
        <v>124</v>
      </c>
      <c r="H218" t="s">
        <v>125</v>
      </c>
      <c r="I218">
        <v>0</v>
      </c>
      <c r="J218" t="s">
        <v>126</v>
      </c>
      <c r="K218" t="s">
        <v>125</v>
      </c>
      <c r="L218" t="s">
        <v>711</v>
      </c>
      <c r="U218" t="s">
        <v>309</v>
      </c>
      <c r="W218" t="s">
        <v>135</v>
      </c>
      <c r="X218">
        <v>3</v>
      </c>
      <c r="AC218" t="s">
        <v>136</v>
      </c>
      <c r="AE218" t="s">
        <v>137</v>
      </c>
    </row>
    <row r="219" spans="1:78" x14ac:dyDescent="0.2">
      <c r="A219" t="s">
        <v>119</v>
      </c>
      <c r="B219" t="s">
        <v>120</v>
      </c>
      <c r="C219" t="s">
        <v>709</v>
      </c>
      <c r="D219">
        <v>9</v>
      </c>
      <c r="E219" t="s">
        <v>710</v>
      </c>
      <c r="F219" t="s">
        <v>283</v>
      </c>
      <c r="G219" t="s">
        <v>124</v>
      </c>
      <c r="H219" t="s">
        <v>125</v>
      </c>
      <c r="I219">
        <v>5</v>
      </c>
      <c r="J219" t="s">
        <v>268</v>
      </c>
      <c r="K219" t="s">
        <v>125</v>
      </c>
      <c r="L219" t="s">
        <v>712</v>
      </c>
      <c r="U219" t="s">
        <v>309</v>
      </c>
      <c r="W219" t="s">
        <v>135</v>
      </c>
      <c r="X219">
        <v>3</v>
      </c>
      <c r="AC219" t="s">
        <v>136</v>
      </c>
      <c r="AE219" t="s">
        <v>137</v>
      </c>
    </row>
    <row r="220" spans="1:78" hidden="1" x14ac:dyDescent="0.2">
      <c r="A220" t="s">
        <v>119</v>
      </c>
      <c r="B220" t="s">
        <v>120</v>
      </c>
      <c r="C220" t="s">
        <v>713</v>
      </c>
      <c r="D220">
        <v>8</v>
      </c>
      <c r="E220" t="s">
        <v>421</v>
      </c>
      <c r="F220" t="s">
        <v>205</v>
      </c>
      <c r="G220" t="s">
        <v>124</v>
      </c>
      <c r="H220" t="s">
        <v>125</v>
      </c>
      <c r="I220">
        <v>5</v>
      </c>
      <c r="J220" t="s">
        <v>170</v>
      </c>
      <c r="K220" t="s">
        <v>125</v>
      </c>
      <c r="L220" t="s">
        <v>714</v>
      </c>
      <c r="U220" t="s">
        <v>149</v>
      </c>
      <c r="W220" t="s">
        <v>135</v>
      </c>
      <c r="X220">
        <v>1</v>
      </c>
      <c r="AC220" t="s">
        <v>209</v>
      </c>
      <c r="AE220" t="s">
        <v>137</v>
      </c>
    </row>
    <row r="221" spans="1:78" x14ac:dyDescent="0.2">
      <c r="A221" t="s">
        <v>119</v>
      </c>
      <c r="B221" t="s">
        <v>120</v>
      </c>
      <c r="C221" t="s">
        <v>713</v>
      </c>
      <c r="D221">
        <v>13</v>
      </c>
      <c r="E221" t="s">
        <v>715</v>
      </c>
      <c r="F221" t="s">
        <v>283</v>
      </c>
      <c r="G221" t="s">
        <v>124</v>
      </c>
      <c r="H221" t="s">
        <v>125</v>
      </c>
      <c r="I221">
        <v>5</v>
      </c>
      <c r="J221" t="s">
        <v>170</v>
      </c>
      <c r="K221" t="s">
        <v>125</v>
      </c>
      <c r="L221" t="s">
        <v>716</v>
      </c>
      <c r="U221" t="s">
        <v>149</v>
      </c>
      <c r="W221" t="s">
        <v>135</v>
      </c>
      <c r="X221">
        <v>3</v>
      </c>
      <c r="AC221" t="s">
        <v>136</v>
      </c>
      <c r="AE221" t="s">
        <v>137</v>
      </c>
      <c r="AG221">
        <v>11</v>
      </c>
      <c r="AH221" t="s">
        <v>717</v>
      </c>
      <c r="AI221" t="s">
        <v>572</v>
      </c>
      <c r="AJ221" t="s">
        <v>131</v>
      </c>
      <c r="AK221" t="s">
        <v>125</v>
      </c>
      <c r="AL221">
        <v>13</v>
      </c>
      <c r="AM221" t="s">
        <v>132</v>
      </c>
      <c r="AN221" t="s">
        <v>125</v>
      </c>
      <c r="AO221" t="s">
        <v>718</v>
      </c>
      <c r="BP221" t="s">
        <v>149</v>
      </c>
      <c r="BR221" t="s">
        <v>135</v>
      </c>
      <c r="BS221">
        <v>1</v>
      </c>
      <c r="BX221" t="s">
        <v>209</v>
      </c>
      <c r="BZ221" t="s">
        <v>137</v>
      </c>
    </row>
    <row r="222" spans="1:78" x14ac:dyDescent="0.2">
      <c r="A222" t="s">
        <v>119</v>
      </c>
      <c r="B222" t="s">
        <v>120</v>
      </c>
      <c r="C222" t="s">
        <v>713</v>
      </c>
      <c r="D222">
        <v>20</v>
      </c>
      <c r="E222" t="s">
        <v>719</v>
      </c>
      <c r="F222" t="s">
        <v>617</v>
      </c>
      <c r="G222" t="s">
        <v>124</v>
      </c>
      <c r="H222" t="s">
        <v>125</v>
      </c>
      <c r="I222">
        <v>18</v>
      </c>
      <c r="J222" t="s">
        <v>161</v>
      </c>
      <c r="K222" t="s">
        <v>125</v>
      </c>
      <c r="L222" t="s">
        <v>720</v>
      </c>
      <c r="U222" t="s">
        <v>149</v>
      </c>
      <c r="W222" t="s">
        <v>135</v>
      </c>
      <c r="X222">
        <v>1</v>
      </c>
      <c r="AC222" t="s">
        <v>136</v>
      </c>
      <c r="AE222" t="s">
        <v>137</v>
      </c>
    </row>
    <row r="223" spans="1:78" hidden="1" x14ac:dyDescent="0.2">
      <c r="A223" t="s">
        <v>119</v>
      </c>
      <c r="B223" t="s">
        <v>120</v>
      </c>
      <c r="C223" t="s">
        <v>713</v>
      </c>
      <c r="D223">
        <v>23</v>
      </c>
      <c r="E223" t="s">
        <v>701</v>
      </c>
      <c r="F223" t="s">
        <v>283</v>
      </c>
      <c r="G223" t="s">
        <v>124</v>
      </c>
      <c r="H223" t="s">
        <v>125</v>
      </c>
      <c r="I223">
        <v>20</v>
      </c>
      <c r="J223" t="s">
        <v>268</v>
      </c>
      <c r="K223" t="s">
        <v>125</v>
      </c>
      <c r="L223" t="s">
        <v>721</v>
      </c>
      <c r="U223" t="s">
        <v>149</v>
      </c>
      <c r="W223" t="s">
        <v>135</v>
      </c>
      <c r="X223">
        <v>1</v>
      </c>
      <c r="AC223" t="s">
        <v>209</v>
      </c>
      <c r="AE223" t="s">
        <v>137</v>
      </c>
    </row>
    <row r="224" spans="1:78" hidden="1" x14ac:dyDescent="0.2">
      <c r="A224" t="s">
        <v>119</v>
      </c>
      <c r="B224" t="s">
        <v>120</v>
      </c>
      <c r="C224" t="s">
        <v>713</v>
      </c>
      <c r="D224">
        <v>28</v>
      </c>
      <c r="E224" t="s">
        <v>722</v>
      </c>
      <c r="F224" t="s">
        <v>723</v>
      </c>
      <c r="G224" t="s">
        <v>124</v>
      </c>
      <c r="H224" t="s">
        <v>125</v>
      </c>
      <c r="I224">
        <v>23</v>
      </c>
      <c r="J224" t="s">
        <v>268</v>
      </c>
      <c r="K224" t="s">
        <v>125</v>
      </c>
      <c r="L224" t="s">
        <v>724</v>
      </c>
      <c r="U224" t="s">
        <v>149</v>
      </c>
      <c r="W224" t="s">
        <v>135</v>
      </c>
      <c r="X224">
        <v>1</v>
      </c>
      <c r="AC224" t="s">
        <v>209</v>
      </c>
      <c r="AE224" t="s">
        <v>137</v>
      </c>
    </row>
    <row r="225" spans="1:78" hidden="1" x14ac:dyDescent="0.2">
      <c r="A225" t="s">
        <v>119</v>
      </c>
      <c r="B225" t="s">
        <v>120</v>
      </c>
      <c r="C225" t="s">
        <v>713</v>
      </c>
      <c r="D225">
        <v>32</v>
      </c>
      <c r="E225" t="s">
        <v>715</v>
      </c>
      <c r="F225" t="s">
        <v>283</v>
      </c>
      <c r="G225" t="s">
        <v>124</v>
      </c>
      <c r="H225" t="s">
        <v>125</v>
      </c>
      <c r="I225">
        <v>28</v>
      </c>
      <c r="J225" t="s">
        <v>294</v>
      </c>
      <c r="K225" t="s">
        <v>125</v>
      </c>
      <c r="L225" t="s">
        <v>725</v>
      </c>
      <c r="T225" t="s">
        <v>142</v>
      </c>
      <c r="W225" t="s">
        <v>135</v>
      </c>
    </row>
    <row r="226" spans="1:78" hidden="1" x14ac:dyDescent="0.2">
      <c r="A226" t="s">
        <v>119</v>
      </c>
      <c r="B226" t="s">
        <v>120</v>
      </c>
      <c r="C226" t="s">
        <v>726</v>
      </c>
      <c r="D226">
        <v>5</v>
      </c>
      <c r="E226" t="s">
        <v>727</v>
      </c>
      <c r="F226" t="s">
        <v>728</v>
      </c>
      <c r="G226" t="s">
        <v>124</v>
      </c>
      <c r="H226" t="s">
        <v>125</v>
      </c>
      <c r="I226">
        <v>0</v>
      </c>
      <c r="J226" t="s">
        <v>126</v>
      </c>
      <c r="K226" t="s">
        <v>125</v>
      </c>
      <c r="L226" t="s">
        <v>729</v>
      </c>
      <c r="T226" t="s">
        <v>154</v>
      </c>
      <c r="W226" t="s">
        <v>135</v>
      </c>
    </row>
    <row r="227" spans="1:78" x14ac:dyDescent="0.2">
      <c r="A227" t="s">
        <v>119</v>
      </c>
      <c r="B227" t="s">
        <v>120</v>
      </c>
      <c r="C227" t="s">
        <v>726</v>
      </c>
      <c r="D227">
        <v>8</v>
      </c>
      <c r="E227" t="s">
        <v>727</v>
      </c>
      <c r="F227" t="s">
        <v>728</v>
      </c>
      <c r="G227" t="s">
        <v>124</v>
      </c>
      <c r="H227" t="s">
        <v>125</v>
      </c>
      <c r="I227">
        <v>5</v>
      </c>
      <c r="J227" t="s">
        <v>161</v>
      </c>
      <c r="K227" t="s">
        <v>125</v>
      </c>
      <c r="L227" t="s">
        <v>730</v>
      </c>
      <c r="U227" t="s">
        <v>149</v>
      </c>
      <c r="W227" t="s">
        <v>135</v>
      </c>
      <c r="X227">
        <v>1</v>
      </c>
      <c r="AC227" t="s">
        <v>136</v>
      </c>
      <c r="AE227" t="s">
        <v>137</v>
      </c>
    </row>
    <row r="228" spans="1:78" hidden="1" x14ac:dyDescent="0.2">
      <c r="A228" t="s">
        <v>119</v>
      </c>
      <c r="B228" t="s">
        <v>120</v>
      </c>
      <c r="C228" t="s">
        <v>731</v>
      </c>
      <c r="D228">
        <v>10</v>
      </c>
      <c r="E228" t="s">
        <v>263</v>
      </c>
      <c r="F228" t="s">
        <v>158</v>
      </c>
      <c r="G228" t="s">
        <v>124</v>
      </c>
      <c r="H228" t="s">
        <v>125</v>
      </c>
      <c r="I228">
        <v>7</v>
      </c>
      <c r="J228" t="s">
        <v>268</v>
      </c>
      <c r="K228" t="s">
        <v>125</v>
      </c>
      <c r="L228" t="s">
        <v>732</v>
      </c>
      <c r="T228" t="s">
        <v>154</v>
      </c>
      <c r="W228" t="s">
        <v>135</v>
      </c>
      <c r="AC228" t="s">
        <v>143</v>
      </c>
      <c r="AE228" t="s">
        <v>144</v>
      </c>
      <c r="AG228">
        <v>9</v>
      </c>
      <c r="AH228" t="s">
        <v>204</v>
      </c>
      <c r="AI228" t="s">
        <v>205</v>
      </c>
      <c r="AJ228" t="s">
        <v>131</v>
      </c>
      <c r="AK228" t="s">
        <v>125</v>
      </c>
      <c r="AL228">
        <v>10</v>
      </c>
      <c r="AM228" t="s">
        <v>132</v>
      </c>
      <c r="AN228" t="s">
        <v>125</v>
      </c>
      <c r="AO228" t="s">
        <v>733</v>
      </c>
      <c r="BP228" t="s">
        <v>149</v>
      </c>
      <c r="BR228" t="s">
        <v>135</v>
      </c>
      <c r="BS228">
        <v>1</v>
      </c>
      <c r="BX228" t="s">
        <v>136</v>
      </c>
      <c r="BZ228" t="s">
        <v>137</v>
      </c>
    </row>
    <row r="229" spans="1:78" hidden="1" x14ac:dyDescent="0.2">
      <c r="A229" t="s">
        <v>119</v>
      </c>
      <c r="B229" t="s">
        <v>120</v>
      </c>
      <c r="C229" t="s">
        <v>731</v>
      </c>
      <c r="D229">
        <v>18</v>
      </c>
      <c r="E229" t="s">
        <v>734</v>
      </c>
      <c r="F229" t="s">
        <v>735</v>
      </c>
      <c r="G229" t="s">
        <v>124</v>
      </c>
      <c r="H229" t="s">
        <v>125</v>
      </c>
      <c r="I229">
        <v>14</v>
      </c>
      <c r="J229" t="s">
        <v>170</v>
      </c>
      <c r="K229" t="s">
        <v>125</v>
      </c>
      <c r="L229" t="s">
        <v>736</v>
      </c>
      <c r="U229" t="s">
        <v>149</v>
      </c>
      <c r="W229" t="s">
        <v>155</v>
      </c>
      <c r="X229">
        <v>3</v>
      </c>
      <c r="AC229" t="s">
        <v>209</v>
      </c>
      <c r="AE229" t="s">
        <v>137</v>
      </c>
    </row>
    <row r="230" spans="1:78" x14ac:dyDescent="0.2">
      <c r="A230" t="s">
        <v>119</v>
      </c>
      <c r="B230" t="s">
        <v>120</v>
      </c>
      <c r="C230" t="s">
        <v>737</v>
      </c>
      <c r="D230">
        <v>12</v>
      </c>
      <c r="E230" t="s">
        <v>546</v>
      </c>
      <c r="F230" t="s">
        <v>283</v>
      </c>
      <c r="G230" t="s">
        <v>124</v>
      </c>
      <c r="H230" t="s">
        <v>125</v>
      </c>
      <c r="I230">
        <v>10</v>
      </c>
      <c r="J230" t="s">
        <v>268</v>
      </c>
      <c r="K230" t="s">
        <v>125</v>
      </c>
      <c r="L230" t="s">
        <v>738</v>
      </c>
      <c r="U230" t="s">
        <v>149</v>
      </c>
      <c r="W230" t="s">
        <v>135</v>
      </c>
      <c r="X230">
        <v>3</v>
      </c>
      <c r="AC230" t="s">
        <v>136</v>
      </c>
      <c r="AE230" t="s">
        <v>137</v>
      </c>
    </row>
    <row r="231" spans="1:78" hidden="1" x14ac:dyDescent="0.2">
      <c r="A231" t="s">
        <v>119</v>
      </c>
      <c r="B231" t="s">
        <v>120</v>
      </c>
      <c r="C231" t="s">
        <v>739</v>
      </c>
      <c r="D231">
        <v>3</v>
      </c>
      <c r="E231" t="s">
        <v>283</v>
      </c>
      <c r="F231" t="s">
        <v>283</v>
      </c>
      <c r="G231" t="s">
        <v>124</v>
      </c>
      <c r="H231" t="s">
        <v>125</v>
      </c>
      <c r="I231">
        <v>0</v>
      </c>
      <c r="J231" t="s">
        <v>126</v>
      </c>
      <c r="K231" t="s">
        <v>125</v>
      </c>
      <c r="L231" t="s">
        <v>740</v>
      </c>
      <c r="AE231" t="s">
        <v>128</v>
      </c>
    </row>
    <row r="232" spans="1:78" hidden="1" x14ac:dyDescent="0.2">
      <c r="A232" t="s">
        <v>119</v>
      </c>
      <c r="B232" t="s">
        <v>120</v>
      </c>
      <c r="C232" t="s">
        <v>739</v>
      </c>
      <c r="D232">
        <v>11</v>
      </c>
      <c r="E232" t="s">
        <v>202</v>
      </c>
      <c r="F232" t="s">
        <v>202</v>
      </c>
      <c r="G232" t="s">
        <v>124</v>
      </c>
      <c r="H232" t="s">
        <v>125</v>
      </c>
      <c r="I232">
        <v>3</v>
      </c>
      <c r="J232" t="s">
        <v>199</v>
      </c>
      <c r="K232" t="s">
        <v>125</v>
      </c>
      <c r="L232" t="s">
        <v>741</v>
      </c>
      <c r="AE232" t="s">
        <v>128</v>
      </c>
    </row>
    <row r="233" spans="1:78" hidden="1" x14ac:dyDescent="0.2">
      <c r="A233" t="s">
        <v>119</v>
      </c>
      <c r="B233" t="s">
        <v>120</v>
      </c>
      <c r="C233" t="s">
        <v>739</v>
      </c>
      <c r="D233">
        <v>17</v>
      </c>
      <c r="E233" t="s">
        <v>283</v>
      </c>
      <c r="F233" t="s">
        <v>283</v>
      </c>
      <c r="G233" t="s">
        <v>124</v>
      </c>
      <c r="H233" t="s">
        <v>125</v>
      </c>
      <c r="I233">
        <v>3</v>
      </c>
      <c r="J233" t="s">
        <v>199</v>
      </c>
      <c r="K233" t="s">
        <v>125</v>
      </c>
      <c r="L233" t="s">
        <v>742</v>
      </c>
      <c r="AE233" t="s">
        <v>128</v>
      </c>
    </row>
    <row r="234" spans="1:78" hidden="1" x14ac:dyDescent="0.2">
      <c r="A234" t="s">
        <v>119</v>
      </c>
      <c r="B234" t="s">
        <v>120</v>
      </c>
      <c r="C234" t="s">
        <v>743</v>
      </c>
      <c r="D234">
        <v>13</v>
      </c>
      <c r="E234" t="s">
        <v>490</v>
      </c>
      <c r="F234" t="s">
        <v>283</v>
      </c>
      <c r="G234" t="s">
        <v>124</v>
      </c>
      <c r="H234" t="s">
        <v>125</v>
      </c>
      <c r="I234">
        <v>7</v>
      </c>
      <c r="J234" t="s">
        <v>268</v>
      </c>
      <c r="K234" t="s">
        <v>125</v>
      </c>
      <c r="L234" t="s">
        <v>744</v>
      </c>
      <c r="U234" t="s">
        <v>149</v>
      </c>
      <c r="W234" t="s">
        <v>135</v>
      </c>
      <c r="X234">
        <v>1</v>
      </c>
      <c r="AC234" t="s">
        <v>143</v>
      </c>
      <c r="AE234" t="s">
        <v>137</v>
      </c>
    </row>
    <row r="235" spans="1:78" hidden="1" x14ac:dyDescent="0.2">
      <c r="A235" t="s">
        <v>119</v>
      </c>
      <c r="B235" t="s">
        <v>120</v>
      </c>
      <c r="C235" t="s">
        <v>743</v>
      </c>
      <c r="D235">
        <v>18</v>
      </c>
      <c r="E235" t="s">
        <v>349</v>
      </c>
      <c r="F235" t="s">
        <v>350</v>
      </c>
      <c r="G235" t="s">
        <v>124</v>
      </c>
      <c r="H235" t="s">
        <v>125</v>
      </c>
      <c r="I235">
        <v>20</v>
      </c>
      <c r="J235" t="s">
        <v>268</v>
      </c>
      <c r="K235" t="s">
        <v>125</v>
      </c>
      <c r="L235" t="s">
        <v>745</v>
      </c>
    </row>
    <row r="236" spans="1:78" x14ac:dyDescent="0.2">
      <c r="A236" t="s">
        <v>119</v>
      </c>
      <c r="B236" t="s">
        <v>120</v>
      </c>
      <c r="C236" t="s">
        <v>743</v>
      </c>
      <c r="D236">
        <v>20</v>
      </c>
      <c r="E236" t="s">
        <v>145</v>
      </c>
      <c r="F236" t="s">
        <v>146</v>
      </c>
      <c r="G236" t="s">
        <v>124</v>
      </c>
      <c r="H236" t="s">
        <v>125</v>
      </c>
      <c r="I236">
        <v>7</v>
      </c>
      <c r="J236" t="s">
        <v>268</v>
      </c>
      <c r="K236" t="s">
        <v>125</v>
      </c>
      <c r="L236" t="s">
        <v>746</v>
      </c>
      <c r="U236" t="s">
        <v>149</v>
      </c>
      <c r="W236" t="s">
        <v>135</v>
      </c>
      <c r="X236">
        <v>3</v>
      </c>
      <c r="AC236" t="s">
        <v>136</v>
      </c>
      <c r="AE236" t="s">
        <v>137</v>
      </c>
    </row>
    <row r="237" spans="1:78" x14ac:dyDescent="0.2">
      <c r="A237" t="s">
        <v>119</v>
      </c>
      <c r="B237" t="s">
        <v>120</v>
      </c>
      <c r="C237" t="s">
        <v>743</v>
      </c>
      <c r="D237">
        <v>25</v>
      </c>
      <c r="E237" t="s">
        <v>145</v>
      </c>
      <c r="F237" t="s">
        <v>146</v>
      </c>
      <c r="G237" t="s">
        <v>124</v>
      </c>
      <c r="H237" t="s">
        <v>125</v>
      </c>
      <c r="I237">
        <v>20</v>
      </c>
      <c r="J237" t="s">
        <v>161</v>
      </c>
      <c r="K237" t="s">
        <v>125</v>
      </c>
      <c r="L237" t="s">
        <v>747</v>
      </c>
      <c r="U237" t="s">
        <v>149</v>
      </c>
      <c r="W237" t="s">
        <v>135</v>
      </c>
      <c r="X237">
        <v>3</v>
      </c>
      <c r="AC237" t="s">
        <v>136</v>
      </c>
      <c r="AE237" t="s">
        <v>137</v>
      </c>
    </row>
    <row r="238" spans="1:78" x14ac:dyDescent="0.2">
      <c r="A238" t="s">
        <v>119</v>
      </c>
      <c r="B238" t="s">
        <v>120</v>
      </c>
      <c r="C238" t="s">
        <v>743</v>
      </c>
      <c r="D238">
        <v>31</v>
      </c>
      <c r="E238" t="s">
        <v>490</v>
      </c>
      <c r="F238" t="s">
        <v>283</v>
      </c>
      <c r="G238" t="s">
        <v>124</v>
      </c>
      <c r="H238" t="s">
        <v>125</v>
      </c>
      <c r="I238">
        <v>27</v>
      </c>
      <c r="J238" t="s">
        <v>170</v>
      </c>
      <c r="K238" t="s">
        <v>125</v>
      </c>
      <c r="L238" t="s">
        <v>748</v>
      </c>
      <c r="U238" t="s">
        <v>149</v>
      </c>
      <c r="W238" t="s">
        <v>135</v>
      </c>
      <c r="X238">
        <v>2</v>
      </c>
      <c r="AC238" t="s">
        <v>136</v>
      </c>
      <c r="AE238" t="s">
        <v>137</v>
      </c>
    </row>
    <row r="239" spans="1:78" x14ac:dyDescent="0.2">
      <c r="A239" t="s">
        <v>119</v>
      </c>
      <c r="B239" t="s">
        <v>120</v>
      </c>
      <c r="C239" t="s">
        <v>743</v>
      </c>
      <c r="D239">
        <v>37</v>
      </c>
      <c r="E239" t="s">
        <v>490</v>
      </c>
      <c r="F239" t="s">
        <v>283</v>
      </c>
      <c r="G239" t="s">
        <v>124</v>
      </c>
      <c r="H239" t="s">
        <v>125</v>
      </c>
      <c r="I239">
        <v>31</v>
      </c>
      <c r="J239" t="s">
        <v>161</v>
      </c>
      <c r="K239" t="s">
        <v>125</v>
      </c>
      <c r="L239" t="s">
        <v>749</v>
      </c>
      <c r="U239" t="s">
        <v>149</v>
      </c>
      <c r="W239" t="s">
        <v>135</v>
      </c>
      <c r="X239">
        <v>2</v>
      </c>
      <c r="AC239" t="s">
        <v>136</v>
      </c>
      <c r="AE239" t="s">
        <v>137</v>
      </c>
    </row>
    <row r="240" spans="1:78" x14ac:dyDescent="0.2">
      <c r="A240" t="s">
        <v>119</v>
      </c>
      <c r="B240" t="s">
        <v>120</v>
      </c>
      <c r="C240" t="s">
        <v>750</v>
      </c>
      <c r="D240">
        <v>5</v>
      </c>
      <c r="E240" t="s">
        <v>537</v>
      </c>
      <c r="F240" t="s">
        <v>261</v>
      </c>
      <c r="G240" t="s">
        <v>124</v>
      </c>
      <c r="H240" t="s">
        <v>125</v>
      </c>
      <c r="I240">
        <v>0</v>
      </c>
      <c r="J240" t="s">
        <v>126</v>
      </c>
      <c r="K240" t="s">
        <v>125</v>
      </c>
      <c r="L240" t="s">
        <v>751</v>
      </c>
      <c r="U240" t="s">
        <v>149</v>
      </c>
      <c r="W240" t="s">
        <v>135</v>
      </c>
      <c r="X240">
        <v>2</v>
      </c>
      <c r="AC240" t="s">
        <v>136</v>
      </c>
      <c r="AE240" t="s">
        <v>137</v>
      </c>
    </row>
    <row r="241" spans="1:78" hidden="1" x14ac:dyDescent="0.2">
      <c r="A241" t="s">
        <v>119</v>
      </c>
      <c r="B241" t="s">
        <v>120</v>
      </c>
      <c r="C241" t="s">
        <v>752</v>
      </c>
      <c r="D241">
        <v>2</v>
      </c>
      <c r="E241" t="s">
        <v>490</v>
      </c>
      <c r="F241" t="s">
        <v>283</v>
      </c>
      <c r="G241" t="s">
        <v>124</v>
      </c>
      <c r="H241" t="s">
        <v>125</v>
      </c>
      <c r="I241">
        <v>6</v>
      </c>
      <c r="J241" t="s">
        <v>199</v>
      </c>
      <c r="K241" t="s">
        <v>125</v>
      </c>
      <c r="L241" t="s">
        <v>753</v>
      </c>
      <c r="U241" t="s">
        <v>149</v>
      </c>
      <c r="W241" t="s">
        <v>135</v>
      </c>
      <c r="X241">
        <v>1</v>
      </c>
      <c r="AC241" t="s">
        <v>143</v>
      </c>
      <c r="AE241" t="s">
        <v>137</v>
      </c>
    </row>
    <row r="242" spans="1:78" x14ac:dyDescent="0.2">
      <c r="A242" t="s">
        <v>119</v>
      </c>
      <c r="B242" t="s">
        <v>120</v>
      </c>
      <c r="C242" t="s">
        <v>752</v>
      </c>
      <c r="D242">
        <v>8</v>
      </c>
      <c r="E242" t="s">
        <v>754</v>
      </c>
      <c r="F242" t="s">
        <v>186</v>
      </c>
      <c r="G242" t="s">
        <v>124</v>
      </c>
      <c r="H242" t="s">
        <v>125</v>
      </c>
      <c r="I242">
        <v>6</v>
      </c>
      <c r="J242" t="s">
        <v>367</v>
      </c>
      <c r="K242" t="s">
        <v>125</v>
      </c>
      <c r="L242" t="s">
        <v>755</v>
      </c>
      <c r="U242" t="s">
        <v>309</v>
      </c>
      <c r="W242" t="s">
        <v>135</v>
      </c>
      <c r="X242">
        <v>3</v>
      </c>
      <c r="AC242" t="s">
        <v>136</v>
      </c>
      <c r="AE242" t="s">
        <v>137</v>
      </c>
    </row>
    <row r="243" spans="1:78" x14ac:dyDescent="0.2">
      <c r="A243" t="s">
        <v>119</v>
      </c>
      <c r="B243" t="s">
        <v>120</v>
      </c>
      <c r="C243" t="s">
        <v>752</v>
      </c>
      <c r="D243">
        <v>14</v>
      </c>
      <c r="E243" t="s">
        <v>490</v>
      </c>
      <c r="F243" t="s">
        <v>283</v>
      </c>
      <c r="G243" t="s">
        <v>124</v>
      </c>
      <c r="H243" t="s">
        <v>125</v>
      </c>
      <c r="I243">
        <v>10</v>
      </c>
      <c r="J243" t="s">
        <v>170</v>
      </c>
      <c r="K243" t="s">
        <v>125</v>
      </c>
      <c r="L243" t="s">
        <v>756</v>
      </c>
      <c r="U243" t="s">
        <v>149</v>
      </c>
      <c r="W243" t="s">
        <v>135</v>
      </c>
      <c r="X243">
        <v>2</v>
      </c>
      <c r="AC243" t="s">
        <v>136</v>
      </c>
      <c r="AE243" t="s">
        <v>137</v>
      </c>
    </row>
    <row r="244" spans="1:78" x14ac:dyDescent="0.2">
      <c r="A244" t="s">
        <v>119</v>
      </c>
      <c r="B244" t="s">
        <v>120</v>
      </c>
      <c r="C244" t="s">
        <v>757</v>
      </c>
      <c r="D244">
        <v>4</v>
      </c>
      <c r="E244" t="s">
        <v>360</v>
      </c>
      <c r="F244" t="s">
        <v>361</v>
      </c>
      <c r="G244" t="s">
        <v>124</v>
      </c>
      <c r="H244" t="s">
        <v>125</v>
      </c>
      <c r="I244">
        <v>0</v>
      </c>
      <c r="J244" t="s">
        <v>126</v>
      </c>
      <c r="K244" t="s">
        <v>125</v>
      </c>
      <c r="L244" t="s">
        <v>758</v>
      </c>
      <c r="U244" t="s">
        <v>309</v>
      </c>
      <c r="W244" t="s">
        <v>135</v>
      </c>
      <c r="X244">
        <v>3</v>
      </c>
      <c r="AC244" t="s">
        <v>136</v>
      </c>
      <c r="AE244" t="s">
        <v>137</v>
      </c>
    </row>
    <row r="245" spans="1:78" hidden="1" x14ac:dyDescent="0.2">
      <c r="A245" t="s">
        <v>119</v>
      </c>
      <c r="B245" t="s">
        <v>120</v>
      </c>
      <c r="C245" t="s">
        <v>757</v>
      </c>
      <c r="D245">
        <v>10</v>
      </c>
      <c r="E245" t="s">
        <v>261</v>
      </c>
      <c r="F245" t="s">
        <v>261</v>
      </c>
      <c r="G245" t="s">
        <v>124</v>
      </c>
      <c r="H245" t="s">
        <v>125</v>
      </c>
      <c r="I245">
        <v>16</v>
      </c>
      <c r="J245" t="s">
        <v>182</v>
      </c>
      <c r="K245" t="s">
        <v>125</v>
      </c>
      <c r="L245" t="s">
        <v>759</v>
      </c>
      <c r="AE245" t="s">
        <v>128</v>
      </c>
    </row>
    <row r="246" spans="1:78" x14ac:dyDescent="0.2">
      <c r="A246" t="s">
        <v>119</v>
      </c>
      <c r="B246" t="s">
        <v>120</v>
      </c>
      <c r="C246" t="s">
        <v>757</v>
      </c>
      <c r="D246">
        <v>16</v>
      </c>
      <c r="E246" t="s">
        <v>145</v>
      </c>
      <c r="F246" t="s">
        <v>146</v>
      </c>
      <c r="G246" t="s">
        <v>124</v>
      </c>
      <c r="H246" t="s">
        <v>125</v>
      </c>
      <c r="I246">
        <v>4</v>
      </c>
      <c r="J246" t="s">
        <v>199</v>
      </c>
      <c r="K246" t="s">
        <v>125</v>
      </c>
      <c r="L246" t="s">
        <v>760</v>
      </c>
      <c r="U246" t="s">
        <v>149</v>
      </c>
      <c r="W246" t="s">
        <v>135</v>
      </c>
      <c r="X246">
        <v>3</v>
      </c>
      <c r="AC246" t="s">
        <v>136</v>
      </c>
      <c r="AE246" t="s">
        <v>137</v>
      </c>
    </row>
    <row r="247" spans="1:78" hidden="1" x14ac:dyDescent="0.2">
      <c r="A247" t="s">
        <v>119</v>
      </c>
      <c r="B247" t="s">
        <v>120</v>
      </c>
      <c r="C247" t="s">
        <v>757</v>
      </c>
      <c r="D247">
        <v>22</v>
      </c>
      <c r="E247" t="s">
        <v>761</v>
      </c>
      <c r="F247" t="s">
        <v>762</v>
      </c>
      <c r="G247" t="s">
        <v>124</v>
      </c>
      <c r="H247" t="s">
        <v>125</v>
      </c>
      <c r="I247">
        <v>18</v>
      </c>
      <c r="J247" t="s">
        <v>170</v>
      </c>
      <c r="K247" t="s">
        <v>125</v>
      </c>
      <c r="L247" t="s">
        <v>763</v>
      </c>
      <c r="T247" t="s">
        <v>154</v>
      </c>
      <c r="W247" t="s">
        <v>135</v>
      </c>
      <c r="AC247" t="s">
        <v>143</v>
      </c>
      <c r="AE247" t="s">
        <v>144</v>
      </c>
      <c r="AG247">
        <v>21</v>
      </c>
      <c r="AH247" t="s">
        <v>204</v>
      </c>
      <c r="AI247" t="s">
        <v>205</v>
      </c>
      <c r="AJ247" t="s">
        <v>131</v>
      </c>
      <c r="AK247" t="s">
        <v>125</v>
      </c>
      <c r="AL247">
        <v>22</v>
      </c>
      <c r="AM247" t="s">
        <v>132</v>
      </c>
      <c r="AN247" t="s">
        <v>125</v>
      </c>
      <c r="AO247" t="s">
        <v>764</v>
      </c>
      <c r="BP247" t="s">
        <v>149</v>
      </c>
      <c r="BR247" t="s">
        <v>135</v>
      </c>
      <c r="BS247">
        <v>1</v>
      </c>
      <c r="BX247" t="s">
        <v>136</v>
      </c>
      <c r="BZ247" t="s">
        <v>137</v>
      </c>
    </row>
    <row r="248" spans="1:78" x14ac:dyDescent="0.2">
      <c r="A248" t="s">
        <v>119</v>
      </c>
      <c r="B248" t="s">
        <v>120</v>
      </c>
      <c r="C248" t="s">
        <v>757</v>
      </c>
      <c r="D248">
        <v>28</v>
      </c>
      <c r="E248" t="s">
        <v>349</v>
      </c>
      <c r="F248" t="s">
        <v>350</v>
      </c>
      <c r="G248" t="s">
        <v>124</v>
      </c>
      <c r="H248" t="s">
        <v>125</v>
      </c>
      <c r="I248">
        <v>35</v>
      </c>
      <c r="J248" t="s">
        <v>268</v>
      </c>
      <c r="K248" t="s">
        <v>125</v>
      </c>
      <c r="L248" t="s">
        <v>765</v>
      </c>
      <c r="U248" t="s">
        <v>209</v>
      </c>
      <c r="W248" t="s">
        <v>135</v>
      </c>
      <c r="X248">
        <v>2</v>
      </c>
      <c r="AC248" t="s">
        <v>136</v>
      </c>
      <c r="AE248" t="s">
        <v>137</v>
      </c>
    </row>
    <row r="249" spans="1:78" x14ac:dyDescent="0.2">
      <c r="A249" t="s">
        <v>119</v>
      </c>
      <c r="B249" t="s">
        <v>120</v>
      </c>
      <c r="C249" t="s">
        <v>757</v>
      </c>
      <c r="D249">
        <v>35</v>
      </c>
      <c r="E249" t="s">
        <v>754</v>
      </c>
      <c r="F249" t="s">
        <v>186</v>
      </c>
      <c r="G249" t="s">
        <v>124</v>
      </c>
      <c r="H249" t="s">
        <v>125</v>
      </c>
      <c r="I249">
        <v>16</v>
      </c>
      <c r="J249" t="s">
        <v>161</v>
      </c>
      <c r="K249" t="s">
        <v>125</v>
      </c>
      <c r="L249" t="s">
        <v>766</v>
      </c>
      <c r="U249" t="s">
        <v>309</v>
      </c>
      <c r="W249" t="s">
        <v>135</v>
      </c>
      <c r="X249">
        <v>3</v>
      </c>
      <c r="AC249" t="s">
        <v>136</v>
      </c>
      <c r="AE249" t="s">
        <v>137</v>
      </c>
    </row>
    <row r="250" spans="1:78" x14ac:dyDescent="0.2">
      <c r="A250" t="s">
        <v>119</v>
      </c>
      <c r="B250" t="s">
        <v>120</v>
      </c>
      <c r="C250" t="s">
        <v>767</v>
      </c>
      <c r="D250">
        <v>3</v>
      </c>
      <c r="E250" t="s">
        <v>546</v>
      </c>
      <c r="F250" t="s">
        <v>283</v>
      </c>
      <c r="G250" t="s">
        <v>124</v>
      </c>
      <c r="H250" t="s">
        <v>125</v>
      </c>
      <c r="I250">
        <v>0</v>
      </c>
      <c r="J250" t="s">
        <v>126</v>
      </c>
      <c r="K250" t="s">
        <v>125</v>
      </c>
      <c r="L250" t="s">
        <v>768</v>
      </c>
      <c r="U250" t="s">
        <v>149</v>
      </c>
      <c r="W250" t="s">
        <v>135</v>
      </c>
      <c r="X250">
        <v>3</v>
      </c>
      <c r="AC250" t="s">
        <v>136</v>
      </c>
      <c r="AE250" t="s">
        <v>137</v>
      </c>
    </row>
    <row r="251" spans="1:78" x14ac:dyDescent="0.2">
      <c r="A251" t="s">
        <v>119</v>
      </c>
      <c r="B251" t="s">
        <v>120</v>
      </c>
      <c r="C251" t="s">
        <v>769</v>
      </c>
      <c r="D251">
        <v>7</v>
      </c>
      <c r="E251" t="s">
        <v>185</v>
      </c>
      <c r="F251" t="s">
        <v>186</v>
      </c>
      <c r="G251" t="s">
        <v>124</v>
      </c>
      <c r="H251" t="s">
        <v>125</v>
      </c>
      <c r="I251">
        <v>4</v>
      </c>
      <c r="J251" t="s">
        <v>199</v>
      </c>
      <c r="K251" t="s">
        <v>125</v>
      </c>
      <c r="L251" t="s">
        <v>770</v>
      </c>
      <c r="U251" t="s">
        <v>149</v>
      </c>
      <c r="W251" t="s">
        <v>135</v>
      </c>
      <c r="X251">
        <v>3</v>
      </c>
      <c r="AC251" t="s">
        <v>136</v>
      </c>
      <c r="AE251" t="s">
        <v>137</v>
      </c>
    </row>
    <row r="252" spans="1:78" x14ac:dyDescent="0.2">
      <c r="A252" t="s">
        <v>119</v>
      </c>
      <c r="B252" t="s">
        <v>120</v>
      </c>
      <c r="C252" t="s">
        <v>769</v>
      </c>
      <c r="D252">
        <v>16</v>
      </c>
      <c r="E252" t="s">
        <v>197</v>
      </c>
      <c r="F252" t="s">
        <v>198</v>
      </c>
      <c r="G252" t="s">
        <v>124</v>
      </c>
      <c r="H252" t="s">
        <v>125</v>
      </c>
      <c r="I252">
        <v>14</v>
      </c>
      <c r="J252" t="s">
        <v>199</v>
      </c>
      <c r="K252" t="s">
        <v>125</v>
      </c>
      <c r="L252" t="s">
        <v>771</v>
      </c>
      <c r="U252" t="s">
        <v>149</v>
      </c>
      <c r="W252" t="s">
        <v>135</v>
      </c>
      <c r="X252">
        <v>1</v>
      </c>
      <c r="AC252" t="s">
        <v>136</v>
      </c>
      <c r="AE252" t="s">
        <v>137</v>
      </c>
    </row>
    <row r="253" spans="1:78" x14ac:dyDescent="0.2">
      <c r="A253" t="s">
        <v>119</v>
      </c>
      <c r="B253" t="s">
        <v>120</v>
      </c>
      <c r="C253" t="s">
        <v>769</v>
      </c>
      <c r="D253">
        <v>19</v>
      </c>
      <c r="E253" t="s">
        <v>772</v>
      </c>
      <c r="F253" t="s">
        <v>773</v>
      </c>
      <c r="G253" t="s">
        <v>124</v>
      </c>
      <c r="H253" t="s">
        <v>125</v>
      </c>
      <c r="I253">
        <v>16</v>
      </c>
      <c r="J253" t="s">
        <v>264</v>
      </c>
      <c r="K253" t="s">
        <v>125</v>
      </c>
      <c r="L253" t="s">
        <v>774</v>
      </c>
      <c r="U253" t="s">
        <v>309</v>
      </c>
      <c r="W253" t="s">
        <v>135</v>
      </c>
      <c r="X253">
        <v>3</v>
      </c>
      <c r="AC253" t="s">
        <v>136</v>
      </c>
      <c r="AE253" t="s">
        <v>137</v>
      </c>
    </row>
    <row r="254" spans="1:78" hidden="1" x14ac:dyDescent="0.2">
      <c r="A254" t="s">
        <v>119</v>
      </c>
      <c r="B254" t="s">
        <v>120</v>
      </c>
      <c r="C254" t="s">
        <v>775</v>
      </c>
      <c r="D254">
        <v>6</v>
      </c>
      <c r="E254" t="s">
        <v>776</v>
      </c>
      <c r="F254" t="s">
        <v>777</v>
      </c>
      <c r="G254" t="s">
        <v>124</v>
      </c>
      <c r="H254" t="s">
        <v>125</v>
      </c>
      <c r="I254">
        <v>4</v>
      </c>
      <c r="J254" t="s">
        <v>199</v>
      </c>
      <c r="K254" t="s">
        <v>125</v>
      </c>
      <c r="L254" t="s">
        <v>778</v>
      </c>
      <c r="T254" t="s">
        <v>154</v>
      </c>
      <c r="W254" t="s">
        <v>135</v>
      </c>
      <c r="AC254" t="s">
        <v>143</v>
      </c>
      <c r="AE254" t="s">
        <v>144</v>
      </c>
      <c r="AG254">
        <v>5</v>
      </c>
      <c r="AH254" t="s">
        <v>145</v>
      </c>
      <c r="AI254" t="s">
        <v>146</v>
      </c>
      <c r="AJ254" t="s">
        <v>131</v>
      </c>
      <c r="AK254" t="s">
        <v>125</v>
      </c>
      <c r="AL254">
        <v>6</v>
      </c>
      <c r="AM254" t="s">
        <v>132</v>
      </c>
      <c r="AN254" t="s">
        <v>125</v>
      </c>
      <c r="AO254" t="s">
        <v>779</v>
      </c>
      <c r="BP254" t="s">
        <v>149</v>
      </c>
      <c r="BR254" t="s">
        <v>135</v>
      </c>
      <c r="BS254">
        <v>3</v>
      </c>
      <c r="BX254" t="s">
        <v>136</v>
      </c>
      <c r="BZ254" t="s">
        <v>137</v>
      </c>
    </row>
    <row r="255" spans="1:78" x14ac:dyDescent="0.2">
      <c r="A255" t="s">
        <v>119</v>
      </c>
      <c r="B255" t="s">
        <v>120</v>
      </c>
      <c r="C255" t="s">
        <v>775</v>
      </c>
      <c r="D255">
        <v>18</v>
      </c>
      <c r="E255" t="s">
        <v>780</v>
      </c>
      <c r="F255" t="s">
        <v>242</v>
      </c>
      <c r="G255" t="s">
        <v>124</v>
      </c>
      <c r="H255" t="s">
        <v>125</v>
      </c>
      <c r="I255">
        <v>15</v>
      </c>
      <c r="J255" t="s">
        <v>161</v>
      </c>
      <c r="K255" t="s">
        <v>125</v>
      </c>
      <c r="L255" t="s">
        <v>781</v>
      </c>
      <c r="U255" t="s">
        <v>149</v>
      </c>
      <c r="W255" t="s">
        <v>155</v>
      </c>
      <c r="X255">
        <v>3</v>
      </c>
      <c r="AC255" t="s">
        <v>136</v>
      </c>
      <c r="AE255" t="s">
        <v>137</v>
      </c>
    </row>
    <row r="256" spans="1:78" x14ac:dyDescent="0.2">
      <c r="A256" t="s">
        <v>119</v>
      </c>
      <c r="B256" t="s">
        <v>120</v>
      </c>
      <c r="C256" t="s">
        <v>775</v>
      </c>
      <c r="D256">
        <v>26</v>
      </c>
      <c r="E256" t="s">
        <v>160</v>
      </c>
      <c r="F256" t="s">
        <v>146</v>
      </c>
      <c r="G256" t="s">
        <v>124</v>
      </c>
      <c r="H256" t="s">
        <v>125</v>
      </c>
      <c r="I256">
        <v>18</v>
      </c>
      <c r="J256" t="s">
        <v>199</v>
      </c>
      <c r="K256" t="s">
        <v>125</v>
      </c>
      <c r="L256" t="s">
        <v>782</v>
      </c>
      <c r="U256" t="s">
        <v>149</v>
      </c>
      <c r="W256" t="s">
        <v>155</v>
      </c>
      <c r="X256">
        <v>3</v>
      </c>
      <c r="AC256" t="s">
        <v>136</v>
      </c>
      <c r="AE256" t="s">
        <v>137</v>
      </c>
    </row>
    <row r="257" spans="1:78" x14ac:dyDescent="0.2">
      <c r="A257" t="s">
        <v>119</v>
      </c>
      <c r="B257" t="s">
        <v>120</v>
      </c>
      <c r="C257" t="s">
        <v>783</v>
      </c>
      <c r="D257">
        <v>5</v>
      </c>
      <c r="E257" t="s">
        <v>349</v>
      </c>
      <c r="F257" t="s">
        <v>350</v>
      </c>
      <c r="G257" t="s">
        <v>124</v>
      </c>
      <c r="H257" t="s">
        <v>125</v>
      </c>
      <c r="I257">
        <v>16</v>
      </c>
      <c r="J257" t="s">
        <v>268</v>
      </c>
      <c r="K257" t="s">
        <v>125</v>
      </c>
      <c r="L257" t="s">
        <v>784</v>
      </c>
      <c r="U257" t="s">
        <v>209</v>
      </c>
      <c r="W257" t="s">
        <v>135</v>
      </c>
      <c r="X257">
        <v>2</v>
      </c>
      <c r="AC257" t="s">
        <v>136</v>
      </c>
      <c r="AE257" t="s">
        <v>137</v>
      </c>
    </row>
    <row r="258" spans="1:78" x14ac:dyDescent="0.2">
      <c r="A258" t="s">
        <v>119</v>
      </c>
      <c r="B258" t="s">
        <v>120</v>
      </c>
      <c r="C258" t="s">
        <v>783</v>
      </c>
      <c r="D258">
        <v>18</v>
      </c>
      <c r="E258" t="s">
        <v>754</v>
      </c>
      <c r="F258" t="s">
        <v>186</v>
      </c>
      <c r="G258" t="s">
        <v>124</v>
      </c>
      <c r="H258" t="s">
        <v>125</v>
      </c>
      <c r="I258">
        <v>16</v>
      </c>
      <c r="J258" t="s">
        <v>264</v>
      </c>
      <c r="K258" t="s">
        <v>125</v>
      </c>
      <c r="L258" t="s">
        <v>785</v>
      </c>
      <c r="U258" t="s">
        <v>309</v>
      </c>
      <c r="W258" t="s">
        <v>135</v>
      </c>
      <c r="X258">
        <v>3</v>
      </c>
      <c r="AC258" t="s">
        <v>136</v>
      </c>
      <c r="AE258" t="s">
        <v>137</v>
      </c>
    </row>
    <row r="259" spans="1:78" x14ac:dyDescent="0.2">
      <c r="A259" t="s">
        <v>119</v>
      </c>
      <c r="B259" t="s">
        <v>120</v>
      </c>
      <c r="C259" t="s">
        <v>786</v>
      </c>
      <c r="D259">
        <v>1</v>
      </c>
      <c r="E259" t="s">
        <v>490</v>
      </c>
      <c r="F259" t="s">
        <v>283</v>
      </c>
      <c r="G259" t="s">
        <v>124</v>
      </c>
      <c r="H259" t="s">
        <v>125</v>
      </c>
      <c r="I259">
        <v>0</v>
      </c>
      <c r="J259" t="s">
        <v>126</v>
      </c>
      <c r="K259" t="s">
        <v>125</v>
      </c>
      <c r="L259" t="s">
        <v>787</v>
      </c>
      <c r="U259" t="s">
        <v>149</v>
      </c>
      <c r="W259" t="s">
        <v>135</v>
      </c>
      <c r="X259">
        <v>2</v>
      </c>
      <c r="AC259" t="s">
        <v>136</v>
      </c>
      <c r="AE259" t="s">
        <v>137</v>
      </c>
    </row>
    <row r="260" spans="1:78" hidden="1" x14ac:dyDescent="0.2">
      <c r="A260" t="s">
        <v>119</v>
      </c>
      <c r="B260" t="s">
        <v>120</v>
      </c>
      <c r="C260" t="s">
        <v>788</v>
      </c>
      <c r="D260">
        <v>5</v>
      </c>
      <c r="E260" t="s">
        <v>789</v>
      </c>
      <c r="F260" t="s">
        <v>424</v>
      </c>
      <c r="G260" t="s">
        <v>124</v>
      </c>
      <c r="H260" t="s">
        <v>125</v>
      </c>
      <c r="I260">
        <v>10</v>
      </c>
      <c r="J260" t="s">
        <v>268</v>
      </c>
      <c r="K260" t="s">
        <v>125</v>
      </c>
      <c r="L260" t="s">
        <v>790</v>
      </c>
      <c r="AE260" t="s">
        <v>394</v>
      </c>
    </row>
    <row r="261" spans="1:78" x14ac:dyDescent="0.2">
      <c r="A261" t="s">
        <v>119</v>
      </c>
      <c r="B261" t="s">
        <v>120</v>
      </c>
      <c r="C261" t="s">
        <v>788</v>
      </c>
      <c r="D261">
        <v>14</v>
      </c>
      <c r="E261" t="s">
        <v>791</v>
      </c>
      <c r="F261" t="s">
        <v>494</v>
      </c>
      <c r="G261" t="s">
        <v>124</v>
      </c>
      <c r="H261" t="s">
        <v>125</v>
      </c>
      <c r="I261">
        <v>10</v>
      </c>
      <c r="J261" t="s">
        <v>161</v>
      </c>
      <c r="K261" t="s">
        <v>125</v>
      </c>
      <c r="L261" t="s">
        <v>792</v>
      </c>
      <c r="U261" t="s">
        <v>149</v>
      </c>
      <c r="W261" t="s">
        <v>135</v>
      </c>
      <c r="X261">
        <v>3</v>
      </c>
      <c r="AC261" t="s">
        <v>136</v>
      </c>
      <c r="AE261" t="s">
        <v>137</v>
      </c>
    </row>
    <row r="262" spans="1:78" x14ac:dyDescent="0.2">
      <c r="A262" t="s">
        <v>119</v>
      </c>
      <c r="B262" t="s">
        <v>120</v>
      </c>
      <c r="C262" t="s">
        <v>793</v>
      </c>
      <c r="D262">
        <v>5</v>
      </c>
      <c r="E262" t="s">
        <v>794</v>
      </c>
      <c r="F262" t="s">
        <v>169</v>
      </c>
      <c r="G262" t="s">
        <v>124</v>
      </c>
      <c r="H262" t="s">
        <v>125</v>
      </c>
      <c r="I262">
        <v>2</v>
      </c>
      <c r="J262" t="s">
        <v>170</v>
      </c>
      <c r="K262" t="s">
        <v>125</v>
      </c>
      <c r="L262" t="s">
        <v>795</v>
      </c>
      <c r="U262" t="s">
        <v>149</v>
      </c>
      <c r="W262" t="s">
        <v>135</v>
      </c>
      <c r="X262">
        <v>3</v>
      </c>
      <c r="AC262" t="s">
        <v>136</v>
      </c>
      <c r="AE262" t="s">
        <v>137</v>
      </c>
    </row>
    <row r="263" spans="1:78" x14ac:dyDescent="0.2">
      <c r="A263" t="s">
        <v>119</v>
      </c>
      <c r="B263" t="s">
        <v>120</v>
      </c>
      <c r="C263" t="s">
        <v>796</v>
      </c>
      <c r="D263">
        <v>6</v>
      </c>
      <c r="E263" t="s">
        <v>797</v>
      </c>
      <c r="F263" t="s">
        <v>632</v>
      </c>
      <c r="G263" t="s">
        <v>124</v>
      </c>
      <c r="H263" t="s">
        <v>125</v>
      </c>
      <c r="I263">
        <v>4</v>
      </c>
      <c r="J263" t="s">
        <v>199</v>
      </c>
      <c r="K263" t="s">
        <v>125</v>
      </c>
      <c r="L263" t="s">
        <v>798</v>
      </c>
      <c r="U263" t="s">
        <v>149</v>
      </c>
      <c r="W263" t="s">
        <v>135</v>
      </c>
      <c r="X263">
        <v>2</v>
      </c>
      <c r="AC263" t="s">
        <v>136</v>
      </c>
      <c r="AE263" t="s">
        <v>137</v>
      </c>
    </row>
    <row r="264" spans="1:78" x14ac:dyDescent="0.2">
      <c r="A264" t="s">
        <v>119</v>
      </c>
      <c r="B264" t="s">
        <v>120</v>
      </c>
      <c r="C264" t="s">
        <v>796</v>
      </c>
      <c r="D264">
        <v>8</v>
      </c>
      <c r="E264" t="s">
        <v>472</v>
      </c>
      <c r="F264" t="s">
        <v>202</v>
      </c>
      <c r="G264" t="s">
        <v>124</v>
      </c>
      <c r="H264" t="s">
        <v>125</v>
      </c>
      <c r="I264">
        <v>4</v>
      </c>
      <c r="J264" t="s">
        <v>199</v>
      </c>
      <c r="K264" t="s">
        <v>125</v>
      </c>
      <c r="L264" t="s">
        <v>799</v>
      </c>
      <c r="U264" t="s">
        <v>149</v>
      </c>
      <c r="W264" t="s">
        <v>135</v>
      </c>
      <c r="X264">
        <v>2</v>
      </c>
      <c r="AC264" t="s">
        <v>136</v>
      </c>
      <c r="AE264" t="s">
        <v>137</v>
      </c>
    </row>
    <row r="265" spans="1:78" x14ac:dyDescent="0.2">
      <c r="A265" t="s">
        <v>119</v>
      </c>
      <c r="B265" t="s">
        <v>120</v>
      </c>
      <c r="C265" t="s">
        <v>800</v>
      </c>
      <c r="D265">
        <v>3</v>
      </c>
      <c r="E265" t="s">
        <v>801</v>
      </c>
      <c r="F265" t="s">
        <v>667</v>
      </c>
      <c r="G265" t="s">
        <v>124</v>
      </c>
      <c r="H265" t="s">
        <v>125</v>
      </c>
      <c r="I265">
        <v>8</v>
      </c>
      <c r="J265" t="s">
        <v>268</v>
      </c>
      <c r="K265" t="s">
        <v>125</v>
      </c>
      <c r="L265" t="s">
        <v>802</v>
      </c>
      <c r="U265" t="s">
        <v>149</v>
      </c>
      <c r="W265" t="s">
        <v>135</v>
      </c>
      <c r="X265">
        <v>2</v>
      </c>
      <c r="AC265" t="s">
        <v>136</v>
      </c>
      <c r="AE265" t="s">
        <v>137</v>
      </c>
    </row>
    <row r="266" spans="1:78" hidden="1" x14ac:dyDescent="0.2">
      <c r="A266" t="s">
        <v>119</v>
      </c>
      <c r="B266" t="s">
        <v>120</v>
      </c>
      <c r="C266" t="s">
        <v>800</v>
      </c>
      <c r="D266">
        <v>8</v>
      </c>
      <c r="E266" t="s">
        <v>360</v>
      </c>
      <c r="F266" t="s">
        <v>361</v>
      </c>
      <c r="G266" t="s">
        <v>124</v>
      </c>
      <c r="H266" t="s">
        <v>125</v>
      </c>
      <c r="I266">
        <v>0</v>
      </c>
      <c r="J266" t="s">
        <v>126</v>
      </c>
      <c r="K266" t="s">
        <v>125</v>
      </c>
      <c r="L266" t="s">
        <v>803</v>
      </c>
      <c r="T266" t="s">
        <v>154</v>
      </c>
      <c r="W266" t="s">
        <v>155</v>
      </c>
      <c r="AC266" t="s">
        <v>143</v>
      </c>
      <c r="AE266" t="s">
        <v>144</v>
      </c>
    </row>
    <row r="267" spans="1:78" x14ac:dyDescent="0.2">
      <c r="A267" t="s">
        <v>119</v>
      </c>
      <c r="B267" t="s">
        <v>120</v>
      </c>
      <c r="C267" t="s">
        <v>804</v>
      </c>
      <c r="D267">
        <v>3</v>
      </c>
      <c r="E267" t="s">
        <v>805</v>
      </c>
      <c r="F267" t="s">
        <v>257</v>
      </c>
      <c r="G267" t="s">
        <v>124</v>
      </c>
      <c r="H267" t="s">
        <v>125</v>
      </c>
      <c r="I267">
        <v>0</v>
      </c>
      <c r="J267" t="s">
        <v>126</v>
      </c>
      <c r="K267" t="s">
        <v>125</v>
      </c>
      <c r="L267" t="s">
        <v>806</v>
      </c>
      <c r="U267" t="s">
        <v>149</v>
      </c>
      <c r="W267" t="s">
        <v>135</v>
      </c>
      <c r="X267">
        <v>1</v>
      </c>
      <c r="AC267" t="s">
        <v>136</v>
      </c>
      <c r="AE267" t="s">
        <v>137</v>
      </c>
    </row>
    <row r="268" spans="1:78" x14ac:dyDescent="0.2">
      <c r="A268" t="s">
        <v>119</v>
      </c>
      <c r="B268" t="s">
        <v>120</v>
      </c>
      <c r="C268" t="s">
        <v>804</v>
      </c>
      <c r="D268">
        <v>9</v>
      </c>
      <c r="E268" t="s">
        <v>807</v>
      </c>
      <c r="F268" t="s">
        <v>169</v>
      </c>
      <c r="G268" t="s">
        <v>124</v>
      </c>
      <c r="H268" t="s">
        <v>125</v>
      </c>
      <c r="I268">
        <v>5</v>
      </c>
      <c r="J268" t="s">
        <v>170</v>
      </c>
      <c r="K268" t="s">
        <v>125</v>
      </c>
      <c r="L268" t="s">
        <v>808</v>
      </c>
      <c r="U268" t="s">
        <v>149</v>
      </c>
      <c r="W268" t="s">
        <v>155</v>
      </c>
      <c r="X268">
        <v>3</v>
      </c>
      <c r="AC268" t="s">
        <v>136</v>
      </c>
      <c r="AE268" t="s">
        <v>137</v>
      </c>
    </row>
    <row r="269" spans="1:78" hidden="1" x14ac:dyDescent="0.2">
      <c r="A269" t="s">
        <v>119</v>
      </c>
      <c r="B269" t="s">
        <v>120</v>
      </c>
      <c r="C269" t="s">
        <v>809</v>
      </c>
      <c r="D269">
        <v>5</v>
      </c>
      <c r="E269" t="s">
        <v>810</v>
      </c>
      <c r="F269" t="s">
        <v>811</v>
      </c>
      <c r="G269" t="s">
        <v>124</v>
      </c>
      <c r="H269" t="s">
        <v>125</v>
      </c>
      <c r="I269">
        <v>0</v>
      </c>
      <c r="J269" t="s">
        <v>126</v>
      </c>
      <c r="K269" t="s">
        <v>125</v>
      </c>
      <c r="L269" t="s">
        <v>812</v>
      </c>
      <c r="T269" t="s">
        <v>142</v>
      </c>
      <c r="W269" t="s">
        <v>155</v>
      </c>
      <c r="AC269" t="s">
        <v>143</v>
      </c>
      <c r="AE269" t="s">
        <v>144</v>
      </c>
      <c r="AG269">
        <v>4</v>
      </c>
      <c r="AH269" t="s">
        <v>235</v>
      </c>
      <c r="AI269" t="s">
        <v>146</v>
      </c>
      <c r="AJ269" t="s">
        <v>131</v>
      </c>
      <c r="AK269" t="s">
        <v>125</v>
      </c>
      <c r="AL269">
        <v>5</v>
      </c>
      <c r="AM269" t="s">
        <v>132</v>
      </c>
      <c r="AN269" t="s">
        <v>125</v>
      </c>
      <c r="AO269" t="s">
        <v>813</v>
      </c>
      <c r="BP269" t="s">
        <v>149</v>
      </c>
      <c r="BR269" t="s">
        <v>155</v>
      </c>
      <c r="BS269">
        <v>3</v>
      </c>
      <c r="BX269" t="s">
        <v>136</v>
      </c>
      <c r="BZ269" t="s">
        <v>137</v>
      </c>
    </row>
    <row r="270" spans="1:78" x14ac:dyDescent="0.2">
      <c r="A270" t="s">
        <v>119</v>
      </c>
      <c r="B270" t="s">
        <v>120</v>
      </c>
      <c r="C270" t="s">
        <v>814</v>
      </c>
      <c r="D270">
        <v>5</v>
      </c>
      <c r="E270" t="s">
        <v>197</v>
      </c>
      <c r="F270" t="s">
        <v>198</v>
      </c>
      <c r="G270" t="s">
        <v>124</v>
      </c>
      <c r="H270" t="s">
        <v>125</v>
      </c>
      <c r="I270">
        <v>15</v>
      </c>
      <c r="J270" t="s">
        <v>264</v>
      </c>
      <c r="K270" t="s">
        <v>125</v>
      </c>
      <c r="L270" t="s">
        <v>815</v>
      </c>
      <c r="U270" t="s">
        <v>149</v>
      </c>
      <c r="W270" t="s">
        <v>135</v>
      </c>
      <c r="X270">
        <v>1</v>
      </c>
      <c r="AC270" t="s">
        <v>136</v>
      </c>
      <c r="AE270" t="s">
        <v>137</v>
      </c>
    </row>
    <row r="271" spans="1:78" hidden="1" x14ac:dyDescent="0.2">
      <c r="A271" t="s">
        <v>119</v>
      </c>
      <c r="B271" t="s">
        <v>120</v>
      </c>
      <c r="C271" t="s">
        <v>814</v>
      </c>
      <c r="D271">
        <v>16</v>
      </c>
      <c r="E271" t="s">
        <v>158</v>
      </c>
      <c r="F271" t="s">
        <v>158</v>
      </c>
      <c r="G271" t="s">
        <v>124</v>
      </c>
      <c r="H271" t="s">
        <v>125</v>
      </c>
      <c r="I271">
        <v>15</v>
      </c>
      <c r="J271" t="s">
        <v>294</v>
      </c>
      <c r="K271" t="s">
        <v>125</v>
      </c>
      <c r="L271" t="s">
        <v>816</v>
      </c>
      <c r="AE271" t="s">
        <v>128</v>
      </c>
    </row>
    <row r="272" spans="1:78" x14ac:dyDescent="0.2">
      <c r="A272" t="s">
        <v>119</v>
      </c>
      <c r="B272" t="s">
        <v>120</v>
      </c>
      <c r="C272" t="s">
        <v>817</v>
      </c>
      <c r="D272">
        <v>5</v>
      </c>
      <c r="E272" t="s">
        <v>818</v>
      </c>
      <c r="F272" t="s">
        <v>819</v>
      </c>
      <c r="G272" t="s">
        <v>124</v>
      </c>
      <c r="H272" t="s">
        <v>125</v>
      </c>
      <c r="I272">
        <v>0</v>
      </c>
      <c r="J272" t="s">
        <v>126</v>
      </c>
      <c r="K272" t="s">
        <v>125</v>
      </c>
      <c r="L272" t="s">
        <v>820</v>
      </c>
      <c r="U272" t="s">
        <v>149</v>
      </c>
      <c r="W272" t="s">
        <v>135</v>
      </c>
      <c r="X272">
        <v>3</v>
      </c>
      <c r="AC272" t="s">
        <v>136</v>
      </c>
      <c r="AE272" t="s">
        <v>137</v>
      </c>
    </row>
    <row r="273" spans="1:78" x14ac:dyDescent="0.2">
      <c r="A273" t="s">
        <v>119</v>
      </c>
      <c r="B273" t="s">
        <v>120</v>
      </c>
      <c r="C273" t="s">
        <v>821</v>
      </c>
      <c r="D273">
        <v>2</v>
      </c>
      <c r="E273" t="s">
        <v>822</v>
      </c>
      <c r="F273" t="s">
        <v>823</v>
      </c>
      <c r="G273" t="s">
        <v>124</v>
      </c>
      <c r="H273" t="s">
        <v>125</v>
      </c>
      <c r="I273">
        <v>0</v>
      </c>
      <c r="J273" t="s">
        <v>126</v>
      </c>
      <c r="K273" t="s">
        <v>125</v>
      </c>
      <c r="L273" t="s">
        <v>824</v>
      </c>
      <c r="U273" t="s">
        <v>149</v>
      </c>
      <c r="W273" t="s">
        <v>135</v>
      </c>
      <c r="X273">
        <v>3</v>
      </c>
      <c r="AC273" t="s">
        <v>136</v>
      </c>
      <c r="AE273" t="s">
        <v>137</v>
      </c>
    </row>
    <row r="274" spans="1:78" x14ac:dyDescent="0.2">
      <c r="A274" t="s">
        <v>119</v>
      </c>
      <c r="B274" t="s">
        <v>120</v>
      </c>
      <c r="C274" t="s">
        <v>821</v>
      </c>
      <c r="D274">
        <v>8</v>
      </c>
      <c r="E274" t="s">
        <v>370</v>
      </c>
      <c r="F274" t="s">
        <v>140</v>
      </c>
      <c r="G274" t="s">
        <v>124</v>
      </c>
      <c r="H274" t="s">
        <v>125</v>
      </c>
      <c r="I274">
        <v>4</v>
      </c>
      <c r="J274" t="s">
        <v>170</v>
      </c>
      <c r="K274" t="s">
        <v>125</v>
      </c>
      <c r="L274" t="s">
        <v>825</v>
      </c>
      <c r="U274" t="s">
        <v>149</v>
      </c>
      <c r="W274" t="s">
        <v>135</v>
      </c>
      <c r="X274">
        <v>3</v>
      </c>
      <c r="AC274" t="s">
        <v>136</v>
      </c>
      <c r="AE274" t="s">
        <v>137</v>
      </c>
      <c r="AG274">
        <v>7</v>
      </c>
      <c r="AH274" t="s">
        <v>826</v>
      </c>
      <c r="AI274" t="s">
        <v>667</v>
      </c>
      <c r="AJ274" t="s">
        <v>131</v>
      </c>
      <c r="AK274" t="s">
        <v>125</v>
      </c>
      <c r="AL274">
        <v>8</v>
      </c>
      <c r="AM274" t="s">
        <v>132</v>
      </c>
      <c r="AN274" t="s">
        <v>125</v>
      </c>
      <c r="AO274" t="s">
        <v>827</v>
      </c>
      <c r="BP274" t="s">
        <v>149</v>
      </c>
      <c r="BR274" t="s">
        <v>135</v>
      </c>
      <c r="BS274">
        <v>3</v>
      </c>
      <c r="BX274" t="s">
        <v>136</v>
      </c>
      <c r="BZ274" t="s">
        <v>137</v>
      </c>
    </row>
    <row r="275" spans="1:78" hidden="1" x14ac:dyDescent="0.2">
      <c r="A275" t="s">
        <v>119</v>
      </c>
      <c r="B275" t="s">
        <v>120</v>
      </c>
      <c r="C275" t="s">
        <v>821</v>
      </c>
      <c r="D275">
        <v>11</v>
      </c>
      <c r="E275" t="s">
        <v>407</v>
      </c>
      <c r="F275" t="s">
        <v>140</v>
      </c>
      <c r="G275" t="s">
        <v>124</v>
      </c>
      <c r="H275" t="s">
        <v>125</v>
      </c>
      <c r="I275">
        <v>15</v>
      </c>
      <c r="J275" t="s">
        <v>268</v>
      </c>
      <c r="K275" t="s">
        <v>125</v>
      </c>
      <c r="L275" t="s">
        <v>828</v>
      </c>
      <c r="T275" t="s">
        <v>154</v>
      </c>
      <c r="W275" t="s">
        <v>135</v>
      </c>
      <c r="AC275" t="s">
        <v>143</v>
      </c>
      <c r="AE275" t="s">
        <v>144</v>
      </c>
      <c r="AG275">
        <v>10</v>
      </c>
      <c r="AH275" t="s">
        <v>829</v>
      </c>
      <c r="AI275" t="s">
        <v>205</v>
      </c>
      <c r="AJ275" t="s">
        <v>131</v>
      </c>
      <c r="AK275" t="s">
        <v>125</v>
      </c>
      <c r="AL275">
        <v>11</v>
      </c>
      <c r="AM275" t="s">
        <v>132</v>
      </c>
      <c r="AN275" t="s">
        <v>125</v>
      </c>
      <c r="AO275" t="s">
        <v>830</v>
      </c>
      <c r="BZ275" t="s">
        <v>394</v>
      </c>
    </row>
    <row r="276" spans="1:78" x14ac:dyDescent="0.2">
      <c r="A276" t="s">
        <v>119</v>
      </c>
      <c r="B276" t="s">
        <v>120</v>
      </c>
      <c r="C276" t="s">
        <v>821</v>
      </c>
      <c r="D276">
        <v>18</v>
      </c>
      <c r="E276" t="s">
        <v>831</v>
      </c>
      <c r="F276" t="s">
        <v>832</v>
      </c>
      <c r="G276" t="s">
        <v>124</v>
      </c>
      <c r="H276" t="s">
        <v>125</v>
      </c>
      <c r="I276">
        <v>15</v>
      </c>
      <c r="J276" t="s">
        <v>264</v>
      </c>
      <c r="K276" t="s">
        <v>125</v>
      </c>
      <c r="L276" t="s">
        <v>833</v>
      </c>
      <c r="U276" t="s">
        <v>309</v>
      </c>
      <c r="W276" t="s">
        <v>135</v>
      </c>
      <c r="X276">
        <v>3</v>
      </c>
      <c r="AC276" t="s">
        <v>136</v>
      </c>
      <c r="AE276" t="s">
        <v>137</v>
      </c>
    </row>
    <row r="277" spans="1:78" x14ac:dyDescent="0.2">
      <c r="A277" t="s">
        <v>119</v>
      </c>
      <c r="B277" t="s">
        <v>120</v>
      </c>
      <c r="C277" t="s">
        <v>821</v>
      </c>
      <c r="D277">
        <v>30</v>
      </c>
      <c r="E277" t="s">
        <v>380</v>
      </c>
      <c r="F277" t="s">
        <v>146</v>
      </c>
      <c r="G277" t="s">
        <v>124</v>
      </c>
      <c r="H277" t="s">
        <v>125</v>
      </c>
      <c r="I277">
        <v>28</v>
      </c>
      <c r="J277" t="s">
        <v>170</v>
      </c>
      <c r="K277" t="s">
        <v>125</v>
      </c>
      <c r="L277" t="s">
        <v>834</v>
      </c>
      <c r="U277" t="s">
        <v>309</v>
      </c>
      <c r="W277" t="s">
        <v>135</v>
      </c>
      <c r="X277">
        <v>3</v>
      </c>
      <c r="AC277" t="s">
        <v>136</v>
      </c>
      <c r="AE277" t="s">
        <v>137</v>
      </c>
    </row>
    <row r="278" spans="1:78" x14ac:dyDescent="0.2">
      <c r="A278" t="s">
        <v>119</v>
      </c>
      <c r="B278" t="s">
        <v>120</v>
      </c>
      <c r="C278" t="s">
        <v>835</v>
      </c>
      <c r="D278">
        <v>3</v>
      </c>
      <c r="E278" t="s">
        <v>197</v>
      </c>
      <c r="F278" t="s">
        <v>198</v>
      </c>
      <c r="G278" t="s">
        <v>124</v>
      </c>
      <c r="H278" t="s">
        <v>125</v>
      </c>
      <c r="I278">
        <v>0</v>
      </c>
      <c r="J278" t="s">
        <v>126</v>
      </c>
      <c r="K278" t="s">
        <v>125</v>
      </c>
      <c r="L278" t="s">
        <v>836</v>
      </c>
      <c r="U278" t="s">
        <v>149</v>
      </c>
      <c r="W278" t="s">
        <v>135</v>
      </c>
      <c r="X278">
        <v>1</v>
      </c>
      <c r="AC278" t="s">
        <v>136</v>
      </c>
      <c r="AE278" t="s">
        <v>137</v>
      </c>
    </row>
    <row r="279" spans="1:78" x14ac:dyDescent="0.2">
      <c r="A279" t="s">
        <v>119</v>
      </c>
      <c r="B279" t="s">
        <v>120</v>
      </c>
      <c r="C279" t="s">
        <v>835</v>
      </c>
      <c r="D279">
        <v>5</v>
      </c>
      <c r="E279" t="s">
        <v>837</v>
      </c>
      <c r="F279" t="s">
        <v>169</v>
      </c>
      <c r="G279" t="s">
        <v>124</v>
      </c>
      <c r="H279" t="s">
        <v>125</v>
      </c>
      <c r="I279">
        <v>3</v>
      </c>
      <c r="J279" t="s">
        <v>264</v>
      </c>
      <c r="K279" t="s">
        <v>125</v>
      </c>
      <c r="L279" t="s">
        <v>838</v>
      </c>
      <c r="U279" t="s">
        <v>134</v>
      </c>
      <c r="W279" t="s">
        <v>135</v>
      </c>
      <c r="X279">
        <v>1</v>
      </c>
      <c r="AC279" t="s">
        <v>136</v>
      </c>
      <c r="AE279" t="s">
        <v>137</v>
      </c>
    </row>
    <row r="280" spans="1:78" x14ac:dyDescent="0.2">
      <c r="A280" t="s">
        <v>119</v>
      </c>
      <c r="B280" t="s">
        <v>120</v>
      </c>
      <c r="C280" t="s">
        <v>835</v>
      </c>
      <c r="D280">
        <v>11</v>
      </c>
      <c r="E280" t="s">
        <v>837</v>
      </c>
      <c r="F280" t="s">
        <v>169</v>
      </c>
      <c r="G280" t="s">
        <v>124</v>
      </c>
      <c r="H280" t="s">
        <v>125</v>
      </c>
      <c r="I280">
        <v>5</v>
      </c>
      <c r="J280" t="s">
        <v>161</v>
      </c>
      <c r="K280" t="s">
        <v>125</v>
      </c>
      <c r="L280" t="s">
        <v>839</v>
      </c>
      <c r="U280" t="s">
        <v>134</v>
      </c>
      <c r="W280" t="s">
        <v>135</v>
      </c>
      <c r="X280">
        <v>1</v>
      </c>
      <c r="AC280" t="s">
        <v>136</v>
      </c>
      <c r="AE280" t="s">
        <v>137</v>
      </c>
    </row>
    <row r="281" spans="1:78" hidden="1" x14ac:dyDescent="0.2">
      <c r="A281" t="s">
        <v>119</v>
      </c>
      <c r="B281" t="s">
        <v>120</v>
      </c>
      <c r="C281" t="s">
        <v>840</v>
      </c>
      <c r="D281">
        <v>4</v>
      </c>
      <c r="E281" t="s">
        <v>841</v>
      </c>
      <c r="F281" t="s">
        <v>123</v>
      </c>
      <c r="G281" t="s">
        <v>124</v>
      </c>
      <c r="H281" t="s">
        <v>125</v>
      </c>
      <c r="I281">
        <v>0</v>
      </c>
      <c r="J281" t="s">
        <v>126</v>
      </c>
      <c r="K281" t="s">
        <v>125</v>
      </c>
      <c r="L281" t="s">
        <v>842</v>
      </c>
    </row>
    <row r="282" spans="1:78" hidden="1" x14ac:dyDescent="0.2">
      <c r="A282" t="s">
        <v>119</v>
      </c>
      <c r="B282" t="s">
        <v>120</v>
      </c>
      <c r="C282" t="s">
        <v>843</v>
      </c>
      <c r="D282">
        <v>3</v>
      </c>
      <c r="E282" t="s">
        <v>169</v>
      </c>
      <c r="F282" t="s">
        <v>169</v>
      </c>
      <c r="G282" t="s">
        <v>124</v>
      </c>
      <c r="H282" t="s">
        <v>125</v>
      </c>
      <c r="I282">
        <v>0</v>
      </c>
      <c r="J282" t="s">
        <v>126</v>
      </c>
      <c r="K282" t="s">
        <v>125</v>
      </c>
      <c r="L282" t="s">
        <v>844</v>
      </c>
      <c r="AE282" t="s">
        <v>128</v>
      </c>
      <c r="AG282">
        <v>2</v>
      </c>
      <c r="AH282" t="s">
        <v>845</v>
      </c>
      <c r="AI282" t="s">
        <v>667</v>
      </c>
      <c r="AJ282" t="s">
        <v>131</v>
      </c>
      <c r="AK282" t="s">
        <v>125</v>
      </c>
      <c r="AL282">
        <v>3</v>
      </c>
      <c r="AM282" t="s">
        <v>132</v>
      </c>
      <c r="AN282" t="s">
        <v>125</v>
      </c>
      <c r="AO282" t="s">
        <v>846</v>
      </c>
      <c r="BP282" t="s">
        <v>134</v>
      </c>
      <c r="BR282" t="s">
        <v>135</v>
      </c>
      <c r="BS282">
        <v>2</v>
      </c>
      <c r="BX282" t="s">
        <v>136</v>
      </c>
      <c r="BZ282" t="s">
        <v>137</v>
      </c>
    </row>
    <row r="283" spans="1:78" x14ac:dyDescent="0.2">
      <c r="A283" t="s">
        <v>119</v>
      </c>
      <c r="B283" t="s">
        <v>120</v>
      </c>
      <c r="C283" t="s">
        <v>847</v>
      </c>
      <c r="D283">
        <v>8</v>
      </c>
      <c r="E283" t="s">
        <v>848</v>
      </c>
      <c r="F283" t="s">
        <v>849</v>
      </c>
      <c r="G283" t="s">
        <v>124</v>
      </c>
      <c r="H283" t="s">
        <v>125</v>
      </c>
      <c r="I283">
        <v>16</v>
      </c>
      <c r="J283" t="s">
        <v>268</v>
      </c>
      <c r="K283" t="s">
        <v>125</v>
      </c>
      <c r="L283" t="s">
        <v>850</v>
      </c>
      <c r="U283" t="s">
        <v>149</v>
      </c>
      <c r="W283" t="s">
        <v>135</v>
      </c>
      <c r="X283">
        <v>3</v>
      </c>
      <c r="AC283" t="s">
        <v>136</v>
      </c>
      <c r="AE283" t="s">
        <v>137</v>
      </c>
    </row>
    <row r="284" spans="1:78" x14ac:dyDescent="0.2">
      <c r="A284" t="s">
        <v>119</v>
      </c>
      <c r="B284" t="s">
        <v>120</v>
      </c>
      <c r="C284" t="s">
        <v>847</v>
      </c>
      <c r="D284">
        <v>16</v>
      </c>
      <c r="E284" t="s">
        <v>851</v>
      </c>
      <c r="F284" t="s">
        <v>458</v>
      </c>
      <c r="G284" t="s">
        <v>124</v>
      </c>
      <c r="H284" t="s">
        <v>125</v>
      </c>
      <c r="I284">
        <v>0</v>
      </c>
      <c r="J284" t="s">
        <v>126</v>
      </c>
      <c r="K284" t="s">
        <v>125</v>
      </c>
      <c r="L284" t="s">
        <v>852</v>
      </c>
      <c r="U284" t="s">
        <v>134</v>
      </c>
      <c r="W284" t="s">
        <v>135</v>
      </c>
      <c r="X284">
        <v>3</v>
      </c>
      <c r="AC284" t="s">
        <v>136</v>
      </c>
      <c r="AE284" t="s">
        <v>137</v>
      </c>
    </row>
    <row r="285" spans="1:78" hidden="1" x14ac:dyDescent="0.2">
      <c r="A285" t="s">
        <v>119</v>
      </c>
      <c r="B285" t="s">
        <v>120</v>
      </c>
      <c r="C285" t="s">
        <v>847</v>
      </c>
      <c r="D285">
        <v>17</v>
      </c>
      <c r="E285" t="s">
        <v>169</v>
      </c>
      <c r="F285" t="s">
        <v>169</v>
      </c>
      <c r="G285" t="s">
        <v>124</v>
      </c>
      <c r="H285" t="s">
        <v>125</v>
      </c>
      <c r="I285">
        <v>16</v>
      </c>
      <c r="J285" t="s">
        <v>367</v>
      </c>
      <c r="K285" t="s">
        <v>125</v>
      </c>
      <c r="L285" t="s">
        <v>853</v>
      </c>
      <c r="AE285" t="s">
        <v>128</v>
      </c>
    </row>
    <row r="286" spans="1:78" x14ac:dyDescent="0.2">
      <c r="A286" t="s">
        <v>119</v>
      </c>
      <c r="B286" t="s">
        <v>120</v>
      </c>
      <c r="C286" t="s">
        <v>847</v>
      </c>
      <c r="D286">
        <v>31</v>
      </c>
      <c r="E286" t="s">
        <v>457</v>
      </c>
      <c r="F286" t="s">
        <v>458</v>
      </c>
      <c r="G286" t="s">
        <v>124</v>
      </c>
      <c r="H286" t="s">
        <v>125</v>
      </c>
      <c r="I286">
        <v>26</v>
      </c>
      <c r="J286" t="s">
        <v>161</v>
      </c>
      <c r="K286" t="s">
        <v>125</v>
      </c>
      <c r="L286" t="s">
        <v>854</v>
      </c>
      <c r="U286" t="s">
        <v>149</v>
      </c>
      <c r="W286" t="s">
        <v>135</v>
      </c>
      <c r="X286">
        <v>3</v>
      </c>
      <c r="AC286" t="s">
        <v>136</v>
      </c>
      <c r="AE286" t="s">
        <v>137</v>
      </c>
    </row>
    <row r="287" spans="1:78" hidden="1" x14ac:dyDescent="0.2">
      <c r="A287" t="s">
        <v>119</v>
      </c>
      <c r="B287" t="s">
        <v>120</v>
      </c>
      <c r="C287" t="s">
        <v>847</v>
      </c>
      <c r="D287">
        <v>32</v>
      </c>
      <c r="E287" t="s">
        <v>283</v>
      </c>
      <c r="F287" t="s">
        <v>283</v>
      </c>
      <c r="G287" t="s">
        <v>124</v>
      </c>
      <c r="H287" t="s">
        <v>125</v>
      </c>
      <c r="I287">
        <v>31</v>
      </c>
      <c r="J287" t="s">
        <v>294</v>
      </c>
      <c r="K287" t="s">
        <v>125</v>
      </c>
      <c r="L287" t="s">
        <v>855</v>
      </c>
      <c r="AE287" t="s">
        <v>128</v>
      </c>
    </row>
    <row r="288" spans="1:78" x14ac:dyDescent="0.2">
      <c r="A288" t="s">
        <v>119</v>
      </c>
      <c r="B288" t="s">
        <v>120</v>
      </c>
      <c r="C288" t="s">
        <v>856</v>
      </c>
      <c r="D288">
        <v>2</v>
      </c>
      <c r="E288" t="s">
        <v>204</v>
      </c>
      <c r="F288" t="s">
        <v>205</v>
      </c>
      <c r="G288" t="s">
        <v>124</v>
      </c>
      <c r="H288" t="s">
        <v>125</v>
      </c>
      <c r="I288">
        <v>0</v>
      </c>
      <c r="J288" t="s">
        <v>126</v>
      </c>
      <c r="K288" t="s">
        <v>125</v>
      </c>
      <c r="L288" t="s">
        <v>857</v>
      </c>
      <c r="U288" t="s">
        <v>149</v>
      </c>
      <c r="W288" t="s">
        <v>135</v>
      </c>
      <c r="X288">
        <v>1</v>
      </c>
      <c r="AC288" t="s">
        <v>136</v>
      </c>
      <c r="AE288" t="s">
        <v>137</v>
      </c>
    </row>
    <row r="289" spans="1:78" x14ac:dyDescent="0.2">
      <c r="A289" t="s">
        <v>119</v>
      </c>
      <c r="B289" t="s">
        <v>120</v>
      </c>
      <c r="C289" t="s">
        <v>858</v>
      </c>
      <c r="D289">
        <v>3</v>
      </c>
      <c r="E289" t="s">
        <v>457</v>
      </c>
      <c r="F289" t="s">
        <v>458</v>
      </c>
      <c r="G289" t="s">
        <v>124</v>
      </c>
      <c r="H289" t="s">
        <v>125</v>
      </c>
      <c r="I289">
        <v>0</v>
      </c>
      <c r="J289" t="s">
        <v>126</v>
      </c>
      <c r="K289" t="s">
        <v>125</v>
      </c>
      <c r="L289" t="s">
        <v>859</v>
      </c>
      <c r="U289" t="s">
        <v>149</v>
      </c>
      <c r="W289" t="s">
        <v>135</v>
      </c>
      <c r="X289">
        <v>3</v>
      </c>
      <c r="AC289" t="s">
        <v>136</v>
      </c>
      <c r="AE289" t="s">
        <v>137</v>
      </c>
    </row>
    <row r="290" spans="1:78" hidden="1" x14ac:dyDescent="0.2">
      <c r="A290" t="s">
        <v>119</v>
      </c>
      <c r="B290" t="s">
        <v>120</v>
      </c>
      <c r="C290" t="s">
        <v>858</v>
      </c>
      <c r="D290">
        <v>5</v>
      </c>
      <c r="E290" t="s">
        <v>424</v>
      </c>
      <c r="F290" t="s">
        <v>424</v>
      </c>
      <c r="G290" t="s">
        <v>124</v>
      </c>
      <c r="H290" t="s">
        <v>125</v>
      </c>
      <c r="I290">
        <v>3</v>
      </c>
      <c r="J290" t="s">
        <v>367</v>
      </c>
      <c r="K290" t="s">
        <v>125</v>
      </c>
      <c r="L290" t="s">
        <v>860</v>
      </c>
      <c r="AE290" t="s">
        <v>128</v>
      </c>
    </row>
    <row r="291" spans="1:78" hidden="1" x14ac:dyDescent="0.2">
      <c r="A291" t="s">
        <v>119</v>
      </c>
      <c r="B291" t="s">
        <v>120</v>
      </c>
      <c r="C291" t="s">
        <v>858</v>
      </c>
      <c r="D291">
        <v>7</v>
      </c>
      <c r="E291" t="s">
        <v>861</v>
      </c>
      <c r="F291" t="s">
        <v>140</v>
      </c>
      <c r="G291" t="s">
        <v>124</v>
      </c>
      <c r="H291" t="s">
        <v>125</v>
      </c>
      <c r="I291">
        <v>5</v>
      </c>
      <c r="J291" t="s">
        <v>268</v>
      </c>
      <c r="K291" t="s">
        <v>125</v>
      </c>
      <c r="L291" t="s">
        <v>862</v>
      </c>
      <c r="T291" t="s">
        <v>154</v>
      </c>
      <c r="W291" t="s">
        <v>155</v>
      </c>
    </row>
    <row r="292" spans="1:78" hidden="1" x14ac:dyDescent="0.2">
      <c r="A292" t="s">
        <v>119</v>
      </c>
      <c r="B292" t="s">
        <v>120</v>
      </c>
      <c r="C292" t="s">
        <v>858</v>
      </c>
      <c r="D292">
        <v>12</v>
      </c>
      <c r="E292" t="s">
        <v>286</v>
      </c>
      <c r="F292" t="s">
        <v>286</v>
      </c>
      <c r="G292" t="s">
        <v>124</v>
      </c>
      <c r="H292" t="s">
        <v>125</v>
      </c>
      <c r="I292">
        <v>7</v>
      </c>
      <c r="J292" t="s">
        <v>161</v>
      </c>
      <c r="K292" t="s">
        <v>125</v>
      </c>
      <c r="L292" t="s">
        <v>863</v>
      </c>
      <c r="AE292" t="s">
        <v>128</v>
      </c>
    </row>
    <row r="293" spans="1:78" hidden="1" x14ac:dyDescent="0.2">
      <c r="A293" t="s">
        <v>119</v>
      </c>
      <c r="B293" t="s">
        <v>120</v>
      </c>
      <c r="C293" t="s">
        <v>858</v>
      </c>
      <c r="D293">
        <v>16</v>
      </c>
      <c r="E293" t="s">
        <v>861</v>
      </c>
      <c r="F293" t="s">
        <v>140</v>
      </c>
      <c r="G293" t="s">
        <v>124</v>
      </c>
      <c r="H293" t="s">
        <v>125</v>
      </c>
      <c r="I293">
        <v>12</v>
      </c>
      <c r="J293" t="s">
        <v>161</v>
      </c>
      <c r="K293" t="s">
        <v>125</v>
      </c>
      <c r="L293" t="s">
        <v>864</v>
      </c>
      <c r="AE293" t="s">
        <v>128</v>
      </c>
    </row>
    <row r="294" spans="1:78" hidden="1" x14ac:dyDescent="0.2">
      <c r="A294" t="s">
        <v>119</v>
      </c>
      <c r="B294" t="s">
        <v>120</v>
      </c>
      <c r="C294" t="s">
        <v>865</v>
      </c>
      <c r="D294">
        <v>8</v>
      </c>
      <c r="E294" t="s">
        <v>866</v>
      </c>
      <c r="F294" t="s">
        <v>867</v>
      </c>
      <c r="G294" t="s">
        <v>124</v>
      </c>
      <c r="H294" t="s">
        <v>125</v>
      </c>
      <c r="I294">
        <v>0</v>
      </c>
      <c r="J294" t="s">
        <v>126</v>
      </c>
      <c r="K294" t="s">
        <v>125</v>
      </c>
      <c r="L294" t="s">
        <v>868</v>
      </c>
      <c r="T294" t="s">
        <v>154</v>
      </c>
      <c r="W294" t="s">
        <v>135</v>
      </c>
    </row>
    <row r="295" spans="1:78" x14ac:dyDescent="0.2">
      <c r="A295" t="s">
        <v>119</v>
      </c>
      <c r="B295" t="s">
        <v>120</v>
      </c>
      <c r="C295" t="s">
        <v>869</v>
      </c>
      <c r="D295">
        <v>6</v>
      </c>
      <c r="E295" t="s">
        <v>851</v>
      </c>
      <c r="F295" t="s">
        <v>458</v>
      </c>
      <c r="G295" t="s">
        <v>124</v>
      </c>
      <c r="H295" t="s">
        <v>125</v>
      </c>
      <c r="I295">
        <v>0</v>
      </c>
      <c r="J295" t="s">
        <v>126</v>
      </c>
      <c r="K295" t="s">
        <v>125</v>
      </c>
      <c r="L295" t="s">
        <v>870</v>
      </c>
      <c r="U295" t="s">
        <v>134</v>
      </c>
      <c r="W295" t="s">
        <v>135</v>
      </c>
      <c r="X295">
        <v>3</v>
      </c>
      <c r="AC295" t="s">
        <v>136</v>
      </c>
      <c r="AE295" t="s">
        <v>137</v>
      </c>
    </row>
    <row r="296" spans="1:78" hidden="1" x14ac:dyDescent="0.2">
      <c r="A296" t="s">
        <v>119</v>
      </c>
      <c r="B296" t="s">
        <v>120</v>
      </c>
      <c r="C296" t="s">
        <v>869</v>
      </c>
      <c r="D296">
        <v>7</v>
      </c>
      <c r="E296" t="s">
        <v>169</v>
      </c>
      <c r="F296" t="s">
        <v>169</v>
      </c>
      <c r="G296" t="s">
        <v>124</v>
      </c>
      <c r="H296" t="s">
        <v>125</v>
      </c>
      <c r="I296">
        <v>6</v>
      </c>
      <c r="J296" t="s">
        <v>367</v>
      </c>
      <c r="K296" t="s">
        <v>125</v>
      </c>
      <c r="L296" t="s">
        <v>871</v>
      </c>
      <c r="AE296" t="s">
        <v>128</v>
      </c>
    </row>
    <row r="297" spans="1:78" hidden="1" x14ac:dyDescent="0.2">
      <c r="A297" t="s">
        <v>119</v>
      </c>
      <c r="B297" t="s">
        <v>120</v>
      </c>
      <c r="C297" t="s">
        <v>872</v>
      </c>
      <c r="D297">
        <v>9</v>
      </c>
      <c r="E297" t="s">
        <v>873</v>
      </c>
      <c r="F297" t="s">
        <v>874</v>
      </c>
      <c r="G297" t="s">
        <v>124</v>
      </c>
      <c r="H297" t="s">
        <v>125</v>
      </c>
      <c r="I297">
        <v>4</v>
      </c>
      <c r="J297" t="s">
        <v>170</v>
      </c>
      <c r="K297" t="s">
        <v>125</v>
      </c>
      <c r="L297" t="s">
        <v>875</v>
      </c>
      <c r="T297" t="s">
        <v>154</v>
      </c>
      <c r="W297" t="s">
        <v>135</v>
      </c>
      <c r="AC297" t="s">
        <v>143</v>
      </c>
      <c r="AE297" t="s">
        <v>144</v>
      </c>
      <c r="AG297">
        <v>8</v>
      </c>
      <c r="AH297" t="s">
        <v>218</v>
      </c>
      <c r="AI297" t="s">
        <v>205</v>
      </c>
      <c r="AJ297" t="s">
        <v>131</v>
      </c>
      <c r="AK297" t="s">
        <v>125</v>
      </c>
      <c r="AL297">
        <v>9</v>
      </c>
      <c r="AM297" t="s">
        <v>132</v>
      </c>
      <c r="AN297" t="s">
        <v>125</v>
      </c>
      <c r="AO297" t="s">
        <v>876</v>
      </c>
      <c r="BP297" t="s">
        <v>149</v>
      </c>
      <c r="BR297" t="s">
        <v>155</v>
      </c>
      <c r="BS297">
        <v>3</v>
      </c>
      <c r="BX297" t="s">
        <v>136</v>
      </c>
      <c r="BZ297" t="s">
        <v>137</v>
      </c>
    </row>
    <row r="298" spans="1:78" hidden="1" x14ac:dyDescent="0.2">
      <c r="A298" t="s">
        <v>119</v>
      </c>
      <c r="B298" t="s">
        <v>120</v>
      </c>
      <c r="C298" t="s">
        <v>872</v>
      </c>
      <c r="D298">
        <v>15</v>
      </c>
      <c r="E298" t="s">
        <v>877</v>
      </c>
      <c r="F298" t="s">
        <v>169</v>
      </c>
      <c r="G298" t="s">
        <v>124</v>
      </c>
      <c r="H298" t="s">
        <v>125</v>
      </c>
      <c r="I298">
        <v>0</v>
      </c>
      <c r="J298" t="s">
        <v>126</v>
      </c>
      <c r="K298" t="s">
        <v>125</v>
      </c>
      <c r="L298" t="s">
        <v>878</v>
      </c>
      <c r="U298" t="s">
        <v>149</v>
      </c>
      <c r="W298" t="s">
        <v>135</v>
      </c>
      <c r="X298">
        <v>3</v>
      </c>
      <c r="AC298" t="s">
        <v>209</v>
      </c>
      <c r="AE298" t="s">
        <v>137</v>
      </c>
    </row>
    <row r="299" spans="1:78" hidden="1" x14ac:dyDescent="0.2">
      <c r="A299" t="s">
        <v>119</v>
      </c>
      <c r="B299" t="s">
        <v>120</v>
      </c>
      <c r="C299" t="s">
        <v>872</v>
      </c>
      <c r="D299">
        <v>26</v>
      </c>
      <c r="E299" t="s">
        <v>879</v>
      </c>
      <c r="F299" t="s">
        <v>194</v>
      </c>
      <c r="G299" t="s">
        <v>124</v>
      </c>
      <c r="H299" t="s">
        <v>125</v>
      </c>
      <c r="I299">
        <v>15</v>
      </c>
      <c r="J299" t="s">
        <v>161</v>
      </c>
      <c r="K299" t="s">
        <v>125</v>
      </c>
      <c r="L299" t="s">
        <v>880</v>
      </c>
      <c r="T299" t="s">
        <v>154</v>
      </c>
      <c r="W299" t="s">
        <v>135</v>
      </c>
      <c r="AC299" t="s">
        <v>143</v>
      </c>
      <c r="AE299" t="s">
        <v>144</v>
      </c>
      <c r="AG299">
        <v>25</v>
      </c>
      <c r="AH299" t="s">
        <v>232</v>
      </c>
      <c r="AI299" t="s">
        <v>205</v>
      </c>
      <c r="AJ299" t="s">
        <v>131</v>
      </c>
      <c r="AK299" t="s">
        <v>125</v>
      </c>
      <c r="AL299">
        <v>26</v>
      </c>
      <c r="AM299" t="s">
        <v>132</v>
      </c>
      <c r="AN299" t="s">
        <v>125</v>
      </c>
      <c r="AO299" t="s">
        <v>881</v>
      </c>
      <c r="BP299" t="s">
        <v>149</v>
      </c>
      <c r="BR299" t="s">
        <v>155</v>
      </c>
      <c r="BS299">
        <v>1</v>
      </c>
      <c r="BX299" t="s">
        <v>136</v>
      </c>
      <c r="BZ299" t="s">
        <v>137</v>
      </c>
    </row>
    <row r="300" spans="1:78" hidden="1" x14ac:dyDescent="0.2">
      <c r="A300" t="s">
        <v>119</v>
      </c>
      <c r="B300" t="s">
        <v>120</v>
      </c>
      <c r="C300" t="s">
        <v>872</v>
      </c>
      <c r="D300">
        <v>33</v>
      </c>
      <c r="E300" t="s">
        <v>407</v>
      </c>
      <c r="F300" t="s">
        <v>140</v>
      </c>
      <c r="G300" t="s">
        <v>124</v>
      </c>
      <c r="H300" t="s">
        <v>125</v>
      </c>
      <c r="I300">
        <v>15</v>
      </c>
      <c r="J300" t="s">
        <v>161</v>
      </c>
      <c r="K300" t="s">
        <v>125</v>
      </c>
      <c r="L300" t="s">
        <v>882</v>
      </c>
      <c r="T300" t="s">
        <v>154</v>
      </c>
      <c r="W300" t="s">
        <v>135</v>
      </c>
      <c r="AC300" t="s">
        <v>143</v>
      </c>
      <c r="AE300" t="s">
        <v>144</v>
      </c>
      <c r="AG300">
        <v>32</v>
      </c>
      <c r="AH300" t="s">
        <v>232</v>
      </c>
      <c r="AI300" t="s">
        <v>205</v>
      </c>
      <c r="AJ300" t="s">
        <v>131</v>
      </c>
      <c r="AK300" t="s">
        <v>125</v>
      </c>
      <c r="AL300">
        <v>33</v>
      </c>
      <c r="AM300" t="s">
        <v>132</v>
      </c>
      <c r="AN300" t="s">
        <v>125</v>
      </c>
      <c r="AO300" t="s">
        <v>883</v>
      </c>
      <c r="BP300" t="s">
        <v>149</v>
      </c>
      <c r="BR300" t="s">
        <v>155</v>
      </c>
      <c r="BS300">
        <v>1</v>
      </c>
      <c r="BX300" t="s">
        <v>136</v>
      </c>
      <c r="BZ300" t="s">
        <v>137</v>
      </c>
    </row>
    <row r="301" spans="1:78" x14ac:dyDescent="0.2">
      <c r="A301" t="s">
        <v>119</v>
      </c>
      <c r="B301" t="s">
        <v>120</v>
      </c>
      <c r="C301" t="s">
        <v>884</v>
      </c>
      <c r="D301">
        <v>3</v>
      </c>
      <c r="E301" t="s">
        <v>546</v>
      </c>
      <c r="F301" t="s">
        <v>283</v>
      </c>
      <c r="G301" t="s">
        <v>124</v>
      </c>
      <c r="H301" t="s">
        <v>125</v>
      </c>
      <c r="I301">
        <v>0</v>
      </c>
      <c r="J301" t="s">
        <v>126</v>
      </c>
      <c r="K301" t="s">
        <v>125</v>
      </c>
      <c r="L301" t="s">
        <v>885</v>
      </c>
      <c r="U301" t="s">
        <v>149</v>
      </c>
      <c r="W301" t="s">
        <v>135</v>
      </c>
      <c r="X301">
        <v>3</v>
      </c>
      <c r="AC301" t="s">
        <v>136</v>
      </c>
      <c r="AE301" t="s">
        <v>137</v>
      </c>
    </row>
    <row r="302" spans="1:78" x14ac:dyDescent="0.2">
      <c r="A302" t="s">
        <v>119</v>
      </c>
      <c r="B302" t="s">
        <v>120</v>
      </c>
      <c r="C302" t="s">
        <v>884</v>
      </c>
      <c r="D302">
        <v>10</v>
      </c>
      <c r="E302" t="s">
        <v>826</v>
      </c>
      <c r="F302" t="s">
        <v>667</v>
      </c>
      <c r="G302" t="s">
        <v>124</v>
      </c>
      <c r="H302" t="s">
        <v>125</v>
      </c>
      <c r="I302">
        <v>27</v>
      </c>
      <c r="J302" t="s">
        <v>268</v>
      </c>
      <c r="K302" t="s">
        <v>125</v>
      </c>
      <c r="L302" t="s">
        <v>886</v>
      </c>
      <c r="U302" t="s">
        <v>149</v>
      </c>
      <c r="W302" t="s">
        <v>135</v>
      </c>
      <c r="X302">
        <v>3</v>
      </c>
      <c r="AC302" t="s">
        <v>136</v>
      </c>
      <c r="AE302" t="s">
        <v>137</v>
      </c>
    </row>
    <row r="303" spans="1:78" x14ac:dyDescent="0.2">
      <c r="A303" t="s">
        <v>119</v>
      </c>
      <c r="B303" t="s">
        <v>120</v>
      </c>
      <c r="C303" t="s">
        <v>884</v>
      </c>
      <c r="D303">
        <v>19</v>
      </c>
      <c r="E303" t="s">
        <v>614</v>
      </c>
      <c r="F303" t="s">
        <v>205</v>
      </c>
      <c r="G303" t="s">
        <v>124</v>
      </c>
      <c r="H303" t="s">
        <v>125</v>
      </c>
      <c r="I303">
        <v>10</v>
      </c>
      <c r="J303" t="s">
        <v>161</v>
      </c>
      <c r="K303" t="s">
        <v>125</v>
      </c>
      <c r="L303" t="s">
        <v>887</v>
      </c>
      <c r="U303" t="s">
        <v>149</v>
      </c>
      <c r="W303" t="s">
        <v>135</v>
      </c>
      <c r="X303">
        <v>3</v>
      </c>
      <c r="AC303" t="s">
        <v>136</v>
      </c>
      <c r="AE303" t="s">
        <v>137</v>
      </c>
    </row>
    <row r="304" spans="1:78" hidden="1" x14ac:dyDescent="0.2">
      <c r="A304" t="s">
        <v>119</v>
      </c>
      <c r="B304" t="s">
        <v>120</v>
      </c>
      <c r="C304" t="s">
        <v>884</v>
      </c>
      <c r="D304">
        <v>22</v>
      </c>
      <c r="E304" t="s">
        <v>888</v>
      </c>
      <c r="F304" t="s">
        <v>140</v>
      </c>
      <c r="G304" t="s">
        <v>124</v>
      </c>
      <c r="H304" t="s">
        <v>125</v>
      </c>
      <c r="I304">
        <v>20</v>
      </c>
      <c r="J304" t="s">
        <v>294</v>
      </c>
      <c r="K304" t="s">
        <v>125</v>
      </c>
      <c r="L304" t="s">
        <v>889</v>
      </c>
    </row>
    <row r="305" spans="1:78" x14ac:dyDescent="0.2">
      <c r="A305" t="s">
        <v>119</v>
      </c>
      <c r="B305" t="s">
        <v>120</v>
      </c>
      <c r="C305" t="s">
        <v>884</v>
      </c>
      <c r="D305">
        <v>27</v>
      </c>
      <c r="E305" t="s">
        <v>370</v>
      </c>
      <c r="F305" t="s">
        <v>140</v>
      </c>
      <c r="G305" t="s">
        <v>124</v>
      </c>
      <c r="H305" t="s">
        <v>125</v>
      </c>
      <c r="I305">
        <v>3</v>
      </c>
      <c r="J305" t="s">
        <v>161</v>
      </c>
      <c r="K305" t="s">
        <v>125</v>
      </c>
      <c r="L305" t="s">
        <v>890</v>
      </c>
      <c r="U305" t="s">
        <v>149</v>
      </c>
      <c r="W305" t="s">
        <v>135</v>
      </c>
      <c r="X305">
        <v>3</v>
      </c>
      <c r="AC305" t="s">
        <v>136</v>
      </c>
      <c r="AE305" t="s">
        <v>137</v>
      </c>
    </row>
    <row r="306" spans="1:78" x14ac:dyDescent="0.2">
      <c r="A306" t="s">
        <v>119</v>
      </c>
      <c r="B306" t="s">
        <v>120</v>
      </c>
      <c r="C306" t="s">
        <v>891</v>
      </c>
      <c r="D306">
        <v>4</v>
      </c>
      <c r="E306" t="s">
        <v>191</v>
      </c>
      <c r="F306" t="s">
        <v>169</v>
      </c>
      <c r="G306" t="s">
        <v>124</v>
      </c>
      <c r="H306" t="s">
        <v>125</v>
      </c>
      <c r="I306">
        <v>0</v>
      </c>
      <c r="J306" t="s">
        <v>126</v>
      </c>
      <c r="K306" t="s">
        <v>125</v>
      </c>
      <c r="L306" t="s">
        <v>892</v>
      </c>
      <c r="U306" t="s">
        <v>149</v>
      </c>
      <c r="W306" t="s">
        <v>135</v>
      </c>
      <c r="X306">
        <v>1</v>
      </c>
      <c r="AC306" t="s">
        <v>136</v>
      </c>
      <c r="AE306" t="s">
        <v>137</v>
      </c>
    </row>
    <row r="307" spans="1:78" x14ac:dyDescent="0.2">
      <c r="A307" t="s">
        <v>119</v>
      </c>
      <c r="B307" t="s">
        <v>120</v>
      </c>
      <c r="C307" t="s">
        <v>891</v>
      </c>
      <c r="D307">
        <v>20</v>
      </c>
      <c r="E307" t="s">
        <v>145</v>
      </c>
      <c r="F307" t="s">
        <v>146</v>
      </c>
      <c r="G307" t="s">
        <v>124</v>
      </c>
      <c r="H307" t="s">
        <v>125</v>
      </c>
      <c r="I307">
        <v>14</v>
      </c>
      <c r="J307" t="s">
        <v>161</v>
      </c>
      <c r="K307" t="s">
        <v>125</v>
      </c>
      <c r="L307" t="s">
        <v>893</v>
      </c>
      <c r="U307" t="s">
        <v>149</v>
      </c>
      <c r="W307" t="s">
        <v>135</v>
      </c>
      <c r="X307">
        <v>3</v>
      </c>
      <c r="AC307" t="s">
        <v>136</v>
      </c>
      <c r="AE307" t="s">
        <v>137</v>
      </c>
    </row>
    <row r="308" spans="1:78" x14ac:dyDescent="0.2">
      <c r="A308" t="s">
        <v>119</v>
      </c>
      <c r="B308" t="s">
        <v>120</v>
      </c>
      <c r="C308" t="s">
        <v>894</v>
      </c>
      <c r="D308">
        <v>17</v>
      </c>
      <c r="E308" t="s">
        <v>145</v>
      </c>
      <c r="F308" t="s">
        <v>146</v>
      </c>
      <c r="G308" t="s">
        <v>124</v>
      </c>
      <c r="H308" t="s">
        <v>125</v>
      </c>
      <c r="I308">
        <v>19</v>
      </c>
      <c r="J308" t="s">
        <v>210</v>
      </c>
      <c r="K308" t="s">
        <v>125</v>
      </c>
      <c r="L308" t="s">
        <v>895</v>
      </c>
      <c r="U308" t="s">
        <v>149</v>
      </c>
      <c r="W308" t="s">
        <v>135</v>
      </c>
      <c r="X308">
        <v>3</v>
      </c>
      <c r="AC308" t="s">
        <v>136</v>
      </c>
      <c r="AE308" t="s">
        <v>137</v>
      </c>
    </row>
    <row r="309" spans="1:78" hidden="1" x14ac:dyDescent="0.2">
      <c r="A309" t="s">
        <v>119</v>
      </c>
      <c r="B309" t="s">
        <v>120</v>
      </c>
      <c r="C309" t="s">
        <v>894</v>
      </c>
      <c r="D309">
        <v>19</v>
      </c>
      <c r="E309" t="s">
        <v>896</v>
      </c>
      <c r="F309" t="s">
        <v>353</v>
      </c>
      <c r="G309" t="s">
        <v>124</v>
      </c>
      <c r="H309" t="s">
        <v>125</v>
      </c>
      <c r="I309">
        <v>8</v>
      </c>
      <c r="J309" t="s">
        <v>161</v>
      </c>
      <c r="K309" t="s">
        <v>125</v>
      </c>
      <c r="L309" t="s">
        <v>897</v>
      </c>
      <c r="T309" t="s">
        <v>142</v>
      </c>
      <c r="W309" t="s">
        <v>135</v>
      </c>
      <c r="AC309" t="s">
        <v>143</v>
      </c>
      <c r="AE309" t="s">
        <v>144</v>
      </c>
    </row>
    <row r="310" spans="1:78" hidden="1" x14ac:dyDescent="0.2">
      <c r="A310" t="s">
        <v>119</v>
      </c>
      <c r="B310" t="s">
        <v>120</v>
      </c>
      <c r="C310" t="s">
        <v>894</v>
      </c>
      <c r="D310">
        <v>24</v>
      </c>
      <c r="E310" t="s">
        <v>715</v>
      </c>
      <c r="F310" t="s">
        <v>283</v>
      </c>
      <c r="G310" t="s">
        <v>124</v>
      </c>
      <c r="H310" t="s">
        <v>125</v>
      </c>
      <c r="I310">
        <v>19</v>
      </c>
      <c r="J310" t="s">
        <v>268</v>
      </c>
      <c r="K310" t="s">
        <v>125</v>
      </c>
      <c r="L310" t="s">
        <v>898</v>
      </c>
      <c r="T310" t="s">
        <v>142</v>
      </c>
      <c r="W310" t="s">
        <v>135</v>
      </c>
      <c r="AE310" t="s">
        <v>128</v>
      </c>
    </row>
    <row r="311" spans="1:78" x14ac:dyDescent="0.2">
      <c r="A311" t="s">
        <v>119</v>
      </c>
      <c r="B311" t="s">
        <v>120</v>
      </c>
      <c r="C311" t="s">
        <v>899</v>
      </c>
      <c r="D311">
        <v>3</v>
      </c>
      <c r="E311" t="s">
        <v>197</v>
      </c>
      <c r="F311" t="s">
        <v>198</v>
      </c>
      <c r="G311" t="s">
        <v>124</v>
      </c>
      <c r="H311" t="s">
        <v>125</v>
      </c>
      <c r="I311">
        <v>0</v>
      </c>
      <c r="J311" t="s">
        <v>126</v>
      </c>
      <c r="K311" t="s">
        <v>125</v>
      </c>
      <c r="L311" t="s">
        <v>900</v>
      </c>
      <c r="U311" t="s">
        <v>149</v>
      </c>
      <c r="W311" t="s">
        <v>135</v>
      </c>
      <c r="X311">
        <v>1</v>
      </c>
      <c r="AC311" t="s">
        <v>136</v>
      </c>
      <c r="AE311" t="s">
        <v>137</v>
      </c>
    </row>
    <row r="312" spans="1:78" hidden="1" x14ac:dyDescent="0.2">
      <c r="A312" t="s">
        <v>119</v>
      </c>
      <c r="B312" t="s">
        <v>120</v>
      </c>
      <c r="C312" t="s">
        <v>899</v>
      </c>
      <c r="D312">
        <v>7</v>
      </c>
      <c r="E312" t="s">
        <v>901</v>
      </c>
      <c r="F312" t="s">
        <v>205</v>
      </c>
      <c r="G312" t="s">
        <v>124</v>
      </c>
      <c r="H312" t="s">
        <v>125</v>
      </c>
      <c r="I312">
        <v>11</v>
      </c>
      <c r="J312" t="s">
        <v>268</v>
      </c>
      <c r="K312" t="s">
        <v>125</v>
      </c>
      <c r="L312" t="s">
        <v>902</v>
      </c>
      <c r="U312" t="s">
        <v>149</v>
      </c>
      <c r="W312" t="s">
        <v>135</v>
      </c>
      <c r="X312">
        <v>1</v>
      </c>
      <c r="AC312" t="s">
        <v>903</v>
      </c>
      <c r="AE312" t="s">
        <v>137</v>
      </c>
    </row>
    <row r="313" spans="1:78" x14ac:dyDescent="0.2">
      <c r="A313" t="s">
        <v>119</v>
      </c>
      <c r="B313" t="s">
        <v>120</v>
      </c>
      <c r="C313" t="s">
        <v>899</v>
      </c>
      <c r="D313">
        <v>11</v>
      </c>
      <c r="E313" t="s">
        <v>546</v>
      </c>
      <c r="F313" t="s">
        <v>283</v>
      </c>
      <c r="G313" t="s">
        <v>124</v>
      </c>
      <c r="H313" t="s">
        <v>125</v>
      </c>
      <c r="I313">
        <v>3</v>
      </c>
      <c r="J313" t="s">
        <v>268</v>
      </c>
      <c r="K313" t="s">
        <v>125</v>
      </c>
      <c r="L313" t="s">
        <v>904</v>
      </c>
      <c r="U313" t="s">
        <v>149</v>
      </c>
      <c r="W313" t="s">
        <v>135</v>
      </c>
      <c r="X313">
        <v>3</v>
      </c>
      <c r="AC313" t="s">
        <v>136</v>
      </c>
      <c r="AE313" t="s">
        <v>137</v>
      </c>
      <c r="AG313">
        <v>10</v>
      </c>
      <c r="AH313" t="s">
        <v>905</v>
      </c>
      <c r="AI313" t="s">
        <v>667</v>
      </c>
      <c r="AJ313" t="s">
        <v>131</v>
      </c>
      <c r="AK313" t="s">
        <v>125</v>
      </c>
      <c r="AL313">
        <v>11</v>
      </c>
      <c r="AM313" t="s">
        <v>132</v>
      </c>
      <c r="AN313" t="s">
        <v>125</v>
      </c>
      <c r="AO313" t="s">
        <v>906</v>
      </c>
      <c r="BP313" t="s">
        <v>149</v>
      </c>
      <c r="BR313" t="s">
        <v>135</v>
      </c>
      <c r="BS313">
        <v>1</v>
      </c>
      <c r="BX313" t="s">
        <v>903</v>
      </c>
      <c r="BZ313" t="s">
        <v>137</v>
      </c>
    </row>
    <row r="314" spans="1:78" x14ac:dyDescent="0.2">
      <c r="A314" t="s">
        <v>119</v>
      </c>
      <c r="B314" t="s">
        <v>120</v>
      </c>
      <c r="C314" t="s">
        <v>907</v>
      </c>
      <c r="D314">
        <v>6</v>
      </c>
      <c r="E314" t="s">
        <v>727</v>
      </c>
      <c r="F314" t="s">
        <v>728</v>
      </c>
      <c r="G314" t="s">
        <v>124</v>
      </c>
      <c r="H314" t="s">
        <v>125</v>
      </c>
      <c r="I314">
        <v>0</v>
      </c>
      <c r="J314" t="s">
        <v>126</v>
      </c>
      <c r="K314" t="s">
        <v>125</v>
      </c>
      <c r="L314" t="s">
        <v>908</v>
      </c>
      <c r="U314" t="s">
        <v>149</v>
      </c>
      <c r="W314" t="s">
        <v>135</v>
      </c>
      <c r="X314">
        <v>1</v>
      </c>
      <c r="AC314" t="s">
        <v>136</v>
      </c>
      <c r="AE314" t="s">
        <v>137</v>
      </c>
    </row>
    <row r="315" spans="1:78" x14ac:dyDescent="0.2">
      <c r="A315" t="s">
        <v>119</v>
      </c>
      <c r="B315" t="s">
        <v>120</v>
      </c>
      <c r="C315" t="s">
        <v>909</v>
      </c>
      <c r="D315">
        <v>3</v>
      </c>
      <c r="E315" t="s">
        <v>380</v>
      </c>
      <c r="F315" t="s">
        <v>146</v>
      </c>
      <c r="G315" t="s">
        <v>124</v>
      </c>
      <c r="H315" t="s">
        <v>125</v>
      </c>
      <c r="I315">
        <v>7</v>
      </c>
      <c r="J315" t="s">
        <v>268</v>
      </c>
      <c r="K315" t="s">
        <v>125</v>
      </c>
      <c r="L315" t="s">
        <v>910</v>
      </c>
      <c r="U315" t="s">
        <v>309</v>
      </c>
      <c r="W315" t="s">
        <v>135</v>
      </c>
      <c r="X315">
        <v>3</v>
      </c>
      <c r="AC315" t="s">
        <v>136</v>
      </c>
      <c r="AE315" t="s">
        <v>137</v>
      </c>
    </row>
    <row r="316" spans="1:78" hidden="1" x14ac:dyDescent="0.2">
      <c r="A316" t="s">
        <v>119</v>
      </c>
      <c r="B316" t="s">
        <v>120</v>
      </c>
      <c r="C316" t="s">
        <v>909</v>
      </c>
      <c r="D316">
        <v>20</v>
      </c>
      <c r="E316" t="s">
        <v>283</v>
      </c>
      <c r="F316" t="s">
        <v>283</v>
      </c>
      <c r="G316" t="s">
        <v>124</v>
      </c>
      <c r="H316" t="s">
        <v>125</v>
      </c>
      <c r="I316">
        <v>25</v>
      </c>
      <c r="J316" t="s">
        <v>268</v>
      </c>
      <c r="K316" t="s">
        <v>125</v>
      </c>
      <c r="L316" t="s">
        <v>911</v>
      </c>
      <c r="AE316" t="s">
        <v>128</v>
      </c>
    </row>
    <row r="317" spans="1:78" hidden="1" x14ac:dyDescent="0.2">
      <c r="A317" t="s">
        <v>119</v>
      </c>
      <c r="B317" t="s">
        <v>120</v>
      </c>
      <c r="C317" t="s">
        <v>909</v>
      </c>
      <c r="D317">
        <v>25</v>
      </c>
      <c r="E317" t="s">
        <v>361</v>
      </c>
      <c r="F317" t="s">
        <v>361</v>
      </c>
      <c r="G317" t="s">
        <v>124</v>
      </c>
      <c r="H317" t="s">
        <v>125</v>
      </c>
      <c r="I317">
        <v>0</v>
      </c>
      <c r="J317" t="s">
        <v>126</v>
      </c>
      <c r="K317" t="s">
        <v>125</v>
      </c>
      <c r="L317" t="s">
        <v>912</v>
      </c>
      <c r="AE317" t="s">
        <v>128</v>
      </c>
      <c r="AG317">
        <v>24</v>
      </c>
      <c r="AH317" t="s">
        <v>375</v>
      </c>
      <c r="AI317" t="s">
        <v>130</v>
      </c>
      <c r="AJ317" t="s">
        <v>131</v>
      </c>
      <c r="AK317" t="s">
        <v>125</v>
      </c>
      <c r="AL317">
        <v>25</v>
      </c>
      <c r="AM317" t="s">
        <v>132</v>
      </c>
      <c r="AN317" t="s">
        <v>125</v>
      </c>
      <c r="AO317" t="s">
        <v>913</v>
      </c>
      <c r="BP317" t="s">
        <v>149</v>
      </c>
      <c r="BR317" t="s">
        <v>135</v>
      </c>
      <c r="BS317">
        <v>2</v>
      </c>
      <c r="BX317" t="s">
        <v>136</v>
      </c>
      <c r="BZ317" t="s">
        <v>137</v>
      </c>
    </row>
    <row r="318" spans="1:78" x14ac:dyDescent="0.2">
      <c r="A318" t="s">
        <v>119</v>
      </c>
      <c r="B318" t="s">
        <v>120</v>
      </c>
      <c r="C318" t="s">
        <v>909</v>
      </c>
      <c r="D318">
        <v>37</v>
      </c>
      <c r="E318" t="s">
        <v>914</v>
      </c>
      <c r="F318" t="s">
        <v>915</v>
      </c>
      <c r="G318" t="s">
        <v>124</v>
      </c>
      <c r="H318" t="s">
        <v>125</v>
      </c>
      <c r="I318">
        <v>31</v>
      </c>
      <c r="J318" t="s">
        <v>170</v>
      </c>
      <c r="K318" t="s">
        <v>125</v>
      </c>
      <c r="L318" t="s">
        <v>916</v>
      </c>
      <c r="U318" t="s">
        <v>149</v>
      </c>
      <c r="W318" t="s">
        <v>135</v>
      </c>
      <c r="X318">
        <v>3</v>
      </c>
      <c r="AC318" t="s">
        <v>136</v>
      </c>
      <c r="AE318" t="s">
        <v>137</v>
      </c>
    </row>
    <row r="319" spans="1:78" x14ac:dyDescent="0.2">
      <c r="A319" t="s">
        <v>119</v>
      </c>
      <c r="B319" t="s">
        <v>120</v>
      </c>
      <c r="C319" t="s">
        <v>917</v>
      </c>
      <c r="D319">
        <v>8</v>
      </c>
      <c r="E319" t="s">
        <v>145</v>
      </c>
      <c r="F319" t="s">
        <v>146</v>
      </c>
      <c r="G319" t="s">
        <v>124</v>
      </c>
      <c r="H319" t="s">
        <v>125</v>
      </c>
      <c r="I319">
        <v>5</v>
      </c>
      <c r="J319" t="s">
        <v>170</v>
      </c>
      <c r="K319" t="s">
        <v>125</v>
      </c>
      <c r="L319" t="s">
        <v>918</v>
      </c>
      <c r="U319" t="s">
        <v>149</v>
      </c>
      <c r="W319" t="s">
        <v>135</v>
      </c>
      <c r="X319">
        <v>3</v>
      </c>
      <c r="AC319" t="s">
        <v>136</v>
      </c>
      <c r="AE319" t="s">
        <v>137</v>
      </c>
    </row>
    <row r="320" spans="1:78" hidden="1" x14ac:dyDescent="0.2">
      <c r="A320" t="s">
        <v>119</v>
      </c>
      <c r="B320" t="s">
        <v>120</v>
      </c>
      <c r="C320" t="s">
        <v>917</v>
      </c>
      <c r="D320">
        <v>9</v>
      </c>
      <c r="E320" t="s">
        <v>754</v>
      </c>
      <c r="F320" t="s">
        <v>186</v>
      </c>
      <c r="G320" t="s">
        <v>124</v>
      </c>
      <c r="H320" t="s">
        <v>125</v>
      </c>
      <c r="I320">
        <v>0</v>
      </c>
      <c r="J320" t="s">
        <v>126</v>
      </c>
      <c r="K320" t="s">
        <v>125</v>
      </c>
      <c r="L320" t="s">
        <v>919</v>
      </c>
      <c r="W320" t="s">
        <v>155</v>
      </c>
    </row>
    <row r="321" spans="1:78" hidden="1" x14ac:dyDescent="0.2">
      <c r="A321" t="s">
        <v>119</v>
      </c>
      <c r="B321" t="s">
        <v>120</v>
      </c>
      <c r="C321" t="s">
        <v>917</v>
      </c>
      <c r="D321">
        <v>13</v>
      </c>
      <c r="E321" t="s">
        <v>920</v>
      </c>
      <c r="F321" t="s">
        <v>194</v>
      </c>
      <c r="G321" t="s">
        <v>124</v>
      </c>
      <c r="H321" t="s">
        <v>125</v>
      </c>
      <c r="I321">
        <v>9</v>
      </c>
      <c r="J321" t="s">
        <v>161</v>
      </c>
      <c r="K321" t="s">
        <v>125</v>
      </c>
      <c r="L321" t="s">
        <v>921</v>
      </c>
      <c r="T321" t="s">
        <v>154</v>
      </c>
      <c r="W321" t="s">
        <v>155</v>
      </c>
      <c r="AC321" t="s">
        <v>143</v>
      </c>
      <c r="AE321" t="s">
        <v>144</v>
      </c>
    </row>
    <row r="322" spans="1:78" hidden="1" x14ac:dyDescent="0.2">
      <c r="A322" t="s">
        <v>119</v>
      </c>
      <c r="B322" t="s">
        <v>120</v>
      </c>
      <c r="C322" t="s">
        <v>922</v>
      </c>
      <c r="D322">
        <v>8</v>
      </c>
      <c r="E322" t="s">
        <v>158</v>
      </c>
      <c r="F322" t="s">
        <v>158</v>
      </c>
      <c r="G322" t="s">
        <v>124</v>
      </c>
      <c r="H322" t="s">
        <v>125</v>
      </c>
      <c r="I322">
        <v>0</v>
      </c>
      <c r="J322" t="s">
        <v>126</v>
      </c>
      <c r="K322" t="s">
        <v>125</v>
      </c>
      <c r="L322" t="s">
        <v>923</v>
      </c>
      <c r="AE322" t="s">
        <v>128</v>
      </c>
      <c r="AG322">
        <v>7</v>
      </c>
      <c r="AH322" t="s">
        <v>924</v>
      </c>
      <c r="AI322" t="s">
        <v>667</v>
      </c>
      <c r="AJ322" t="s">
        <v>131</v>
      </c>
      <c r="AK322" t="s">
        <v>125</v>
      </c>
      <c r="AL322">
        <v>8</v>
      </c>
      <c r="AM322" t="s">
        <v>132</v>
      </c>
      <c r="AN322" t="s">
        <v>125</v>
      </c>
      <c r="AO322" t="s">
        <v>925</v>
      </c>
      <c r="BP322" t="s">
        <v>134</v>
      </c>
      <c r="BR322" t="s">
        <v>135</v>
      </c>
      <c r="BS322">
        <v>1</v>
      </c>
      <c r="BX322" t="s">
        <v>136</v>
      </c>
      <c r="BZ322" t="s">
        <v>137</v>
      </c>
    </row>
    <row r="323" spans="1:78" x14ac:dyDescent="0.2">
      <c r="A323" t="s">
        <v>119</v>
      </c>
      <c r="B323" t="s">
        <v>120</v>
      </c>
      <c r="C323" t="s">
        <v>922</v>
      </c>
      <c r="D323">
        <v>18</v>
      </c>
      <c r="E323" t="s">
        <v>926</v>
      </c>
      <c r="F323" t="s">
        <v>927</v>
      </c>
      <c r="G323" t="s">
        <v>124</v>
      </c>
      <c r="H323" t="s">
        <v>125</v>
      </c>
      <c r="I323">
        <v>25</v>
      </c>
      <c r="J323" t="s">
        <v>268</v>
      </c>
      <c r="K323" t="s">
        <v>125</v>
      </c>
      <c r="L323" t="s">
        <v>928</v>
      </c>
      <c r="U323" t="s">
        <v>309</v>
      </c>
      <c r="W323" t="s">
        <v>135</v>
      </c>
      <c r="X323">
        <v>3</v>
      </c>
      <c r="AC323" t="s">
        <v>136</v>
      </c>
      <c r="AE323" t="s">
        <v>137</v>
      </c>
    </row>
    <row r="324" spans="1:78" x14ac:dyDescent="0.2">
      <c r="A324" t="s">
        <v>119</v>
      </c>
      <c r="B324" t="s">
        <v>120</v>
      </c>
      <c r="C324" t="s">
        <v>922</v>
      </c>
      <c r="D324">
        <v>21</v>
      </c>
      <c r="E324" t="s">
        <v>496</v>
      </c>
      <c r="F324" t="s">
        <v>205</v>
      </c>
      <c r="G324" t="s">
        <v>124</v>
      </c>
      <c r="H324" t="s">
        <v>125</v>
      </c>
      <c r="I324">
        <v>18</v>
      </c>
      <c r="J324" t="s">
        <v>161</v>
      </c>
      <c r="K324" t="s">
        <v>125</v>
      </c>
      <c r="L324" t="s">
        <v>929</v>
      </c>
      <c r="U324" t="s">
        <v>149</v>
      </c>
      <c r="W324" t="s">
        <v>135</v>
      </c>
      <c r="X324">
        <v>2</v>
      </c>
      <c r="AC324" t="s">
        <v>136</v>
      </c>
      <c r="AE324" t="s">
        <v>137</v>
      </c>
    </row>
    <row r="325" spans="1:78" x14ac:dyDescent="0.2">
      <c r="A325" t="s">
        <v>119</v>
      </c>
      <c r="B325" t="s">
        <v>120</v>
      </c>
      <c r="C325" t="s">
        <v>922</v>
      </c>
      <c r="D325">
        <v>25</v>
      </c>
      <c r="E325" t="s">
        <v>791</v>
      </c>
      <c r="F325" t="s">
        <v>494</v>
      </c>
      <c r="G325" t="s">
        <v>124</v>
      </c>
      <c r="H325" t="s">
        <v>125</v>
      </c>
      <c r="I325">
        <v>8</v>
      </c>
      <c r="J325" t="s">
        <v>268</v>
      </c>
      <c r="K325" t="s">
        <v>125</v>
      </c>
      <c r="L325" t="s">
        <v>930</v>
      </c>
      <c r="U325" t="s">
        <v>149</v>
      </c>
      <c r="W325" t="s">
        <v>135</v>
      </c>
      <c r="X325">
        <v>3</v>
      </c>
      <c r="AC325" t="s">
        <v>136</v>
      </c>
      <c r="AE325" t="s">
        <v>137</v>
      </c>
    </row>
    <row r="326" spans="1:78" x14ac:dyDescent="0.2">
      <c r="A326" t="s">
        <v>119</v>
      </c>
      <c r="B326" t="s">
        <v>120</v>
      </c>
      <c r="C326" t="s">
        <v>931</v>
      </c>
      <c r="D326">
        <v>6</v>
      </c>
      <c r="E326" t="s">
        <v>932</v>
      </c>
      <c r="F326" t="s">
        <v>933</v>
      </c>
      <c r="G326" t="s">
        <v>124</v>
      </c>
      <c r="H326" t="s">
        <v>125</v>
      </c>
      <c r="I326">
        <v>0</v>
      </c>
      <c r="J326" t="s">
        <v>126</v>
      </c>
      <c r="K326" t="s">
        <v>125</v>
      </c>
      <c r="L326" t="s">
        <v>934</v>
      </c>
      <c r="U326" t="s">
        <v>309</v>
      </c>
      <c r="W326" t="s">
        <v>155</v>
      </c>
      <c r="X326">
        <v>3</v>
      </c>
      <c r="AC326" t="s">
        <v>136</v>
      </c>
      <c r="AE326" t="s">
        <v>137</v>
      </c>
    </row>
    <row r="327" spans="1:78" hidden="1" x14ac:dyDescent="0.2">
      <c r="A327" t="s">
        <v>119</v>
      </c>
      <c r="B327" t="s">
        <v>120</v>
      </c>
      <c r="C327" t="s">
        <v>931</v>
      </c>
      <c r="D327">
        <v>13</v>
      </c>
      <c r="E327" t="s">
        <v>140</v>
      </c>
      <c r="F327" t="s">
        <v>140</v>
      </c>
      <c r="G327" t="s">
        <v>124</v>
      </c>
      <c r="H327" t="s">
        <v>125</v>
      </c>
      <c r="I327">
        <v>6</v>
      </c>
      <c r="J327" t="s">
        <v>264</v>
      </c>
      <c r="K327" t="s">
        <v>125</v>
      </c>
      <c r="L327" t="s">
        <v>935</v>
      </c>
      <c r="AE327" t="s">
        <v>128</v>
      </c>
    </row>
    <row r="328" spans="1:78" hidden="1" x14ac:dyDescent="0.2">
      <c r="A328" t="s">
        <v>119</v>
      </c>
      <c r="B328" t="s">
        <v>120</v>
      </c>
      <c r="C328" t="s">
        <v>931</v>
      </c>
      <c r="D328">
        <v>22</v>
      </c>
      <c r="E328" t="s">
        <v>410</v>
      </c>
      <c r="F328" t="s">
        <v>411</v>
      </c>
      <c r="G328" t="s">
        <v>124</v>
      </c>
      <c r="H328" t="s">
        <v>125</v>
      </c>
      <c r="I328">
        <v>6</v>
      </c>
      <c r="J328" t="s">
        <v>161</v>
      </c>
      <c r="K328" t="s">
        <v>125</v>
      </c>
      <c r="L328" t="s">
        <v>936</v>
      </c>
      <c r="T328" t="s">
        <v>154</v>
      </c>
      <c r="W328" t="s">
        <v>135</v>
      </c>
    </row>
    <row r="329" spans="1:78" hidden="1" x14ac:dyDescent="0.2">
      <c r="A329" t="s">
        <v>119</v>
      </c>
      <c r="B329" t="s">
        <v>120</v>
      </c>
      <c r="C329" t="s">
        <v>931</v>
      </c>
      <c r="D329">
        <v>23</v>
      </c>
      <c r="E329" t="s">
        <v>140</v>
      </c>
      <c r="F329" t="s">
        <v>140</v>
      </c>
      <c r="G329" t="s">
        <v>124</v>
      </c>
      <c r="H329" t="s">
        <v>125</v>
      </c>
      <c r="I329">
        <v>22</v>
      </c>
      <c r="J329" t="s">
        <v>264</v>
      </c>
      <c r="K329" t="s">
        <v>125</v>
      </c>
      <c r="L329" t="s">
        <v>937</v>
      </c>
      <c r="T329" t="s">
        <v>154</v>
      </c>
      <c r="W329" t="s">
        <v>155</v>
      </c>
    </row>
    <row r="330" spans="1:78" hidden="1" x14ac:dyDescent="0.2">
      <c r="A330" t="s">
        <v>119</v>
      </c>
      <c r="B330" t="s">
        <v>120</v>
      </c>
      <c r="C330" t="s">
        <v>931</v>
      </c>
      <c r="D330">
        <v>29</v>
      </c>
      <c r="E330" t="s">
        <v>410</v>
      </c>
      <c r="F330" t="s">
        <v>411</v>
      </c>
      <c r="G330" t="s">
        <v>124</v>
      </c>
      <c r="H330" t="s">
        <v>125</v>
      </c>
      <c r="I330">
        <v>22</v>
      </c>
      <c r="J330" t="s">
        <v>199</v>
      </c>
      <c r="K330" t="s">
        <v>125</v>
      </c>
      <c r="L330" t="s">
        <v>938</v>
      </c>
      <c r="T330" t="s">
        <v>154</v>
      </c>
      <c r="W330" t="s">
        <v>135</v>
      </c>
    </row>
    <row r="331" spans="1:78" hidden="1" x14ac:dyDescent="0.2">
      <c r="A331" t="s">
        <v>119</v>
      </c>
      <c r="B331" t="s">
        <v>120</v>
      </c>
      <c r="C331" t="s">
        <v>931</v>
      </c>
      <c r="D331">
        <v>30</v>
      </c>
      <c r="E331" t="s">
        <v>140</v>
      </c>
      <c r="F331" t="s">
        <v>140</v>
      </c>
      <c r="G331" t="s">
        <v>124</v>
      </c>
      <c r="H331" t="s">
        <v>125</v>
      </c>
      <c r="I331">
        <v>29</v>
      </c>
      <c r="J331" t="s">
        <v>264</v>
      </c>
      <c r="K331" t="s">
        <v>125</v>
      </c>
      <c r="L331" t="s">
        <v>939</v>
      </c>
      <c r="AE331" t="s">
        <v>128</v>
      </c>
    </row>
    <row r="332" spans="1:78" x14ac:dyDescent="0.2">
      <c r="A332" t="s">
        <v>119</v>
      </c>
      <c r="B332" t="s">
        <v>120</v>
      </c>
      <c r="C332" t="s">
        <v>940</v>
      </c>
      <c r="D332">
        <v>4</v>
      </c>
      <c r="E332" t="s">
        <v>941</v>
      </c>
      <c r="F332" t="s">
        <v>283</v>
      </c>
      <c r="G332" t="s">
        <v>124</v>
      </c>
      <c r="H332" t="s">
        <v>125</v>
      </c>
      <c r="I332">
        <v>0</v>
      </c>
      <c r="J332" t="s">
        <v>126</v>
      </c>
      <c r="K332" t="s">
        <v>125</v>
      </c>
      <c r="L332" t="s">
        <v>942</v>
      </c>
      <c r="U332" t="s">
        <v>149</v>
      </c>
      <c r="W332" t="s">
        <v>155</v>
      </c>
      <c r="X332">
        <v>3</v>
      </c>
      <c r="AC332" t="s">
        <v>136</v>
      </c>
      <c r="AE332" t="s">
        <v>137</v>
      </c>
    </row>
    <row r="333" spans="1:78" x14ac:dyDescent="0.2">
      <c r="A333" t="s">
        <v>119</v>
      </c>
      <c r="B333" t="s">
        <v>120</v>
      </c>
      <c r="C333" t="s">
        <v>940</v>
      </c>
      <c r="D333">
        <v>14</v>
      </c>
      <c r="E333" t="s">
        <v>941</v>
      </c>
      <c r="F333" t="s">
        <v>283</v>
      </c>
      <c r="G333" t="s">
        <v>124</v>
      </c>
      <c r="H333" t="s">
        <v>125</v>
      </c>
      <c r="I333">
        <v>4</v>
      </c>
      <c r="J333" t="s">
        <v>161</v>
      </c>
      <c r="K333" t="s">
        <v>125</v>
      </c>
      <c r="L333" t="s">
        <v>943</v>
      </c>
      <c r="U333" t="s">
        <v>149</v>
      </c>
      <c r="W333" t="s">
        <v>155</v>
      </c>
      <c r="X333">
        <v>3</v>
      </c>
      <c r="AC333" t="s">
        <v>136</v>
      </c>
      <c r="AE333" t="s">
        <v>137</v>
      </c>
    </row>
    <row r="334" spans="1:78" hidden="1" x14ac:dyDescent="0.2">
      <c r="A334" t="s">
        <v>119</v>
      </c>
      <c r="B334" t="s">
        <v>120</v>
      </c>
      <c r="C334" t="s">
        <v>940</v>
      </c>
      <c r="D334">
        <v>24</v>
      </c>
      <c r="E334" t="s">
        <v>944</v>
      </c>
      <c r="F334" t="s">
        <v>202</v>
      </c>
      <c r="G334" t="s">
        <v>124</v>
      </c>
      <c r="H334" t="s">
        <v>125</v>
      </c>
      <c r="I334">
        <v>14</v>
      </c>
      <c r="J334" t="s">
        <v>161</v>
      </c>
      <c r="K334" t="s">
        <v>125</v>
      </c>
      <c r="L334" t="s">
        <v>945</v>
      </c>
      <c r="T334" t="s">
        <v>142</v>
      </c>
      <c r="W334" t="s">
        <v>135</v>
      </c>
      <c r="AC334" t="s">
        <v>143</v>
      </c>
      <c r="AE334" t="s">
        <v>144</v>
      </c>
      <c r="AG334">
        <v>22</v>
      </c>
      <c r="AH334" t="s">
        <v>204</v>
      </c>
      <c r="AI334" t="s">
        <v>205</v>
      </c>
      <c r="AJ334" t="s">
        <v>131</v>
      </c>
      <c r="AK334" t="s">
        <v>125</v>
      </c>
      <c r="AL334">
        <v>24</v>
      </c>
      <c r="AM334" t="s">
        <v>132</v>
      </c>
      <c r="AN334" t="s">
        <v>125</v>
      </c>
      <c r="AO334" t="s">
        <v>946</v>
      </c>
      <c r="BP334" t="s">
        <v>149</v>
      </c>
      <c r="BR334" t="s">
        <v>135</v>
      </c>
      <c r="BS334">
        <v>1</v>
      </c>
      <c r="BX334" t="s">
        <v>136</v>
      </c>
      <c r="BZ334" t="s">
        <v>137</v>
      </c>
    </row>
    <row r="335" spans="1:78" hidden="1" x14ac:dyDescent="0.2">
      <c r="A335" t="s">
        <v>119</v>
      </c>
      <c r="B335" t="s">
        <v>120</v>
      </c>
      <c r="C335" t="s">
        <v>947</v>
      </c>
      <c r="D335">
        <v>3</v>
      </c>
      <c r="E335" t="s">
        <v>261</v>
      </c>
      <c r="F335" t="s">
        <v>261</v>
      </c>
      <c r="G335" t="s">
        <v>124</v>
      </c>
      <c r="H335" t="s">
        <v>125</v>
      </c>
      <c r="I335">
        <v>10</v>
      </c>
      <c r="J335" t="s">
        <v>268</v>
      </c>
      <c r="K335" t="s">
        <v>125</v>
      </c>
      <c r="L335" t="s">
        <v>948</v>
      </c>
      <c r="AE335" t="s">
        <v>128</v>
      </c>
    </row>
    <row r="336" spans="1:78" x14ac:dyDescent="0.2">
      <c r="A336" t="s">
        <v>119</v>
      </c>
      <c r="B336" t="s">
        <v>120</v>
      </c>
      <c r="C336" t="s">
        <v>947</v>
      </c>
      <c r="D336">
        <v>10</v>
      </c>
      <c r="E336" t="s">
        <v>837</v>
      </c>
      <c r="F336" t="s">
        <v>169</v>
      </c>
      <c r="G336" t="s">
        <v>124</v>
      </c>
      <c r="H336" t="s">
        <v>125</v>
      </c>
      <c r="I336">
        <v>0</v>
      </c>
      <c r="J336" t="s">
        <v>126</v>
      </c>
      <c r="K336" t="s">
        <v>125</v>
      </c>
      <c r="L336" t="s">
        <v>949</v>
      </c>
      <c r="U336" t="s">
        <v>134</v>
      </c>
      <c r="W336" t="s">
        <v>135</v>
      </c>
      <c r="X336">
        <v>1</v>
      </c>
      <c r="AC336" t="s">
        <v>136</v>
      </c>
      <c r="AE336" t="s">
        <v>137</v>
      </c>
    </row>
    <row r="337" spans="1:78" x14ac:dyDescent="0.2">
      <c r="A337" t="s">
        <v>119</v>
      </c>
      <c r="B337" t="s">
        <v>120</v>
      </c>
      <c r="C337" t="s">
        <v>950</v>
      </c>
      <c r="D337">
        <v>7</v>
      </c>
      <c r="E337" t="s">
        <v>818</v>
      </c>
      <c r="F337" t="s">
        <v>819</v>
      </c>
      <c r="G337" t="s">
        <v>124</v>
      </c>
      <c r="H337" t="s">
        <v>125</v>
      </c>
      <c r="I337">
        <v>0</v>
      </c>
      <c r="J337" t="s">
        <v>126</v>
      </c>
      <c r="K337" t="s">
        <v>125</v>
      </c>
      <c r="L337" t="s">
        <v>951</v>
      </c>
      <c r="U337" t="s">
        <v>149</v>
      </c>
      <c r="W337" t="s">
        <v>135</v>
      </c>
      <c r="X337">
        <v>3</v>
      </c>
      <c r="AC337" t="s">
        <v>136</v>
      </c>
      <c r="AE337" t="s">
        <v>137</v>
      </c>
    </row>
    <row r="338" spans="1:78" x14ac:dyDescent="0.2">
      <c r="A338" t="s">
        <v>119</v>
      </c>
      <c r="B338" t="s">
        <v>120</v>
      </c>
      <c r="C338" t="s">
        <v>952</v>
      </c>
      <c r="D338">
        <v>3</v>
      </c>
      <c r="E338" t="s">
        <v>953</v>
      </c>
      <c r="F338" t="s">
        <v>954</v>
      </c>
      <c r="G338" t="s">
        <v>124</v>
      </c>
      <c r="H338" t="s">
        <v>125</v>
      </c>
      <c r="I338">
        <v>0</v>
      </c>
      <c r="J338" t="s">
        <v>126</v>
      </c>
      <c r="K338" t="s">
        <v>125</v>
      </c>
      <c r="L338" t="s">
        <v>955</v>
      </c>
      <c r="U338" t="s">
        <v>149</v>
      </c>
      <c r="W338" t="s">
        <v>155</v>
      </c>
      <c r="X338">
        <v>3</v>
      </c>
      <c r="AC338" t="s">
        <v>136</v>
      </c>
      <c r="AE338" t="s">
        <v>137</v>
      </c>
    </row>
    <row r="339" spans="1:78" hidden="1" x14ac:dyDescent="0.2">
      <c r="A339" t="s">
        <v>119</v>
      </c>
      <c r="B339" t="s">
        <v>120</v>
      </c>
      <c r="C339" t="s">
        <v>952</v>
      </c>
      <c r="D339">
        <v>5</v>
      </c>
      <c r="E339" t="s">
        <v>956</v>
      </c>
      <c r="F339" t="s">
        <v>419</v>
      </c>
      <c r="G339" t="s">
        <v>124</v>
      </c>
      <c r="H339" t="s">
        <v>125</v>
      </c>
      <c r="I339">
        <v>3</v>
      </c>
      <c r="J339" t="s">
        <v>294</v>
      </c>
      <c r="K339" t="s">
        <v>125</v>
      </c>
      <c r="L339" t="s">
        <v>957</v>
      </c>
      <c r="AE339" t="s">
        <v>128</v>
      </c>
    </row>
    <row r="340" spans="1:78" hidden="1" x14ac:dyDescent="0.2">
      <c r="A340" t="s">
        <v>119</v>
      </c>
      <c r="B340" t="s">
        <v>120</v>
      </c>
      <c r="C340" t="s">
        <v>952</v>
      </c>
      <c r="D340">
        <v>12</v>
      </c>
      <c r="E340" t="s">
        <v>958</v>
      </c>
      <c r="F340" t="s">
        <v>419</v>
      </c>
      <c r="G340" t="s">
        <v>124</v>
      </c>
      <c r="H340" t="s">
        <v>125</v>
      </c>
      <c r="I340">
        <v>8</v>
      </c>
      <c r="J340" t="s">
        <v>170</v>
      </c>
      <c r="K340" t="s">
        <v>125</v>
      </c>
      <c r="L340" t="s">
        <v>959</v>
      </c>
      <c r="T340" t="s">
        <v>154</v>
      </c>
      <c r="W340" t="s">
        <v>135</v>
      </c>
      <c r="AC340" t="s">
        <v>143</v>
      </c>
      <c r="AE340" t="s">
        <v>144</v>
      </c>
      <c r="AG340">
        <v>11</v>
      </c>
      <c r="AH340" t="s">
        <v>218</v>
      </c>
      <c r="AI340" t="s">
        <v>205</v>
      </c>
      <c r="AJ340" t="s">
        <v>131</v>
      </c>
      <c r="AK340" t="s">
        <v>125</v>
      </c>
      <c r="AL340">
        <v>12</v>
      </c>
      <c r="AM340" t="s">
        <v>132</v>
      </c>
      <c r="AN340" t="s">
        <v>125</v>
      </c>
      <c r="AO340" t="s">
        <v>960</v>
      </c>
      <c r="BP340" t="s">
        <v>149</v>
      </c>
      <c r="BR340" t="s">
        <v>155</v>
      </c>
      <c r="BS340">
        <v>3</v>
      </c>
      <c r="BX340" t="s">
        <v>136</v>
      </c>
      <c r="BZ340" t="s">
        <v>137</v>
      </c>
    </row>
    <row r="341" spans="1:78" x14ac:dyDescent="0.2">
      <c r="A341" t="s">
        <v>119</v>
      </c>
      <c r="B341" t="s">
        <v>120</v>
      </c>
      <c r="C341" t="s">
        <v>952</v>
      </c>
      <c r="D341">
        <v>22</v>
      </c>
      <c r="E341" t="s">
        <v>145</v>
      </c>
      <c r="F341" t="s">
        <v>146</v>
      </c>
      <c r="G341" t="s">
        <v>124</v>
      </c>
      <c r="H341" t="s">
        <v>125</v>
      </c>
      <c r="I341">
        <v>12</v>
      </c>
      <c r="J341" t="s">
        <v>161</v>
      </c>
      <c r="K341" t="s">
        <v>125</v>
      </c>
      <c r="L341" t="s">
        <v>961</v>
      </c>
      <c r="U341" t="s">
        <v>149</v>
      </c>
      <c r="W341" t="s">
        <v>135</v>
      </c>
      <c r="X341">
        <v>3</v>
      </c>
      <c r="AC341" t="s">
        <v>136</v>
      </c>
      <c r="AE341" t="s">
        <v>137</v>
      </c>
    </row>
    <row r="342" spans="1:78" hidden="1" x14ac:dyDescent="0.2">
      <c r="A342" t="s">
        <v>119</v>
      </c>
      <c r="B342" t="s">
        <v>120</v>
      </c>
      <c r="C342" t="s">
        <v>952</v>
      </c>
      <c r="D342">
        <v>30</v>
      </c>
      <c r="E342" t="s">
        <v>962</v>
      </c>
      <c r="F342" t="s">
        <v>963</v>
      </c>
      <c r="G342" t="s">
        <v>124</v>
      </c>
      <c r="H342" t="s">
        <v>125</v>
      </c>
      <c r="I342">
        <v>22</v>
      </c>
      <c r="J342" t="s">
        <v>268</v>
      </c>
      <c r="K342" t="s">
        <v>125</v>
      </c>
      <c r="L342" t="s">
        <v>964</v>
      </c>
      <c r="W342" t="s">
        <v>155</v>
      </c>
    </row>
    <row r="343" spans="1:78" hidden="1" x14ac:dyDescent="0.2">
      <c r="A343" t="s">
        <v>119</v>
      </c>
      <c r="B343" t="s">
        <v>120</v>
      </c>
      <c r="C343" t="s">
        <v>952</v>
      </c>
      <c r="D343">
        <v>33</v>
      </c>
      <c r="E343" t="s">
        <v>419</v>
      </c>
      <c r="F343" t="s">
        <v>419</v>
      </c>
      <c r="G343" t="s">
        <v>124</v>
      </c>
      <c r="H343" t="s">
        <v>125</v>
      </c>
      <c r="I343">
        <v>30</v>
      </c>
      <c r="J343" t="s">
        <v>264</v>
      </c>
      <c r="K343" t="s">
        <v>125</v>
      </c>
      <c r="L343" t="s">
        <v>965</v>
      </c>
      <c r="AE343" t="s">
        <v>128</v>
      </c>
    </row>
    <row r="344" spans="1:78" x14ac:dyDescent="0.2">
      <c r="A344" t="s">
        <v>119</v>
      </c>
      <c r="B344" t="s">
        <v>120</v>
      </c>
      <c r="C344" t="s">
        <v>952</v>
      </c>
      <c r="D344">
        <v>44</v>
      </c>
      <c r="E344" t="s">
        <v>966</v>
      </c>
      <c r="F344" t="s">
        <v>723</v>
      </c>
      <c r="G344" t="s">
        <v>124</v>
      </c>
      <c r="H344" t="s">
        <v>125</v>
      </c>
      <c r="I344">
        <v>30</v>
      </c>
      <c r="J344" t="s">
        <v>161</v>
      </c>
      <c r="K344" t="s">
        <v>125</v>
      </c>
      <c r="L344" t="s">
        <v>967</v>
      </c>
      <c r="U344" t="s">
        <v>149</v>
      </c>
      <c r="W344" t="s">
        <v>135</v>
      </c>
      <c r="X344">
        <v>2</v>
      </c>
      <c r="AC344" t="s">
        <v>136</v>
      </c>
      <c r="AE344" t="s">
        <v>137</v>
      </c>
    </row>
    <row r="345" spans="1:78" hidden="1" x14ac:dyDescent="0.2">
      <c r="A345" t="s">
        <v>119</v>
      </c>
      <c r="B345" t="s">
        <v>120</v>
      </c>
      <c r="C345" t="s">
        <v>952</v>
      </c>
      <c r="D345">
        <v>46</v>
      </c>
      <c r="E345" t="s">
        <v>968</v>
      </c>
      <c r="F345" t="s">
        <v>969</v>
      </c>
      <c r="G345" t="s">
        <v>124</v>
      </c>
      <c r="H345" t="s">
        <v>125</v>
      </c>
      <c r="I345">
        <v>44</v>
      </c>
      <c r="J345" t="s">
        <v>294</v>
      </c>
      <c r="K345" t="s">
        <v>125</v>
      </c>
      <c r="L345" t="s">
        <v>970</v>
      </c>
      <c r="T345" t="s">
        <v>142</v>
      </c>
      <c r="W345" t="s">
        <v>155</v>
      </c>
    </row>
    <row r="346" spans="1:78" x14ac:dyDescent="0.2">
      <c r="A346" t="s">
        <v>119</v>
      </c>
      <c r="B346" t="s">
        <v>120</v>
      </c>
      <c r="C346" t="s">
        <v>952</v>
      </c>
      <c r="D346">
        <v>49</v>
      </c>
      <c r="E346" t="s">
        <v>971</v>
      </c>
      <c r="F346" t="s">
        <v>178</v>
      </c>
      <c r="G346" t="s">
        <v>124</v>
      </c>
      <c r="H346" t="s">
        <v>125</v>
      </c>
      <c r="I346">
        <v>44</v>
      </c>
      <c r="J346" t="s">
        <v>161</v>
      </c>
      <c r="K346" t="s">
        <v>125</v>
      </c>
      <c r="L346" t="s">
        <v>972</v>
      </c>
      <c r="U346" t="s">
        <v>149</v>
      </c>
      <c r="W346" t="s">
        <v>135</v>
      </c>
      <c r="X346">
        <v>2</v>
      </c>
      <c r="AC346" t="s">
        <v>136</v>
      </c>
      <c r="AE346" t="s">
        <v>137</v>
      </c>
    </row>
    <row r="347" spans="1:78" x14ac:dyDescent="0.2">
      <c r="A347" t="s">
        <v>119</v>
      </c>
      <c r="B347" t="s">
        <v>120</v>
      </c>
      <c r="C347" t="s">
        <v>973</v>
      </c>
      <c r="D347">
        <v>9</v>
      </c>
      <c r="E347" t="s">
        <v>974</v>
      </c>
      <c r="F347" t="s">
        <v>350</v>
      </c>
      <c r="G347" t="s">
        <v>124</v>
      </c>
      <c r="H347" t="s">
        <v>125</v>
      </c>
      <c r="I347">
        <v>0</v>
      </c>
      <c r="J347" t="s">
        <v>126</v>
      </c>
      <c r="K347" t="s">
        <v>125</v>
      </c>
      <c r="L347" t="s">
        <v>975</v>
      </c>
      <c r="U347" t="s">
        <v>149</v>
      </c>
      <c r="W347" t="s">
        <v>135</v>
      </c>
      <c r="X347">
        <v>1</v>
      </c>
      <c r="AC347" t="s">
        <v>136</v>
      </c>
      <c r="AE347" t="s">
        <v>137</v>
      </c>
    </row>
    <row r="348" spans="1:78" hidden="1" x14ac:dyDescent="0.2">
      <c r="A348" t="s">
        <v>119</v>
      </c>
      <c r="B348" t="s">
        <v>120</v>
      </c>
      <c r="C348" t="s">
        <v>973</v>
      </c>
      <c r="D348">
        <v>11</v>
      </c>
      <c r="E348" t="s">
        <v>419</v>
      </c>
      <c r="F348" t="s">
        <v>419</v>
      </c>
      <c r="G348" t="s">
        <v>124</v>
      </c>
      <c r="H348" t="s">
        <v>125</v>
      </c>
      <c r="I348">
        <v>9</v>
      </c>
      <c r="J348" t="s">
        <v>294</v>
      </c>
      <c r="K348" t="s">
        <v>125</v>
      </c>
      <c r="L348" t="s">
        <v>976</v>
      </c>
      <c r="AE348" t="s">
        <v>128</v>
      </c>
    </row>
    <row r="349" spans="1:78" hidden="1" x14ac:dyDescent="0.2">
      <c r="A349" t="s">
        <v>119</v>
      </c>
      <c r="B349" t="s">
        <v>120</v>
      </c>
      <c r="C349" t="s">
        <v>973</v>
      </c>
      <c r="D349">
        <v>19</v>
      </c>
      <c r="E349" t="s">
        <v>687</v>
      </c>
      <c r="F349" t="s">
        <v>687</v>
      </c>
      <c r="G349" t="s">
        <v>124</v>
      </c>
      <c r="H349" t="s">
        <v>125</v>
      </c>
      <c r="I349">
        <v>9</v>
      </c>
      <c r="J349" t="s">
        <v>161</v>
      </c>
      <c r="K349" t="s">
        <v>125</v>
      </c>
      <c r="L349" t="s">
        <v>977</v>
      </c>
      <c r="AE349" t="s">
        <v>128</v>
      </c>
    </row>
    <row r="350" spans="1:78" hidden="1" x14ac:dyDescent="0.2">
      <c r="A350" t="s">
        <v>119</v>
      </c>
      <c r="B350" t="s">
        <v>120</v>
      </c>
      <c r="C350" t="s">
        <v>973</v>
      </c>
      <c r="D350">
        <v>29</v>
      </c>
      <c r="E350" t="s">
        <v>905</v>
      </c>
      <c r="F350" t="s">
        <v>978</v>
      </c>
      <c r="G350" t="s">
        <v>124</v>
      </c>
      <c r="H350" t="s">
        <v>125</v>
      </c>
      <c r="I350">
        <v>9</v>
      </c>
      <c r="J350" t="s">
        <v>161</v>
      </c>
      <c r="K350" t="s">
        <v>125</v>
      </c>
      <c r="L350" t="s">
        <v>979</v>
      </c>
      <c r="U350" t="s">
        <v>149</v>
      </c>
      <c r="W350" t="s">
        <v>135</v>
      </c>
      <c r="X350">
        <v>3</v>
      </c>
      <c r="AC350" t="s">
        <v>143</v>
      </c>
      <c r="AE350" t="s">
        <v>137</v>
      </c>
    </row>
    <row r="351" spans="1:78" hidden="1" x14ac:dyDescent="0.2">
      <c r="A351" t="s">
        <v>119</v>
      </c>
      <c r="B351" t="s">
        <v>120</v>
      </c>
      <c r="C351" t="s">
        <v>973</v>
      </c>
      <c r="D351">
        <v>31</v>
      </c>
      <c r="E351" t="s">
        <v>140</v>
      </c>
      <c r="F351" t="s">
        <v>140</v>
      </c>
      <c r="G351" t="s">
        <v>124</v>
      </c>
      <c r="H351" t="s">
        <v>125</v>
      </c>
      <c r="I351">
        <v>29</v>
      </c>
      <c r="J351" t="s">
        <v>268</v>
      </c>
      <c r="K351" t="s">
        <v>125</v>
      </c>
      <c r="L351" t="s">
        <v>980</v>
      </c>
      <c r="AE351" t="s">
        <v>128</v>
      </c>
    </row>
    <row r="352" spans="1:78" x14ac:dyDescent="0.2">
      <c r="A352" t="s">
        <v>119</v>
      </c>
      <c r="B352" t="s">
        <v>120</v>
      </c>
      <c r="C352" t="s">
        <v>973</v>
      </c>
      <c r="D352">
        <v>36</v>
      </c>
      <c r="E352" t="s">
        <v>818</v>
      </c>
      <c r="F352" t="s">
        <v>819</v>
      </c>
      <c r="G352" t="s">
        <v>124</v>
      </c>
      <c r="H352" t="s">
        <v>125</v>
      </c>
      <c r="I352">
        <v>29</v>
      </c>
      <c r="J352" t="s">
        <v>268</v>
      </c>
      <c r="K352" t="s">
        <v>125</v>
      </c>
      <c r="L352" t="s">
        <v>981</v>
      </c>
      <c r="U352" t="s">
        <v>149</v>
      </c>
      <c r="W352" t="s">
        <v>135</v>
      </c>
      <c r="X352">
        <v>3</v>
      </c>
      <c r="AC352" t="s">
        <v>136</v>
      </c>
      <c r="AE352" t="s">
        <v>137</v>
      </c>
    </row>
    <row r="353" spans="1:78" x14ac:dyDescent="0.2">
      <c r="A353" t="s">
        <v>119</v>
      </c>
      <c r="B353" t="s">
        <v>120</v>
      </c>
      <c r="C353" t="s">
        <v>973</v>
      </c>
      <c r="D353">
        <v>42</v>
      </c>
      <c r="E353" t="s">
        <v>818</v>
      </c>
      <c r="F353" t="s">
        <v>819</v>
      </c>
      <c r="G353" t="s">
        <v>124</v>
      </c>
      <c r="H353" t="s">
        <v>125</v>
      </c>
      <c r="I353">
        <v>36</v>
      </c>
      <c r="J353" t="s">
        <v>161</v>
      </c>
      <c r="K353" t="s">
        <v>125</v>
      </c>
      <c r="L353" t="s">
        <v>982</v>
      </c>
      <c r="U353" t="s">
        <v>149</v>
      </c>
      <c r="W353" t="s">
        <v>135</v>
      </c>
      <c r="X353">
        <v>3</v>
      </c>
      <c r="AC353" t="s">
        <v>136</v>
      </c>
      <c r="AE353" t="s">
        <v>137</v>
      </c>
    </row>
    <row r="354" spans="1:78" x14ac:dyDescent="0.2">
      <c r="A354" t="s">
        <v>119</v>
      </c>
      <c r="B354" t="s">
        <v>120</v>
      </c>
      <c r="C354" t="s">
        <v>983</v>
      </c>
      <c r="D354">
        <v>4</v>
      </c>
      <c r="E354" t="s">
        <v>204</v>
      </c>
      <c r="F354" t="s">
        <v>205</v>
      </c>
      <c r="G354" t="s">
        <v>124</v>
      </c>
      <c r="H354" t="s">
        <v>125</v>
      </c>
      <c r="I354">
        <v>0</v>
      </c>
      <c r="J354" t="s">
        <v>126</v>
      </c>
      <c r="K354" t="s">
        <v>125</v>
      </c>
      <c r="L354" t="s">
        <v>984</v>
      </c>
      <c r="U354" t="s">
        <v>149</v>
      </c>
      <c r="W354" t="s">
        <v>135</v>
      </c>
      <c r="X354">
        <v>1</v>
      </c>
      <c r="AC354" t="s">
        <v>136</v>
      </c>
      <c r="AE354" t="s">
        <v>137</v>
      </c>
    </row>
    <row r="355" spans="1:78" hidden="1" x14ac:dyDescent="0.2">
      <c r="A355" t="s">
        <v>119</v>
      </c>
      <c r="B355" t="s">
        <v>120</v>
      </c>
      <c r="C355" t="s">
        <v>983</v>
      </c>
      <c r="D355">
        <v>11</v>
      </c>
      <c r="E355" t="s">
        <v>423</v>
      </c>
      <c r="F355" t="s">
        <v>424</v>
      </c>
      <c r="G355" t="s">
        <v>124</v>
      </c>
      <c r="H355" t="s">
        <v>125</v>
      </c>
      <c r="I355">
        <v>9</v>
      </c>
      <c r="J355" t="s">
        <v>264</v>
      </c>
      <c r="K355" t="s">
        <v>125</v>
      </c>
      <c r="L355" t="s">
        <v>985</v>
      </c>
      <c r="U355" t="s">
        <v>149</v>
      </c>
      <c r="W355" t="s">
        <v>135</v>
      </c>
      <c r="X355">
        <v>1</v>
      </c>
      <c r="AC355" t="s">
        <v>209</v>
      </c>
      <c r="AE355" t="s">
        <v>137</v>
      </c>
    </row>
    <row r="356" spans="1:78" x14ac:dyDescent="0.2">
      <c r="A356" t="s">
        <v>119</v>
      </c>
      <c r="B356" t="s">
        <v>120</v>
      </c>
      <c r="C356" t="s">
        <v>986</v>
      </c>
      <c r="D356">
        <v>10</v>
      </c>
      <c r="E356" t="s">
        <v>204</v>
      </c>
      <c r="F356" t="s">
        <v>205</v>
      </c>
      <c r="G356" t="s">
        <v>124</v>
      </c>
      <c r="H356" t="s">
        <v>125</v>
      </c>
      <c r="I356">
        <v>0</v>
      </c>
      <c r="J356" t="s">
        <v>126</v>
      </c>
      <c r="K356" t="s">
        <v>125</v>
      </c>
      <c r="L356" t="s">
        <v>987</v>
      </c>
      <c r="U356" t="s">
        <v>149</v>
      </c>
      <c r="W356" t="s">
        <v>135</v>
      </c>
      <c r="X356">
        <v>1</v>
      </c>
      <c r="AC356" t="s">
        <v>136</v>
      </c>
      <c r="AE356" t="s">
        <v>137</v>
      </c>
    </row>
    <row r="357" spans="1:78" hidden="1" x14ac:dyDescent="0.2">
      <c r="A357" t="s">
        <v>119</v>
      </c>
      <c r="B357" t="s">
        <v>120</v>
      </c>
      <c r="C357" t="s">
        <v>986</v>
      </c>
      <c r="D357">
        <v>13</v>
      </c>
      <c r="E357" t="s">
        <v>988</v>
      </c>
      <c r="F357" t="s">
        <v>424</v>
      </c>
      <c r="G357" t="s">
        <v>124</v>
      </c>
      <c r="H357" t="s">
        <v>125</v>
      </c>
      <c r="I357">
        <v>10</v>
      </c>
      <c r="J357" t="s">
        <v>264</v>
      </c>
      <c r="K357" t="s">
        <v>125</v>
      </c>
      <c r="L357" t="s">
        <v>989</v>
      </c>
      <c r="T357" t="s">
        <v>154</v>
      </c>
      <c r="W357" t="s">
        <v>155</v>
      </c>
      <c r="AC357" t="s">
        <v>143</v>
      </c>
      <c r="AE357" t="s">
        <v>144</v>
      </c>
    </row>
    <row r="358" spans="1:78" x14ac:dyDescent="0.2">
      <c r="A358" t="s">
        <v>119</v>
      </c>
      <c r="B358" t="s">
        <v>120</v>
      </c>
      <c r="C358" t="s">
        <v>990</v>
      </c>
      <c r="D358">
        <v>6</v>
      </c>
      <c r="E358" t="s">
        <v>160</v>
      </c>
      <c r="F358" t="s">
        <v>146</v>
      </c>
      <c r="G358" t="s">
        <v>124</v>
      </c>
      <c r="H358" t="s">
        <v>125</v>
      </c>
      <c r="I358">
        <v>0</v>
      </c>
      <c r="J358" t="s">
        <v>126</v>
      </c>
      <c r="K358" t="s">
        <v>125</v>
      </c>
      <c r="L358" t="s">
        <v>991</v>
      </c>
      <c r="U358" t="s">
        <v>149</v>
      </c>
      <c r="W358" t="s">
        <v>155</v>
      </c>
      <c r="X358">
        <v>3</v>
      </c>
      <c r="AC358" t="s">
        <v>136</v>
      </c>
      <c r="AE358" t="s">
        <v>137</v>
      </c>
    </row>
    <row r="359" spans="1:78" x14ac:dyDescent="0.2">
      <c r="A359" t="s">
        <v>119</v>
      </c>
      <c r="B359" t="s">
        <v>120</v>
      </c>
      <c r="C359" t="s">
        <v>990</v>
      </c>
      <c r="D359">
        <v>25</v>
      </c>
      <c r="E359" t="s">
        <v>235</v>
      </c>
      <c r="F359" t="s">
        <v>146</v>
      </c>
      <c r="G359" t="s">
        <v>124</v>
      </c>
      <c r="H359" t="s">
        <v>125</v>
      </c>
      <c r="I359">
        <v>22</v>
      </c>
      <c r="J359" t="s">
        <v>268</v>
      </c>
      <c r="K359" t="s">
        <v>125</v>
      </c>
      <c r="L359" t="s">
        <v>992</v>
      </c>
      <c r="U359" t="s">
        <v>149</v>
      </c>
      <c r="W359" t="s">
        <v>155</v>
      </c>
      <c r="X359">
        <v>3</v>
      </c>
      <c r="AC359" t="s">
        <v>136</v>
      </c>
      <c r="AE359" t="s">
        <v>137</v>
      </c>
    </row>
    <row r="360" spans="1:78" x14ac:dyDescent="0.2">
      <c r="A360" t="s">
        <v>119</v>
      </c>
      <c r="B360" t="s">
        <v>120</v>
      </c>
      <c r="C360" t="s">
        <v>990</v>
      </c>
      <c r="D360">
        <v>32</v>
      </c>
      <c r="E360" t="s">
        <v>993</v>
      </c>
      <c r="F360" t="s">
        <v>994</v>
      </c>
      <c r="G360" t="s">
        <v>124</v>
      </c>
      <c r="H360" t="s">
        <v>125</v>
      </c>
      <c r="I360">
        <v>30</v>
      </c>
      <c r="J360" t="s">
        <v>170</v>
      </c>
      <c r="K360" t="s">
        <v>125</v>
      </c>
      <c r="L360" t="s">
        <v>995</v>
      </c>
      <c r="U360" t="s">
        <v>149</v>
      </c>
      <c r="W360" t="s">
        <v>155</v>
      </c>
      <c r="X360">
        <v>3</v>
      </c>
      <c r="AC360" t="s">
        <v>136</v>
      </c>
      <c r="AE360" t="s">
        <v>137</v>
      </c>
    </row>
    <row r="361" spans="1:78" x14ac:dyDescent="0.2">
      <c r="A361" t="s">
        <v>119</v>
      </c>
      <c r="B361" t="s">
        <v>120</v>
      </c>
      <c r="C361" t="s">
        <v>990</v>
      </c>
      <c r="D361">
        <v>41</v>
      </c>
      <c r="E361" t="s">
        <v>145</v>
      </c>
      <c r="F361" t="s">
        <v>146</v>
      </c>
      <c r="G361" t="s">
        <v>124</v>
      </c>
      <c r="H361" t="s">
        <v>125</v>
      </c>
      <c r="I361">
        <v>42</v>
      </c>
      <c r="J361" t="s">
        <v>210</v>
      </c>
      <c r="K361" t="s">
        <v>125</v>
      </c>
      <c r="L361" t="s">
        <v>996</v>
      </c>
      <c r="U361" t="s">
        <v>149</v>
      </c>
      <c r="W361" t="s">
        <v>135</v>
      </c>
      <c r="X361">
        <v>3</v>
      </c>
      <c r="AC361" t="s">
        <v>136</v>
      </c>
      <c r="AE361" t="s">
        <v>137</v>
      </c>
    </row>
    <row r="362" spans="1:78" x14ac:dyDescent="0.2">
      <c r="A362" t="s">
        <v>119</v>
      </c>
      <c r="B362" t="s">
        <v>120</v>
      </c>
      <c r="C362" t="s">
        <v>997</v>
      </c>
      <c r="D362">
        <v>13</v>
      </c>
      <c r="E362" t="s">
        <v>818</v>
      </c>
      <c r="F362" t="s">
        <v>818</v>
      </c>
      <c r="G362" t="s">
        <v>124</v>
      </c>
      <c r="H362" t="s">
        <v>125</v>
      </c>
      <c r="I362">
        <v>0</v>
      </c>
      <c r="J362" t="s">
        <v>126</v>
      </c>
      <c r="K362" t="s">
        <v>125</v>
      </c>
      <c r="L362" t="s">
        <v>998</v>
      </c>
      <c r="U362" t="s">
        <v>149</v>
      </c>
      <c r="W362" t="s">
        <v>135</v>
      </c>
      <c r="X362">
        <v>3</v>
      </c>
      <c r="AC362" t="s">
        <v>136</v>
      </c>
      <c r="AE362" t="s">
        <v>137</v>
      </c>
    </row>
    <row r="363" spans="1:78" x14ac:dyDescent="0.2">
      <c r="A363" t="s">
        <v>119</v>
      </c>
      <c r="B363" t="s">
        <v>120</v>
      </c>
      <c r="C363" t="s">
        <v>999</v>
      </c>
      <c r="D363">
        <v>15</v>
      </c>
      <c r="E363" t="s">
        <v>1000</v>
      </c>
      <c r="F363" t="s">
        <v>1001</v>
      </c>
      <c r="G363" t="s">
        <v>124</v>
      </c>
      <c r="H363" t="s">
        <v>125</v>
      </c>
      <c r="I363">
        <v>10</v>
      </c>
      <c r="J363" t="s">
        <v>161</v>
      </c>
      <c r="K363" t="s">
        <v>125</v>
      </c>
      <c r="L363" t="s">
        <v>1002</v>
      </c>
      <c r="U363" t="s">
        <v>149</v>
      </c>
      <c r="W363" t="s">
        <v>135</v>
      </c>
      <c r="X363">
        <v>3</v>
      </c>
      <c r="AC363" t="s">
        <v>136</v>
      </c>
      <c r="AE363" t="s">
        <v>137</v>
      </c>
    </row>
    <row r="364" spans="1:78" x14ac:dyDescent="0.2">
      <c r="A364" t="s">
        <v>119</v>
      </c>
      <c r="B364" t="s">
        <v>120</v>
      </c>
      <c r="C364" t="s">
        <v>1003</v>
      </c>
      <c r="D364">
        <v>3</v>
      </c>
      <c r="E364" t="s">
        <v>145</v>
      </c>
      <c r="F364" t="s">
        <v>146</v>
      </c>
      <c r="G364" t="s">
        <v>124</v>
      </c>
      <c r="H364" t="s">
        <v>125</v>
      </c>
      <c r="I364">
        <v>0</v>
      </c>
      <c r="J364" t="s">
        <v>126</v>
      </c>
      <c r="K364" t="s">
        <v>125</v>
      </c>
      <c r="L364" t="s">
        <v>1004</v>
      </c>
      <c r="U364" t="s">
        <v>149</v>
      </c>
      <c r="W364" t="s">
        <v>135</v>
      </c>
      <c r="X364">
        <v>3</v>
      </c>
      <c r="AC364" t="s">
        <v>136</v>
      </c>
      <c r="AE364" t="s">
        <v>137</v>
      </c>
    </row>
    <row r="365" spans="1:78" hidden="1" x14ac:dyDescent="0.2">
      <c r="A365" t="s">
        <v>119</v>
      </c>
      <c r="B365" t="s">
        <v>120</v>
      </c>
      <c r="C365" t="s">
        <v>1003</v>
      </c>
      <c r="D365">
        <v>23</v>
      </c>
      <c r="E365" t="s">
        <v>1005</v>
      </c>
      <c r="F365" t="s">
        <v>1006</v>
      </c>
      <c r="G365" t="s">
        <v>124</v>
      </c>
      <c r="H365" t="s">
        <v>125</v>
      </c>
      <c r="I365">
        <v>10</v>
      </c>
      <c r="J365" t="s">
        <v>161</v>
      </c>
      <c r="K365" t="s">
        <v>125</v>
      </c>
      <c r="L365" t="s">
        <v>1007</v>
      </c>
      <c r="AE365" t="s">
        <v>394</v>
      </c>
      <c r="AG365">
        <v>22</v>
      </c>
      <c r="AH365" t="s">
        <v>323</v>
      </c>
      <c r="AI365" t="s">
        <v>283</v>
      </c>
      <c r="AJ365" t="s">
        <v>131</v>
      </c>
      <c r="AK365" t="s">
        <v>125</v>
      </c>
      <c r="AL365">
        <v>23</v>
      </c>
      <c r="AM365" t="s">
        <v>132</v>
      </c>
      <c r="AN365" t="s">
        <v>125</v>
      </c>
      <c r="AO365" t="s">
        <v>1008</v>
      </c>
      <c r="BP365" t="s">
        <v>149</v>
      </c>
      <c r="BR365" t="s">
        <v>135</v>
      </c>
      <c r="BS365">
        <v>1</v>
      </c>
      <c r="BX365" t="s">
        <v>136</v>
      </c>
      <c r="BZ365" t="s">
        <v>137</v>
      </c>
    </row>
    <row r="366" spans="1:78" hidden="1" x14ac:dyDescent="0.2">
      <c r="A366" t="s">
        <v>119</v>
      </c>
      <c r="B366" t="s">
        <v>120</v>
      </c>
      <c r="C366" t="s">
        <v>1003</v>
      </c>
      <c r="D366">
        <v>26</v>
      </c>
      <c r="E366" t="s">
        <v>1009</v>
      </c>
      <c r="F366" t="s">
        <v>534</v>
      </c>
      <c r="G366" t="s">
        <v>124</v>
      </c>
      <c r="H366" t="s">
        <v>125</v>
      </c>
      <c r="I366">
        <v>23</v>
      </c>
      <c r="J366" t="s">
        <v>264</v>
      </c>
      <c r="K366" t="s">
        <v>125</v>
      </c>
      <c r="L366" t="s">
        <v>1010</v>
      </c>
      <c r="AE366" t="s">
        <v>394</v>
      </c>
      <c r="AG366">
        <v>25</v>
      </c>
      <c r="AH366" t="s">
        <v>1011</v>
      </c>
      <c r="AI366" t="s">
        <v>283</v>
      </c>
      <c r="AJ366" t="s">
        <v>131</v>
      </c>
      <c r="AK366" t="s">
        <v>125</v>
      </c>
      <c r="AL366">
        <v>26</v>
      </c>
      <c r="AM366" t="s">
        <v>132</v>
      </c>
      <c r="AN366" t="s">
        <v>125</v>
      </c>
      <c r="AO366" t="s">
        <v>1012</v>
      </c>
    </row>
    <row r="367" spans="1:78" hidden="1" x14ac:dyDescent="0.2">
      <c r="A367" t="s">
        <v>119</v>
      </c>
      <c r="B367" t="s">
        <v>120</v>
      </c>
      <c r="C367" t="s">
        <v>1003</v>
      </c>
      <c r="D367">
        <v>28</v>
      </c>
      <c r="E367" t="s">
        <v>861</v>
      </c>
      <c r="F367" t="s">
        <v>140</v>
      </c>
      <c r="G367" t="s">
        <v>124</v>
      </c>
      <c r="H367" t="s">
        <v>125</v>
      </c>
      <c r="I367">
        <v>26</v>
      </c>
      <c r="J367" t="s">
        <v>294</v>
      </c>
      <c r="K367" t="s">
        <v>125</v>
      </c>
      <c r="L367" t="s">
        <v>1013</v>
      </c>
      <c r="AE367" t="s">
        <v>128</v>
      </c>
    </row>
    <row r="368" spans="1:78" x14ac:dyDescent="0.2">
      <c r="A368" t="s">
        <v>119</v>
      </c>
      <c r="B368" t="s">
        <v>120</v>
      </c>
      <c r="C368" t="s">
        <v>1014</v>
      </c>
      <c r="D368">
        <v>8</v>
      </c>
      <c r="E368" t="s">
        <v>260</v>
      </c>
      <c r="F368" t="s">
        <v>261</v>
      </c>
      <c r="G368" t="s">
        <v>124</v>
      </c>
      <c r="H368" t="s">
        <v>125</v>
      </c>
      <c r="I368">
        <v>13</v>
      </c>
      <c r="J368" t="s">
        <v>199</v>
      </c>
      <c r="K368" t="s">
        <v>125</v>
      </c>
      <c r="L368" t="s">
        <v>1015</v>
      </c>
      <c r="U368" t="s">
        <v>149</v>
      </c>
      <c r="W368" t="s">
        <v>155</v>
      </c>
      <c r="X368">
        <v>1</v>
      </c>
      <c r="AC368" t="s">
        <v>136</v>
      </c>
      <c r="AE368" t="s">
        <v>137</v>
      </c>
    </row>
    <row r="369" spans="1:78" hidden="1" x14ac:dyDescent="0.2">
      <c r="A369" t="s">
        <v>119</v>
      </c>
      <c r="B369" t="s">
        <v>120</v>
      </c>
      <c r="C369" t="s">
        <v>1014</v>
      </c>
      <c r="D369">
        <v>15</v>
      </c>
      <c r="E369" t="s">
        <v>1016</v>
      </c>
      <c r="F369" t="s">
        <v>915</v>
      </c>
      <c r="G369" t="s">
        <v>124</v>
      </c>
      <c r="H369" t="s">
        <v>125</v>
      </c>
      <c r="I369">
        <v>13</v>
      </c>
      <c r="J369" t="s">
        <v>386</v>
      </c>
      <c r="K369" t="s">
        <v>125</v>
      </c>
      <c r="L369" t="s">
        <v>1017</v>
      </c>
      <c r="T369" t="s">
        <v>154</v>
      </c>
      <c r="W369" t="s">
        <v>135</v>
      </c>
      <c r="AC369" t="s">
        <v>143</v>
      </c>
      <c r="AE369" t="s">
        <v>144</v>
      </c>
      <c r="AG369">
        <v>14</v>
      </c>
      <c r="AH369" t="s">
        <v>204</v>
      </c>
      <c r="AI369" t="s">
        <v>205</v>
      </c>
      <c r="AJ369" t="s">
        <v>131</v>
      </c>
      <c r="AK369" t="s">
        <v>125</v>
      </c>
      <c r="AL369">
        <v>15</v>
      </c>
      <c r="AM369" t="s">
        <v>132</v>
      </c>
      <c r="AN369" t="s">
        <v>125</v>
      </c>
      <c r="AO369" t="s">
        <v>1018</v>
      </c>
      <c r="BP369" t="s">
        <v>149</v>
      </c>
      <c r="BR369" t="s">
        <v>135</v>
      </c>
      <c r="BS369">
        <v>1</v>
      </c>
      <c r="BX369" t="s">
        <v>136</v>
      </c>
      <c r="BZ369" t="s">
        <v>137</v>
      </c>
    </row>
    <row r="370" spans="1:78" hidden="1" x14ac:dyDescent="0.2">
      <c r="A370" t="s">
        <v>119</v>
      </c>
      <c r="B370" t="s">
        <v>120</v>
      </c>
      <c r="C370" t="s">
        <v>1014</v>
      </c>
      <c r="D370">
        <v>17</v>
      </c>
      <c r="E370" t="s">
        <v>424</v>
      </c>
      <c r="F370" t="s">
        <v>424</v>
      </c>
      <c r="G370" t="s">
        <v>124</v>
      </c>
      <c r="H370" t="s">
        <v>125</v>
      </c>
      <c r="I370">
        <v>15</v>
      </c>
      <c r="J370" t="s">
        <v>294</v>
      </c>
      <c r="K370" t="s">
        <v>125</v>
      </c>
      <c r="L370" t="s">
        <v>1019</v>
      </c>
      <c r="AE370" t="s">
        <v>128</v>
      </c>
    </row>
    <row r="371" spans="1:78" x14ac:dyDescent="0.2">
      <c r="A371" t="s">
        <v>119</v>
      </c>
      <c r="B371" t="s">
        <v>120</v>
      </c>
      <c r="C371" t="s">
        <v>1014</v>
      </c>
      <c r="D371">
        <v>23</v>
      </c>
      <c r="E371" t="s">
        <v>204</v>
      </c>
      <c r="F371" t="s">
        <v>205</v>
      </c>
      <c r="G371" t="s">
        <v>124</v>
      </c>
      <c r="H371" t="s">
        <v>125</v>
      </c>
      <c r="I371">
        <v>20</v>
      </c>
      <c r="J371" t="s">
        <v>170</v>
      </c>
      <c r="K371" t="s">
        <v>125</v>
      </c>
      <c r="L371" t="s">
        <v>1020</v>
      </c>
      <c r="U371" t="s">
        <v>149</v>
      </c>
      <c r="W371" t="s">
        <v>135</v>
      </c>
      <c r="X371">
        <v>1</v>
      </c>
      <c r="AC371" t="s">
        <v>136</v>
      </c>
      <c r="AE371" t="s">
        <v>137</v>
      </c>
    </row>
    <row r="372" spans="1:78" x14ac:dyDescent="0.2">
      <c r="A372" t="s">
        <v>119</v>
      </c>
      <c r="B372" t="s">
        <v>120</v>
      </c>
      <c r="C372" t="s">
        <v>1014</v>
      </c>
      <c r="D372">
        <v>29</v>
      </c>
      <c r="E372" t="s">
        <v>1021</v>
      </c>
      <c r="F372" t="s">
        <v>186</v>
      </c>
      <c r="G372" t="s">
        <v>124</v>
      </c>
      <c r="H372" t="s">
        <v>125</v>
      </c>
      <c r="I372">
        <v>0</v>
      </c>
      <c r="J372" t="s">
        <v>126</v>
      </c>
      <c r="K372" t="s">
        <v>125</v>
      </c>
      <c r="L372" t="s">
        <v>1022</v>
      </c>
      <c r="U372" t="s">
        <v>149</v>
      </c>
      <c r="W372" t="s">
        <v>135</v>
      </c>
      <c r="X372">
        <v>1</v>
      </c>
      <c r="AC372" t="s">
        <v>136</v>
      </c>
      <c r="AE372" t="s">
        <v>137</v>
      </c>
    </row>
    <row r="373" spans="1:78" hidden="1" x14ac:dyDescent="0.2">
      <c r="A373" t="s">
        <v>119</v>
      </c>
      <c r="B373" t="s">
        <v>120</v>
      </c>
      <c r="C373" t="s">
        <v>1014</v>
      </c>
      <c r="D373">
        <v>34</v>
      </c>
      <c r="E373" t="s">
        <v>1023</v>
      </c>
      <c r="F373" t="s">
        <v>186</v>
      </c>
      <c r="G373" t="s">
        <v>124</v>
      </c>
      <c r="H373" t="s">
        <v>125</v>
      </c>
      <c r="I373">
        <v>29</v>
      </c>
      <c r="J373" t="s">
        <v>161</v>
      </c>
      <c r="K373" t="s">
        <v>125</v>
      </c>
      <c r="L373" t="s">
        <v>1024</v>
      </c>
      <c r="T373" t="s">
        <v>154</v>
      </c>
      <c r="W373" t="s">
        <v>135</v>
      </c>
      <c r="AC373" t="s">
        <v>143</v>
      </c>
      <c r="AE373" t="s">
        <v>144</v>
      </c>
      <c r="AG373">
        <v>32</v>
      </c>
      <c r="AH373" t="s">
        <v>204</v>
      </c>
      <c r="AI373" t="s">
        <v>205</v>
      </c>
      <c r="AJ373" t="s">
        <v>131</v>
      </c>
      <c r="AK373" t="s">
        <v>125</v>
      </c>
      <c r="AL373">
        <v>34</v>
      </c>
      <c r="AM373" t="s">
        <v>132</v>
      </c>
      <c r="AN373" t="s">
        <v>125</v>
      </c>
      <c r="AO373" t="s">
        <v>1025</v>
      </c>
      <c r="BP373" t="s">
        <v>149</v>
      </c>
      <c r="BR373" t="s">
        <v>135</v>
      </c>
      <c r="BS373">
        <v>1</v>
      </c>
      <c r="BX373" t="s">
        <v>136</v>
      </c>
      <c r="BZ373" t="s">
        <v>137</v>
      </c>
    </row>
    <row r="374" spans="1:78" hidden="1" x14ac:dyDescent="0.2">
      <c r="A374" t="s">
        <v>119</v>
      </c>
      <c r="B374" t="s">
        <v>120</v>
      </c>
      <c r="C374" t="s">
        <v>1014</v>
      </c>
      <c r="D374">
        <v>43</v>
      </c>
      <c r="E374" t="s">
        <v>1026</v>
      </c>
      <c r="F374" t="s">
        <v>1027</v>
      </c>
      <c r="G374" t="s">
        <v>124</v>
      </c>
      <c r="H374" t="s">
        <v>125</v>
      </c>
      <c r="I374">
        <v>41</v>
      </c>
      <c r="J374" t="s">
        <v>386</v>
      </c>
      <c r="K374" t="s">
        <v>125</v>
      </c>
      <c r="L374" t="s">
        <v>1028</v>
      </c>
      <c r="AE374" t="s">
        <v>128</v>
      </c>
    </row>
    <row r="375" spans="1:78" hidden="1" x14ac:dyDescent="0.2">
      <c r="A375" t="s">
        <v>119</v>
      </c>
      <c r="B375" t="s">
        <v>120</v>
      </c>
      <c r="C375" t="s">
        <v>1029</v>
      </c>
      <c r="D375">
        <v>3</v>
      </c>
      <c r="E375" t="s">
        <v>421</v>
      </c>
      <c r="F375" t="s">
        <v>205</v>
      </c>
      <c r="G375" t="s">
        <v>124</v>
      </c>
      <c r="H375" t="s">
        <v>125</v>
      </c>
      <c r="I375">
        <v>8</v>
      </c>
      <c r="J375" t="s">
        <v>268</v>
      </c>
      <c r="K375" t="s">
        <v>125</v>
      </c>
      <c r="L375" t="s">
        <v>1030</v>
      </c>
      <c r="U375" t="s">
        <v>149</v>
      </c>
      <c r="W375" t="s">
        <v>135</v>
      </c>
      <c r="X375">
        <v>1</v>
      </c>
      <c r="AC375" t="s">
        <v>209</v>
      </c>
      <c r="AE375" t="s">
        <v>137</v>
      </c>
    </row>
    <row r="376" spans="1:78" hidden="1" x14ac:dyDescent="0.2">
      <c r="A376" t="s">
        <v>119</v>
      </c>
      <c r="B376" t="s">
        <v>120</v>
      </c>
      <c r="C376" t="s">
        <v>1029</v>
      </c>
      <c r="D376">
        <v>8</v>
      </c>
      <c r="E376" t="s">
        <v>512</v>
      </c>
      <c r="F376" t="s">
        <v>146</v>
      </c>
      <c r="G376" t="s">
        <v>124</v>
      </c>
      <c r="H376" t="s">
        <v>125</v>
      </c>
      <c r="I376">
        <v>0</v>
      </c>
      <c r="J376" t="s">
        <v>126</v>
      </c>
      <c r="K376" t="s">
        <v>125</v>
      </c>
      <c r="L376" t="s">
        <v>1031</v>
      </c>
      <c r="U376" t="s">
        <v>149</v>
      </c>
      <c r="W376" t="s">
        <v>155</v>
      </c>
      <c r="X376">
        <v>3</v>
      </c>
      <c r="AC376" t="s">
        <v>209</v>
      </c>
      <c r="AE376" t="s">
        <v>137</v>
      </c>
    </row>
    <row r="377" spans="1:78" hidden="1" x14ac:dyDescent="0.2">
      <c r="A377" t="s">
        <v>119</v>
      </c>
      <c r="B377" t="s">
        <v>120</v>
      </c>
      <c r="C377" t="s">
        <v>1029</v>
      </c>
      <c r="D377">
        <v>12</v>
      </c>
      <c r="E377" t="s">
        <v>1032</v>
      </c>
      <c r="F377" t="s">
        <v>994</v>
      </c>
      <c r="G377" t="s">
        <v>124</v>
      </c>
      <c r="H377" t="s">
        <v>125</v>
      </c>
      <c r="I377">
        <v>8</v>
      </c>
      <c r="J377" t="s">
        <v>199</v>
      </c>
      <c r="K377" t="s">
        <v>125</v>
      </c>
      <c r="L377" t="s">
        <v>1033</v>
      </c>
      <c r="U377" t="s">
        <v>149</v>
      </c>
      <c r="W377" t="s">
        <v>155</v>
      </c>
      <c r="X377">
        <v>3</v>
      </c>
      <c r="AC377" t="s">
        <v>209</v>
      </c>
      <c r="AE377" t="s">
        <v>137</v>
      </c>
    </row>
    <row r="378" spans="1:78" hidden="1" x14ac:dyDescent="0.2">
      <c r="A378" t="s">
        <v>119</v>
      </c>
      <c r="B378" t="s">
        <v>120</v>
      </c>
      <c r="C378" t="s">
        <v>1034</v>
      </c>
      <c r="D378">
        <v>4</v>
      </c>
      <c r="E378" t="s">
        <v>1035</v>
      </c>
      <c r="F378" t="s">
        <v>994</v>
      </c>
      <c r="G378" t="s">
        <v>124</v>
      </c>
      <c r="H378" t="s">
        <v>125</v>
      </c>
      <c r="I378">
        <v>0</v>
      </c>
      <c r="J378" t="s">
        <v>126</v>
      </c>
      <c r="K378" t="s">
        <v>125</v>
      </c>
      <c r="L378" t="s">
        <v>1036</v>
      </c>
      <c r="U378" t="s">
        <v>149</v>
      </c>
      <c r="W378" t="s">
        <v>135</v>
      </c>
      <c r="X378">
        <v>3</v>
      </c>
      <c r="AC378" t="s">
        <v>209</v>
      </c>
      <c r="AE378" t="s">
        <v>137</v>
      </c>
    </row>
    <row r="379" spans="1:78" hidden="1" x14ac:dyDescent="0.2">
      <c r="A379" t="s">
        <v>119</v>
      </c>
      <c r="B379" t="s">
        <v>120</v>
      </c>
      <c r="C379" t="s">
        <v>1034</v>
      </c>
      <c r="D379">
        <v>8</v>
      </c>
      <c r="E379" t="s">
        <v>734</v>
      </c>
      <c r="F379" t="s">
        <v>735</v>
      </c>
      <c r="G379" t="s">
        <v>124</v>
      </c>
      <c r="H379" t="s">
        <v>125</v>
      </c>
      <c r="I379">
        <v>4</v>
      </c>
      <c r="J379" t="s">
        <v>161</v>
      </c>
      <c r="K379" t="s">
        <v>125</v>
      </c>
      <c r="L379" t="s">
        <v>1037</v>
      </c>
      <c r="U379" t="s">
        <v>149</v>
      </c>
      <c r="W379" t="s">
        <v>155</v>
      </c>
      <c r="X379">
        <v>3</v>
      </c>
      <c r="AC379" t="s">
        <v>209</v>
      </c>
      <c r="AE379" t="s">
        <v>137</v>
      </c>
    </row>
    <row r="380" spans="1:78" hidden="1" x14ac:dyDescent="0.2">
      <c r="A380" t="s">
        <v>119</v>
      </c>
      <c r="B380" t="s">
        <v>120</v>
      </c>
      <c r="C380" t="s">
        <v>1034</v>
      </c>
      <c r="D380">
        <v>15</v>
      </c>
      <c r="E380" t="s">
        <v>1038</v>
      </c>
      <c r="F380" t="s">
        <v>1039</v>
      </c>
      <c r="G380" t="s">
        <v>124</v>
      </c>
      <c r="H380" t="s">
        <v>125</v>
      </c>
      <c r="I380">
        <v>13</v>
      </c>
      <c r="J380" t="s">
        <v>386</v>
      </c>
      <c r="K380" t="s">
        <v>125</v>
      </c>
      <c r="L380" t="s">
        <v>1040</v>
      </c>
      <c r="AE380" t="s">
        <v>128</v>
      </c>
    </row>
    <row r="381" spans="1:78" hidden="1" x14ac:dyDescent="0.2">
      <c r="A381" t="s">
        <v>119</v>
      </c>
      <c r="B381" t="s">
        <v>120</v>
      </c>
      <c r="C381" t="s">
        <v>1034</v>
      </c>
      <c r="D381">
        <v>27</v>
      </c>
      <c r="E381" t="s">
        <v>1041</v>
      </c>
      <c r="F381" t="s">
        <v>1042</v>
      </c>
      <c r="G381" t="s">
        <v>124</v>
      </c>
      <c r="H381" t="s">
        <v>125</v>
      </c>
      <c r="I381">
        <v>8</v>
      </c>
      <c r="J381" t="s">
        <v>161</v>
      </c>
      <c r="K381" t="s">
        <v>125</v>
      </c>
      <c r="L381" t="s">
        <v>1043</v>
      </c>
      <c r="AE381" t="s">
        <v>394</v>
      </c>
      <c r="AG381">
        <v>26</v>
      </c>
      <c r="AH381" t="s">
        <v>941</v>
      </c>
      <c r="AI381" t="s">
        <v>146</v>
      </c>
      <c r="AJ381" t="s">
        <v>131</v>
      </c>
      <c r="AK381" t="s">
        <v>125</v>
      </c>
      <c r="AL381">
        <v>27</v>
      </c>
      <c r="AM381" t="s">
        <v>132</v>
      </c>
      <c r="AN381" t="s">
        <v>125</v>
      </c>
      <c r="AO381" t="s">
        <v>1044</v>
      </c>
      <c r="BP381" t="s">
        <v>149</v>
      </c>
      <c r="BR381" t="s">
        <v>155</v>
      </c>
      <c r="BS381">
        <v>3</v>
      </c>
      <c r="BX381" t="s">
        <v>136</v>
      </c>
      <c r="BZ381" t="s">
        <v>137</v>
      </c>
    </row>
    <row r="382" spans="1:78" x14ac:dyDescent="0.2">
      <c r="A382" t="s">
        <v>119</v>
      </c>
      <c r="B382" t="s">
        <v>120</v>
      </c>
      <c r="C382" t="s">
        <v>1034</v>
      </c>
      <c r="D382">
        <v>36</v>
      </c>
      <c r="E382" t="s">
        <v>145</v>
      </c>
      <c r="F382" t="s">
        <v>146</v>
      </c>
      <c r="G382" t="s">
        <v>124</v>
      </c>
      <c r="H382" t="s">
        <v>125</v>
      </c>
      <c r="I382">
        <v>27</v>
      </c>
      <c r="J382" t="s">
        <v>161</v>
      </c>
      <c r="K382" t="s">
        <v>125</v>
      </c>
      <c r="L382" t="s">
        <v>1045</v>
      </c>
      <c r="U382" t="s">
        <v>149</v>
      </c>
      <c r="W382" t="s">
        <v>135</v>
      </c>
      <c r="X382">
        <v>3</v>
      </c>
      <c r="AC382" t="s">
        <v>136</v>
      </c>
      <c r="AE382" t="s">
        <v>137</v>
      </c>
    </row>
    <row r="383" spans="1:78" x14ac:dyDescent="0.2">
      <c r="A383" t="s">
        <v>119</v>
      </c>
      <c r="B383" t="s">
        <v>120</v>
      </c>
      <c r="C383" t="s">
        <v>1046</v>
      </c>
      <c r="D383">
        <v>7</v>
      </c>
      <c r="E383" t="s">
        <v>941</v>
      </c>
      <c r="F383" t="s">
        <v>283</v>
      </c>
      <c r="G383" t="s">
        <v>124</v>
      </c>
      <c r="H383" t="s">
        <v>125</v>
      </c>
      <c r="I383">
        <v>0</v>
      </c>
      <c r="J383" t="s">
        <v>126</v>
      </c>
      <c r="K383" t="s">
        <v>125</v>
      </c>
      <c r="L383" t="s">
        <v>1047</v>
      </c>
      <c r="U383" t="s">
        <v>149</v>
      </c>
      <c r="W383" t="s">
        <v>155</v>
      </c>
      <c r="X383">
        <v>3</v>
      </c>
      <c r="AC383" t="s">
        <v>136</v>
      </c>
      <c r="AE383" t="s">
        <v>137</v>
      </c>
    </row>
    <row r="384" spans="1:78" hidden="1" x14ac:dyDescent="0.2">
      <c r="A384" t="s">
        <v>119</v>
      </c>
      <c r="B384" t="s">
        <v>120</v>
      </c>
      <c r="C384" t="s">
        <v>1046</v>
      </c>
      <c r="D384">
        <v>9</v>
      </c>
      <c r="E384" t="s">
        <v>888</v>
      </c>
      <c r="F384" t="s">
        <v>140</v>
      </c>
      <c r="G384" t="s">
        <v>124</v>
      </c>
      <c r="H384" t="s">
        <v>125</v>
      </c>
      <c r="I384">
        <v>7</v>
      </c>
      <c r="J384" t="s">
        <v>294</v>
      </c>
      <c r="K384" t="s">
        <v>125</v>
      </c>
      <c r="L384" t="s">
        <v>1048</v>
      </c>
    </row>
    <row r="385" spans="1:78" x14ac:dyDescent="0.2">
      <c r="A385" t="s">
        <v>119</v>
      </c>
      <c r="B385" t="s">
        <v>120</v>
      </c>
      <c r="C385" t="s">
        <v>1049</v>
      </c>
      <c r="D385">
        <v>10</v>
      </c>
      <c r="E385" t="s">
        <v>145</v>
      </c>
      <c r="F385" t="s">
        <v>146</v>
      </c>
      <c r="G385" t="s">
        <v>124</v>
      </c>
      <c r="H385" t="s">
        <v>125</v>
      </c>
      <c r="I385">
        <v>0</v>
      </c>
      <c r="J385" t="s">
        <v>126</v>
      </c>
      <c r="K385" t="s">
        <v>125</v>
      </c>
      <c r="L385" t="s">
        <v>1050</v>
      </c>
      <c r="U385" t="s">
        <v>149</v>
      </c>
      <c r="W385" t="s">
        <v>135</v>
      </c>
      <c r="X385">
        <v>3</v>
      </c>
      <c r="AC385" t="s">
        <v>136</v>
      </c>
      <c r="AE385" t="s">
        <v>137</v>
      </c>
    </row>
    <row r="386" spans="1:78" hidden="1" x14ac:dyDescent="0.2">
      <c r="A386" t="s">
        <v>119</v>
      </c>
      <c r="B386" t="s">
        <v>120</v>
      </c>
      <c r="C386" t="s">
        <v>1049</v>
      </c>
      <c r="D386">
        <v>17</v>
      </c>
      <c r="E386" t="s">
        <v>1051</v>
      </c>
      <c r="F386" t="s">
        <v>1052</v>
      </c>
      <c r="G386" t="s">
        <v>124</v>
      </c>
      <c r="H386" t="s">
        <v>125</v>
      </c>
      <c r="I386">
        <v>10</v>
      </c>
      <c r="J386" t="s">
        <v>161</v>
      </c>
      <c r="K386" t="s">
        <v>125</v>
      </c>
      <c r="L386" t="s">
        <v>1053</v>
      </c>
      <c r="W386" t="s">
        <v>135</v>
      </c>
    </row>
    <row r="387" spans="1:78" x14ac:dyDescent="0.2">
      <c r="A387" t="s">
        <v>119</v>
      </c>
      <c r="B387" t="s">
        <v>120</v>
      </c>
      <c r="C387" t="s">
        <v>1049</v>
      </c>
      <c r="D387">
        <v>29</v>
      </c>
      <c r="E387" t="s">
        <v>145</v>
      </c>
      <c r="F387" t="s">
        <v>146</v>
      </c>
      <c r="G387" t="s">
        <v>124</v>
      </c>
      <c r="H387" t="s">
        <v>125</v>
      </c>
      <c r="I387">
        <v>24</v>
      </c>
      <c r="J387" t="s">
        <v>170</v>
      </c>
      <c r="K387" t="s">
        <v>125</v>
      </c>
      <c r="L387" t="s">
        <v>1054</v>
      </c>
      <c r="U387" t="s">
        <v>149</v>
      </c>
      <c r="W387" t="s">
        <v>135</v>
      </c>
      <c r="X387">
        <v>3</v>
      </c>
      <c r="AC387" t="s">
        <v>136</v>
      </c>
      <c r="AE387" t="s">
        <v>137</v>
      </c>
    </row>
    <row r="388" spans="1:78" x14ac:dyDescent="0.2">
      <c r="A388" t="s">
        <v>119</v>
      </c>
      <c r="B388" t="s">
        <v>120</v>
      </c>
      <c r="C388" t="s">
        <v>1049</v>
      </c>
      <c r="D388">
        <v>34</v>
      </c>
      <c r="E388" t="s">
        <v>160</v>
      </c>
      <c r="F388" t="s">
        <v>146</v>
      </c>
      <c r="G388" t="s">
        <v>124</v>
      </c>
      <c r="H388" t="s">
        <v>125</v>
      </c>
      <c r="I388">
        <v>29</v>
      </c>
      <c r="J388" t="s">
        <v>161</v>
      </c>
      <c r="K388" t="s">
        <v>125</v>
      </c>
      <c r="L388" t="s">
        <v>1055</v>
      </c>
      <c r="U388" t="s">
        <v>149</v>
      </c>
      <c r="W388" t="s">
        <v>155</v>
      </c>
      <c r="X388">
        <v>3</v>
      </c>
      <c r="AC388" t="s">
        <v>136</v>
      </c>
      <c r="AE388" t="s">
        <v>137</v>
      </c>
    </row>
    <row r="389" spans="1:78" x14ac:dyDescent="0.2">
      <c r="A389" t="s">
        <v>119</v>
      </c>
      <c r="B389" t="s">
        <v>120</v>
      </c>
      <c r="C389" t="s">
        <v>1049</v>
      </c>
      <c r="D389">
        <v>46</v>
      </c>
      <c r="E389" t="s">
        <v>145</v>
      </c>
      <c r="F389" t="s">
        <v>146</v>
      </c>
      <c r="G389" t="s">
        <v>124</v>
      </c>
      <c r="H389" t="s">
        <v>125</v>
      </c>
      <c r="I389">
        <v>17</v>
      </c>
      <c r="J389" t="s">
        <v>161</v>
      </c>
      <c r="K389" t="s">
        <v>125</v>
      </c>
      <c r="L389" t="s">
        <v>1056</v>
      </c>
      <c r="U389" t="s">
        <v>149</v>
      </c>
      <c r="W389" t="s">
        <v>135</v>
      </c>
      <c r="X389">
        <v>3</v>
      </c>
      <c r="AC389" t="s">
        <v>136</v>
      </c>
      <c r="AE389" t="s">
        <v>137</v>
      </c>
    </row>
    <row r="390" spans="1:78" hidden="1" x14ac:dyDescent="0.2">
      <c r="A390" t="s">
        <v>119</v>
      </c>
      <c r="B390" t="s">
        <v>120</v>
      </c>
      <c r="C390" t="s">
        <v>1049</v>
      </c>
      <c r="D390">
        <v>54</v>
      </c>
      <c r="E390" t="s">
        <v>361</v>
      </c>
      <c r="F390" t="s">
        <v>361</v>
      </c>
      <c r="G390" t="s">
        <v>124</v>
      </c>
      <c r="H390" t="s">
        <v>125</v>
      </c>
      <c r="I390">
        <v>46</v>
      </c>
      <c r="J390" t="s">
        <v>161</v>
      </c>
      <c r="K390" t="s">
        <v>125</v>
      </c>
      <c r="L390" t="s">
        <v>1057</v>
      </c>
      <c r="AE390" t="s">
        <v>128</v>
      </c>
      <c r="AG390">
        <v>53</v>
      </c>
      <c r="AH390" t="s">
        <v>375</v>
      </c>
      <c r="AI390" t="s">
        <v>130</v>
      </c>
      <c r="AJ390" t="s">
        <v>131</v>
      </c>
      <c r="AK390" t="s">
        <v>125</v>
      </c>
      <c r="AL390">
        <v>54</v>
      </c>
      <c r="AM390" t="s">
        <v>132</v>
      </c>
      <c r="AN390" t="s">
        <v>125</v>
      </c>
      <c r="AO390" t="s">
        <v>1058</v>
      </c>
      <c r="BP390" t="s">
        <v>149</v>
      </c>
      <c r="BR390" t="s">
        <v>135</v>
      </c>
      <c r="BS390">
        <v>2</v>
      </c>
      <c r="BX390" t="s">
        <v>136</v>
      </c>
      <c r="BZ390" t="s">
        <v>137</v>
      </c>
    </row>
    <row r="391" spans="1:78" x14ac:dyDescent="0.2">
      <c r="A391" t="s">
        <v>119</v>
      </c>
      <c r="B391" t="s">
        <v>120</v>
      </c>
      <c r="C391" t="s">
        <v>1059</v>
      </c>
      <c r="D391">
        <v>24</v>
      </c>
      <c r="E391" t="s">
        <v>260</v>
      </c>
      <c r="F391" t="s">
        <v>261</v>
      </c>
      <c r="G391" t="s">
        <v>124</v>
      </c>
      <c r="H391" t="s">
        <v>125</v>
      </c>
      <c r="I391">
        <v>26</v>
      </c>
      <c r="J391" t="s">
        <v>182</v>
      </c>
      <c r="K391" t="s">
        <v>125</v>
      </c>
      <c r="L391" t="s">
        <v>1060</v>
      </c>
      <c r="U391" t="s">
        <v>149</v>
      </c>
      <c r="W391" t="s">
        <v>155</v>
      </c>
      <c r="X391">
        <v>1</v>
      </c>
      <c r="AC391" t="s">
        <v>136</v>
      </c>
      <c r="AE391" t="s">
        <v>137</v>
      </c>
    </row>
    <row r="392" spans="1:78" x14ac:dyDescent="0.2">
      <c r="A392" t="s">
        <v>119</v>
      </c>
      <c r="B392" t="s">
        <v>120</v>
      </c>
      <c r="C392" t="s">
        <v>1061</v>
      </c>
      <c r="D392">
        <v>3</v>
      </c>
      <c r="E392" t="s">
        <v>380</v>
      </c>
      <c r="F392" t="s">
        <v>146</v>
      </c>
      <c r="G392" t="s">
        <v>124</v>
      </c>
      <c r="H392" t="s">
        <v>125</v>
      </c>
      <c r="I392">
        <v>4</v>
      </c>
      <c r="J392" t="s">
        <v>268</v>
      </c>
      <c r="K392" t="s">
        <v>125</v>
      </c>
      <c r="L392" t="s">
        <v>1062</v>
      </c>
      <c r="U392" t="s">
        <v>309</v>
      </c>
      <c r="W392" t="s">
        <v>135</v>
      </c>
      <c r="X392">
        <v>3</v>
      </c>
      <c r="AC392" t="s">
        <v>136</v>
      </c>
      <c r="AE392" t="s">
        <v>137</v>
      </c>
    </row>
    <row r="393" spans="1:78" x14ac:dyDescent="0.2">
      <c r="A393" t="s">
        <v>119</v>
      </c>
      <c r="B393" t="s">
        <v>120</v>
      </c>
      <c r="C393" t="s">
        <v>1061</v>
      </c>
      <c r="D393">
        <v>4</v>
      </c>
      <c r="E393" t="s">
        <v>1063</v>
      </c>
      <c r="F393" t="s">
        <v>373</v>
      </c>
      <c r="G393" t="s">
        <v>124</v>
      </c>
      <c r="H393" t="s">
        <v>125</v>
      </c>
      <c r="I393">
        <v>0</v>
      </c>
      <c r="J393" t="s">
        <v>126</v>
      </c>
      <c r="K393" t="s">
        <v>125</v>
      </c>
      <c r="L393" t="s">
        <v>1064</v>
      </c>
      <c r="U393" t="s">
        <v>209</v>
      </c>
      <c r="W393" t="s">
        <v>135</v>
      </c>
      <c r="X393">
        <v>2</v>
      </c>
      <c r="AC393" t="s">
        <v>136</v>
      </c>
      <c r="AE393" t="s">
        <v>137</v>
      </c>
    </row>
    <row r="394" spans="1:78" hidden="1" x14ac:dyDescent="0.2">
      <c r="A394" t="s">
        <v>119</v>
      </c>
      <c r="B394" t="s">
        <v>120</v>
      </c>
      <c r="C394" t="s">
        <v>1061</v>
      </c>
      <c r="D394">
        <v>8</v>
      </c>
      <c r="E394" t="s">
        <v>350</v>
      </c>
      <c r="F394" t="s">
        <v>350</v>
      </c>
      <c r="G394" t="s">
        <v>124</v>
      </c>
      <c r="H394" t="s">
        <v>125</v>
      </c>
      <c r="I394">
        <v>4</v>
      </c>
      <c r="J394" t="s">
        <v>268</v>
      </c>
      <c r="K394" t="s">
        <v>125</v>
      </c>
      <c r="L394" t="s">
        <v>1065</v>
      </c>
      <c r="AE394" t="s">
        <v>128</v>
      </c>
    </row>
    <row r="395" spans="1:78" x14ac:dyDescent="0.2">
      <c r="A395" t="s">
        <v>119</v>
      </c>
      <c r="B395" t="s">
        <v>120</v>
      </c>
      <c r="C395" t="s">
        <v>1061</v>
      </c>
      <c r="D395">
        <v>12</v>
      </c>
      <c r="E395" t="s">
        <v>920</v>
      </c>
      <c r="F395" t="s">
        <v>194</v>
      </c>
      <c r="G395" t="s">
        <v>124</v>
      </c>
      <c r="H395" t="s">
        <v>125</v>
      </c>
      <c r="I395">
        <v>4</v>
      </c>
      <c r="J395" t="s">
        <v>161</v>
      </c>
      <c r="K395" t="s">
        <v>125</v>
      </c>
      <c r="L395" t="s">
        <v>1066</v>
      </c>
      <c r="U395" t="s">
        <v>149</v>
      </c>
      <c r="W395" t="s">
        <v>135</v>
      </c>
      <c r="X395">
        <v>2</v>
      </c>
      <c r="AC395" t="s">
        <v>136</v>
      </c>
      <c r="AE395" t="s">
        <v>137</v>
      </c>
    </row>
    <row r="396" spans="1:78" x14ac:dyDescent="0.2">
      <c r="A396" t="s">
        <v>119</v>
      </c>
      <c r="B396" t="s">
        <v>120</v>
      </c>
      <c r="C396" t="s">
        <v>1067</v>
      </c>
      <c r="D396">
        <v>4</v>
      </c>
      <c r="E396" t="s">
        <v>1068</v>
      </c>
      <c r="F396" t="s">
        <v>598</v>
      </c>
      <c r="G396" t="s">
        <v>124</v>
      </c>
      <c r="H396" t="s">
        <v>125</v>
      </c>
      <c r="I396">
        <v>0</v>
      </c>
      <c r="J396" t="s">
        <v>126</v>
      </c>
      <c r="K396" t="s">
        <v>125</v>
      </c>
      <c r="L396" t="s">
        <v>1069</v>
      </c>
      <c r="U396" t="s">
        <v>149</v>
      </c>
      <c r="W396" t="s">
        <v>135</v>
      </c>
      <c r="X396">
        <v>3</v>
      </c>
      <c r="AC396" t="s">
        <v>136</v>
      </c>
      <c r="AE396" t="s">
        <v>137</v>
      </c>
    </row>
    <row r="397" spans="1:78" x14ac:dyDescent="0.2">
      <c r="A397" t="s">
        <v>119</v>
      </c>
      <c r="B397" t="s">
        <v>120</v>
      </c>
      <c r="C397" t="s">
        <v>1067</v>
      </c>
      <c r="D397">
        <v>9</v>
      </c>
      <c r="E397" t="s">
        <v>260</v>
      </c>
      <c r="F397" t="s">
        <v>261</v>
      </c>
      <c r="G397" t="s">
        <v>124</v>
      </c>
      <c r="H397" t="s">
        <v>125</v>
      </c>
      <c r="I397">
        <v>4</v>
      </c>
      <c r="J397" t="s">
        <v>182</v>
      </c>
      <c r="K397" t="s">
        <v>125</v>
      </c>
      <c r="L397" t="s">
        <v>1070</v>
      </c>
      <c r="U397" t="s">
        <v>149</v>
      </c>
      <c r="W397" t="s">
        <v>155</v>
      </c>
      <c r="X397">
        <v>1</v>
      </c>
      <c r="AC397" t="s">
        <v>136</v>
      </c>
      <c r="AE397" t="s">
        <v>137</v>
      </c>
    </row>
    <row r="398" spans="1:78" hidden="1" x14ac:dyDescent="0.2">
      <c r="A398" t="s">
        <v>119</v>
      </c>
      <c r="B398" t="s">
        <v>120</v>
      </c>
      <c r="C398" t="s">
        <v>1067</v>
      </c>
      <c r="D398">
        <v>11</v>
      </c>
      <c r="E398" t="s">
        <v>140</v>
      </c>
      <c r="F398" t="s">
        <v>140</v>
      </c>
      <c r="G398" t="s">
        <v>124</v>
      </c>
      <c r="H398" t="s">
        <v>125</v>
      </c>
      <c r="I398">
        <v>8</v>
      </c>
      <c r="J398" t="s">
        <v>386</v>
      </c>
      <c r="K398" t="s">
        <v>125</v>
      </c>
      <c r="L398" t="s">
        <v>1071</v>
      </c>
      <c r="AE398" t="s">
        <v>128</v>
      </c>
    </row>
    <row r="399" spans="1:78" hidden="1" x14ac:dyDescent="0.2">
      <c r="A399" t="s">
        <v>119</v>
      </c>
      <c r="B399" t="s">
        <v>120</v>
      </c>
      <c r="C399" t="s">
        <v>1072</v>
      </c>
      <c r="D399">
        <v>1</v>
      </c>
      <c r="E399" t="s">
        <v>1073</v>
      </c>
      <c r="F399" t="s">
        <v>311</v>
      </c>
      <c r="G399" t="s">
        <v>124</v>
      </c>
      <c r="H399" t="s">
        <v>125</v>
      </c>
      <c r="I399">
        <v>0</v>
      </c>
      <c r="J399" t="s">
        <v>126</v>
      </c>
      <c r="K399" t="s">
        <v>125</v>
      </c>
      <c r="L399" t="s">
        <v>1074</v>
      </c>
      <c r="U399" t="s">
        <v>149</v>
      </c>
      <c r="W399" t="s">
        <v>135</v>
      </c>
      <c r="X399">
        <v>1</v>
      </c>
      <c r="AC399" t="s">
        <v>209</v>
      </c>
      <c r="AE399" t="s">
        <v>137</v>
      </c>
    </row>
    <row r="400" spans="1:78" hidden="1" x14ac:dyDescent="0.2">
      <c r="A400" t="s">
        <v>119</v>
      </c>
      <c r="B400" t="s">
        <v>120</v>
      </c>
      <c r="C400" t="s">
        <v>1072</v>
      </c>
      <c r="D400">
        <v>2</v>
      </c>
      <c r="E400" t="s">
        <v>579</v>
      </c>
      <c r="F400" t="s">
        <v>146</v>
      </c>
      <c r="G400" t="s">
        <v>124</v>
      </c>
      <c r="H400" t="s">
        <v>125</v>
      </c>
      <c r="I400">
        <v>3</v>
      </c>
      <c r="J400" t="s">
        <v>210</v>
      </c>
      <c r="K400" t="s">
        <v>125</v>
      </c>
      <c r="L400" t="s">
        <v>1075</v>
      </c>
      <c r="U400" t="s">
        <v>309</v>
      </c>
      <c r="W400" t="s">
        <v>135</v>
      </c>
      <c r="X400">
        <v>3</v>
      </c>
      <c r="AC400" t="s">
        <v>209</v>
      </c>
      <c r="AE400" t="s">
        <v>137</v>
      </c>
    </row>
    <row r="401" spans="1:78" x14ac:dyDescent="0.2">
      <c r="A401" t="s">
        <v>119</v>
      </c>
      <c r="B401" t="s">
        <v>120</v>
      </c>
      <c r="C401" t="s">
        <v>1076</v>
      </c>
      <c r="D401">
        <v>10</v>
      </c>
      <c r="E401" t="s">
        <v>145</v>
      </c>
      <c r="F401" t="s">
        <v>146</v>
      </c>
      <c r="G401" t="s">
        <v>124</v>
      </c>
      <c r="H401" t="s">
        <v>125</v>
      </c>
      <c r="I401">
        <v>13</v>
      </c>
      <c r="J401" t="s">
        <v>210</v>
      </c>
      <c r="K401" t="s">
        <v>125</v>
      </c>
      <c r="L401" t="s">
        <v>1077</v>
      </c>
      <c r="U401" t="s">
        <v>149</v>
      </c>
      <c r="W401" t="s">
        <v>135</v>
      </c>
      <c r="X401">
        <v>3</v>
      </c>
      <c r="AC401" t="s">
        <v>136</v>
      </c>
      <c r="AE401" t="s">
        <v>137</v>
      </c>
    </row>
    <row r="402" spans="1:78" x14ac:dyDescent="0.2">
      <c r="A402" t="s">
        <v>119</v>
      </c>
      <c r="B402" t="s">
        <v>120</v>
      </c>
      <c r="C402" t="s">
        <v>1076</v>
      </c>
      <c r="D402">
        <v>18</v>
      </c>
      <c r="E402" t="s">
        <v>920</v>
      </c>
      <c r="F402" t="s">
        <v>194</v>
      </c>
      <c r="G402" t="s">
        <v>124</v>
      </c>
      <c r="H402" t="s">
        <v>125</v>
      </c>
      <c r="I402">
        <v>14</v>
      </c>
      <c r="J402" t="s">
        <v>161</v>
      </c>
      <c r="K402" t="s">
        <v>125</v>
      </c>
      <c r="L402" t="s">
        <v>1078</v>
      </c>
      <c r="U402" t="s">
        <v>149</v>
      </c>
      <c r="W402" t="s">
        <v>135</v>
      </c>
      <c r="X402">
        <v>2</v>
      </c>
      <c r="AC402" t="s">
        <v>136</v>
      </c>
      <c r="AE402" t="s">
        <v>137</v>
      </c>
    </row>
    <row r="403" spans="1:78" x14ac:dyDescent="0.2">
      <c r="A403" t="s">
        <v>119</v>
      </c>
      <c r="B403" t="s">
        <v>120</v>
      </c>
      <c r="C403" t="s">
        <v>1079</v>
      </c>
      <c r="D403">
        <v>7</v>
      </c>
      <c r="E403" t="s">
        <v>224</v>
      </c>
      <c r="F403" t="s">
        <v>225</v>
      </c>
      <c r="G403" t="s">
        <v>124</v>
      </c>
      <c r="H403" t="s">
        <v>125</v>
      </c>
      <c r="I403">
        <v>5</v>
      </c>
      <c r="J403" t="s">
        <v>170</v>
      </c>
      <c r="K403" t="s">
        <v>125</v>
      </c>
      <c r="L403" t="s">
        <v>1080</v>
      </c>
      <c r="U403" t="s">
        <v>149</v>
      </c>
      <c r="W403" t="s">
        <v>135</v>
      </c>
      <c r="X403">
        <v>3</v>
      </c>
      <c r="AC403" t="s">
        <v>136</v>
      </c>
      <c r="AE403" t="s">
        <v>137</v>
      </c>
    </row>
    <row r="404" spans="1:78" x14ac:dyDescent="0.2">
      <c r="A404" t="s">
        <v>119</v>
      </c>
      <c r="B404" t="s">
        <v>120</v>
      </c>
      <c r="C404" t="s">
        <v>1079</v>
      </c>
      <c r="D404">
        <v>14</v>
      </c>
      <c r="E404" t="s">
        <v>496</v>
      </c>
      <c r="F404" t="s">
        <v>205</v>
      </c>
      <c r="G404" t="s">
        <v>124</v>
      </c>
      <c r="H404" t="s">
        <v>125</v>
      </c>
      <c r="I404">
        <v>5</v>
      </c>
      <c r="J404" t="s">
        <v>161</v>
      </c>
      <c r="K404" t="s">
        <v>125</v>
      </c>
      <c r="L404" t="s">
        <v>1081</v>
      </c>
      <c r="U404" t="s">
        <v>149</v>
      </c>
      <c r="W404" t="s">
        <v>135</v>
      </c>
      <c r="X404">
        <v>2</v>
      </c>
      <c r="AC404" t="s">
        <v>136</v>
      </c>
      <c r="AE404" t="s">
        <v>137</v>
      </c>
    </row>
    <row r="405" spans="1:78" hidden="1" x14ac:dyDescent="0.2">
      <c r="A405" t="s">
        <v>119</v>
      </c>
      <c r="B405" t="s">
        <v>120</v>
      </c>
      <c r="C405" t="s">
        <v>1079</v>
      </c>
      <c r="D405">
        <v>18</v>
      </c>
      <c r="E405" t="s">
        <v>350</v>
      </c>
      <c r="F405" t="s">
        <v>350</v>
      </c>
      <c r="G405" t="s">
        <v>124</v>
      </c>
      <c r="H405" t="s">
        <v>125</v>
      </c>
      <c r="I405">
        <v>14</v>
      </c>
      <c r="J405" t="s">
        <v>386</v>
      </c>
      <c r="K405" t="s">
        <v>125</v>
      </c>
      <c r="L405" t="s">
        <v>1082</v>
      </c>
      <c r="AE405" t="s">
        <v>128</v>
      </c>
    </row>
    <row r="406" spans="1:78" hidden="1" x14ac:dyDescent="0.2">
      <c r="A406" t="s">
        <v>119</v>
      </c>
      <c r="B406" t="s">
        <v>120</v>
      </c>
      <c r="C406" t="s">
        <v>1079</v>
      </c>
      <c r="D406">
        <v>21</v>
      </c>
      <c r="E406" t="s">
        <v>140</v>
      </c>
      <c r="F406" t="s">
        <v>140</v>
      </c>
      <c r="G406" t="s">
        <v>124</v>
      </c>
      <c r="H406" t="s">
        <v>125</v>
      </c>
      <c r="I406">
        <v>5</v>
      </c>
      <c r="J406" t="s">
        <v>161</v>
      </c>
      <c r="K406" t="s">
        <v>125</v>
      </c>
      <c r="L406" t="s">
        <v>1083</v>
      </c>
      <c r="AE406" t="s">
        <v>128</v>
      </c>
      <c r="AG406">
        <v>20</v>
      </c>
      <c r="AH406" t="s">
        <v>375</v>
      </c>
      <c r="AI406" t="s">
        <v>130</v>
      </c>
      <c r="AJ406" t="s">
        <v>131</v>
      </c>
      <c r="AK406" t="s">
        <v>125</v>
      </c>
      <c r="AL406">
        <v>21</v>
      </c>
      <c r="AM406" t="s">
        <v>132</v>
      </c>
      <c r="AN406" t="s">
        <v>125</v>
      </c>
      <c r="AO406" t="s">
        <v>1084</v>
      </c>
      <c r="BP406" t="s">
        <v>149</v>
      </c>
      <c r="BR406" t="s">
        <v>135</v>
      </c>
      <c r="BS406">
        <v>2</v>
      </c>
      <c r="BX406" t="s">
        <v>136</v>
      </c>
      <c r="BZ406" t="s">
        <v>137</v>
      </c>
    </row>
    <row r="407" spans="1:78" x14ac:dyDescent="0.2">
      <c r="A407" t="s">
        <v>119</v>
      </c>
      <c r="B407" t="s">
        <v>120</v>
      </c>
      <c r="C407" t="s">
        <v>1079</v>
      </c>
      <c r="D407">
        <v>26</v>
      </c>
      <c r="E407" t="s">
        <v>145</v>
      </c>
      <c r="F407" t="s">
        <v>146</v>
      </c>
      <c r="G407" t="s">
        <v>124</v>
      </c>
      <c r="H407" t="s">
        <v>125</v>
      </c>
      <c r="I407">
        <v>21</v>
      </c>
      <c r="J407" t="s">
        <v>161</v>
      </c>
      <c r="K407" t="s">
        <v>125</v>
      </c>
      <c r="L407" t="s">
        <v>1085</v>
      </c>
      <c r="U407" t="s">
        <v>149</v>
      </c>
      <c r="W407" t="s">
        <v>135</v>
      </c>
      <c r="X407">
        <v>3</v>
      </c>
      <c r="AC407" t="s">
        <v>136</v>
      </c>
      <c r="AE407" t="s">
        <v>137</v>
      </c>
    </row>
    <row r="408" spans="1:78" hidden="1" x14ac:dyDescent="0.2">
      <c r="A408" t="s">
        <v>119</v>
      </c>
      <c r="B408" t="s">
        <v>120</v>
      </c>
      <c r="C408" t="s">
        <v>1086</v>
      </c>
      <c r="D408">
        <v>5</v>
      </c>
      <c r="E408" t="s">
        <v>1005</v>
      </c>
      <c r="F408" t="s">
        <v>1006</v>
      </c>
      <c r="G408" t="s">
        <v>124</v>
      </c>
      <c r="H408" t="s">
        <v>125</v>
      </c>
      <c r="I408">
        <v>0</v>
      </c>
      <c r="J408" t="s">
        <v>126</v>
      </c>
      <c r="K408" t="s">
        <v>125</v>
      </c>
      <c r="L408" t="s">
        <v>1087</v>
      </c>
      <c r="AE408" t="s">
        <v>394</v>
      </c>
      <c r="AG408">
        <v>4</v>
      </c>
      <c r="AH408" t="s">
        <v>323</v>
      </c>
      <c r="AI408" t="s">
        <v>283</v>
      </c>
      <c r="AJ408" t="s">
        <v>131</v>
      </c>
      <c r="AK408" t="s">
        <v>125</v>
      </c>
      <c r="AL408">
        <v>5</v>
      </c>
      <c r="AM408" t="s">
        <v>132</v>
      </c>
      <c r="AN408" t="s">
        <v>125</v>
      </c>
      <c r="AO408" t="s">
        <v>1088</v>
      </c>
      <c r="BP408" t="s">
        <v>149</v>
      </c>
      <c r="BR408" t="s">
        <v>135</v>
      </c>
      <c r="BS408">
        <v>1</v>
      </c>
      <c r="BX408" t="s">
        <v>136</v>
      </c>
      <c r="BZ408" t="s">
        <v>137</v>
      </c>
    </row>
    <row r="409" spans="1:78" x14ac:dyDescent="0.2">
      <c r="A409" t="s">
        <v>119</v>
      </c>
      <c r="B409" t="s">
        <v>120</v>
      </c>
      <c r="C409" t="s">
        <v>1089</v>
      </c>
      <c r="D409">
        <v>7</v>
      </c>
      <c r="E409" t="s">
        <v>1090</v>
      </c>
      <c r="F409" t="s">
        <v>158</v>
      </c>
      <c r="G409" t="s">
        <v>124</v>
      </c>
      <c r="H409" t="s">
        <v>125</v>
      </c>
      <c r="I409">
        <v>0</v>
      </c>
      <c r="J409" t="s">
        <v>126</v>
      </c>
      <c r="K409" t="s">
        <v>125</v>
      </c>
      <c r="L409" t="s">
        <v>1091</v>
      </c>
      <c r="U409" t="s">
        <v>149</v>
      </c>
      <c r="W409" t="s">
        <v>135</v>
      </c>
      <c r="X409">
        <v>3</v>
      </c>
      <c r="AC409" t="s">
        <v>136</v>
      </c>
      <c r="AE409" t="s">
        <v>137</v>
      </c>
    </row>
    <row r="410" spans="1:78" hidden="1" x14ac:dyDescent="0.2">
      <c r="A410" t="s">
        <v>119</v>
      </c>
      <c r="B410" t="s">
        <v>120</v>
      </c>
      <c r="C410" t="s">
        <v>1089</v>
      </c>
      <c r="D410">
        <v>15</v>
      </c>
      <c r="E410" t="s">
        <v>1092</v>
      </c>
      <c r="F410" t="s">
        <v>331</v>
      </c>
      <c r="G410" t="s">
        <v>124</v>
      </c>
      <c r="H410" t="s">
        <v>125</v>
      </c>
      <c r="I410">
        <v>7</v>
      </c>
      <c r="J410" t="s">
        <v>268</v>
      </c>
      <c r="K410" t="s">
        <v>125</v>
      </c>
      <c r="L410" t="s">
        <v>1093</v>
      </c>
      <c r="T410" t="s">
        <v>154</v>
      </c>
      <c r="W410" t="s">
        <v>135</v>
      </c>
      <c r="AC410" t="s">
        <v>143</v>
      </c>
      <c r="AE410" t="s">
        <v>144</v>
      </c>
      <c r="AG410">
        <v>13</v>
      </c>
      <c r="AH410" t="s">
        <v>145</v>
      </c>
      <c r="AI410" t="s">
        <v>146</v>
      </c>
      <c r="AJ410" t="s">
        <v>131</v>
      </c>
      <c r="AK410" t="s">
        <v>125</v>
      </c>
      <c r="AL410">
        <v>15</v>
      </c>
      <c r="AM410" t="s">
        <v>132</v>
      </c>
      <c r="AN410" t="s">
        <v>125</v>
      </c>
      <c r="AO410" t="s">
        <v>1094</v>
      </c>
      <c r="BP410" t="s">
        <v>149</v>
      </c>
      <c r="BR410" t="s">
        <v>135</v>
      </c>
      <c r="BS410">
        <v>3</v>
      </c>
      <c r="BX410" t="s">
        <v>136</v>
      </c>
      <c r="BZ410" t="s">
        <v>137</v>
      </c>
    </row>
    <row r="411" spans="1:78" x14ac:dyDescent="0.2">
      <c r="A411" t="s">
        <v>119</v>
      </c>
      <c r="B411" t="s">
        <v>120</v>
      </c>
      <c r="C411" t="s">
        <v>1089</v>
      </c>
      <c r="D411">
        <v>20</v>
      </c>
      <c r="E411" t="s">
        <v>614</v>
      </c>
      <c r="F411" t="s">
        <v>205</v>
      </c>
      <c r="G411" t="s">
        <v>124</v>
      </c>
      <c r="H411" t="s">
        <v>125</v>
      </c>
      <c r="I411">
        <v>18</v>
      </c>
      <c r="J411" t="s">
        <v>264</v>
      </c>
      <c r="K411" t="s">
        <v>125</v>
      </c>
      <c r="L411" t="s">
        <v>1095</v>
      </c>
      <c r="U411" t="s">
        <v>149</v>
      </c>
      <c r="W411" t="s">
        <v>135</v>
      </c>
      <c r="X411">
        <v>3</v>
      </c>
      <c r="AC411" t="s">
        <v>136</v>
      </c>
      <c r="AE411" t="s">
        <v>137</v>
      </c>
    </row>
    <row r="412" spans="1:78" x14ac:dyDescent="0.2">
      <c r="A412" t="s">
        <v>119</v>
      </c>
      <c r="B412" t="s">
        <v>120</v>
      </c>
      <c r="C412" t="s">
        <v>1096</v>
      </c>
      <c r="D412">
        <v>4</v>
      </c>
      <c r="E412" t="s">
        <v>1097</v>
      </c>
      <c r="F412" t="s">
        <v>1098</v>
      </c>
      <c r="G412" t="s">
        <v>124</v>
      </c>
      <c r="H412" t="s">
        <v>125</v>
      </c>
      <c r="I412">
        <v>0</v>
      </c>
      <c r="J412" t="s">
        <v>126</v>
      </c>
      <c r="K412" t="s">
        <v>125</v>
      </c>
      <c r="L412" t="s">
        <v>1099</v>
      </c>
      <c r="U412" t="s">
        <v>149</v>
      </c>
      <c r="W412" t="s">
        <v>155</v>
      </c>
      <c r="X412">
        <v>3</v>
      </c>
      <c r="AC412" t="s">
        <v>136</v>
      </c>
      <c r="AE412" t="s">
        <v>137</v>
      </c>
    </row>
    <row r="413" spans="1:78" hidden="1" x14ac:dyDescent="0.2">
      <c r="A413" t="s">
        <v>119</v>
      </c>
      <c r="B413" t="s">
        <v>120</v>
      </c>
      <c r="C413" t="s">
        <v>1096</v>
      </c>
      <c r="D413">
        <v>14</v>
      </c>
      <c r="E413" t="s">
        <v>261</v>
      </c>
      <c r="F413" t="s">
        <v>261</v>
      </c>
      <c r="G413" t="s">
        <v>124</v>
      </c>
      <c r="H413" t="s">
        <v>125</v>
      </c>
      <c r="I413">
        <v>22</v>
      </c>
      <c r="J413" t="s">
        <v>199</v>
      </c>
      <c r="K413" t="s">
        <v>125</v>
      </c>
      <c r="L413" t="s">
        <v>1100</v>
      </c>
      <c r="AE413" t="s">
        <v>128</v>
      </c>
    </row>
    <row r="414" spans="1:78" hidden="1" x14ac:dyDescent="0.2">
      <c r="A414" t="s">
        <v>119</v>
      </c>
      <c r="B414" t="s">
        <v>120</v>
      </c>
      <c r="C414" t="s">
        <v>1096</v>
      </c>
      <c r="D414">
        <v>22</v>
      </c>
      <c r="E414" t="s">
        <v>512</v>
      </c>
      <c r="F414" t="s">
        <v>146</v>
      </c>
      <c r="G414" t="s">
        <v>124</v>
      </c>
      <c r="H414" t="s">
        <v>125</v>
      </c>
      <c r="I414">
        <v>4</v>
      </c>
      <c r="J414" t="s">
        <v>199</v>
      </c>
      <c r="K414" t="s">
        <v>125</v>
      </c>
      <c r="L414" t="s">
        <v>1101</v>
      </c>
      <c r="U414" t="s">
        <v>149</v>
      </c>
      <c r="W414" t="s">
        <v>155</v>
      </c>
      <c r="X414">
        <v>3</v>
      </c>
      <c r="AC414" t="s">
        <v>209</v>
      </c>
      <c r="AE414" t="s">
        <v>137</v>
      </c>
    </row>
    <row r="415" spans="1:78" hidden="1" x14ac:dyDescent="0.2">
      <c r="A415" t="s">
        <v>119</v>
      </c>
      <c r="B415" t="s">
        <v>120</v>
      </c>
      <c r="C415" t="s">
        <v>1096</v>
      </c>
      <c r="D415">
        <v>32</v>
      </c>
      <c r="E415" t="s">
        <v>1102</v>
      </c>
      <c r="F415" t="s">
        <v>598</v>
      </c>
      <c r="G415" t="s">
        <v>124</v>
      </c>
      <c r="H415" t="s">
        <v>125</v>
      </c>
      <c r="I415">
        <v>22</v>
      </c>
      <c r="J415" t="s">
        <v>161</v>
      </c>
      <c r="K415" t="s">
        <v>125</v>
      </c>
      <c r="L415" t="s">
        <v>1103</v>
      </c>
      <c r="U415" t="s">
        <v>149</v>
      </c>
      <c r="W415" t="s">
        <v>135</v>
      </c>
      <c r="X415">
        <v>3</v>
      </c>
      <c r="AC415" t="s">
        <v>209</v>
      </c>
      <c r="AE415" t="s">
        <v>137</v>
      </c>
    </row>
    <row r="416" spans="1:78" x14ac:dyDescent="0.2">
      <c r="A416" t="s">
        <v>119</v>
      </c>
      <c r="B416" t="s">
        <v>120</v>
      </c>
      <c r="C416" t="s">
        <v>1104</v>
      </c>
      <c r="D416">
        <v>5</v>
      </c>
      <c r="E416" t="s">
        <v>941</v>
      </c>
      <c r="F416" t="s">
        <v>283</v>
      </c>
      <c r="G416" t="s">
        <v>124</v>
      </c>
      <c r="H416" t="s">
        <v>125</v>
      </c>
      <c r="I416">
        <v>0</v>
      </c>
      <c r="J416" t="s">
        <v>126</v>
      </c>
      <c r="K416" t="s">
        <v>125</v>
      </c>
      <c r="L416" t="s">
        <v>1105</v>
      </c>
      <c r="U416" t="s">
        <v>149</v>
      </c>
      <c r="W416" t="s">
        <v>155</v>
      </c>
      <c r="X416">
        <v>3</v>
      </c>
      <c r="AC416" t="s">
        <v>136</v>
      </c>
      <c r="AE416" t="s">
        <v>137</v>
      </c>
    </row>
    <row r="417" spans="1:78" x14ac:dyDescent="0.2">
      <c r="A417" t="s">
        <v>119</v>
      </c>
      <c r="B417" t="s">
        <v>120</v>
      </c>
      <c r="C417" t="s">
        <v>1106</v>
      </c>
      <c r="D417">
        <v>4</v>
      </c>
      <c r="E417" t="s">
        <v>160</v>
      </c>
      <c r="F417" t="s">
        <v>146</v>
      </c>
      <c r="G417" t="s">
        <v>124</v>
      </c>
      <c r="H417" t="s">
        <v>125</v>
      </c>
      <c r="I417">
        <v>0</v>
      </c>
      <c r="J417" t="s">
        <v>126</v>
      </c>
      <c r="K417" t="s">
        <v>125</v>
      </c>
      <c r="L417" t="s">
        <v>1107</v>
      </c>
      <c r="U417" t="s">
        <v>149</v>
      </c>
      <c r="W417" t="s">
        <v>155</v>
      </c>
      <c r="X417">
        <v>3</v>
      </c>
      <c r="AC417" t="s">
        <v>136</v>
      </c>
      <c r="AE417" t="s">
        <v>137</v>
      </c>
    </row>
    <row r="418" spans="1:78" x14ac:dyDescent="0.2">
      <c r="A418" t="s">
        <v>119</v>
      </c>
      <c r="B418" t="s">
        <v>120</v>
      </c>
      <c r="C418" t="s">
        <v>1106</v>
      </c>
      <c r="D418">
        <v>31</v>
      </c>
      <c r="E418" t="s">
        <v>614</v>
      </c>
      <c r="F418" t="s">
        <v>205</v>
      </c>
      <c r="G418" t="s">
        <v>124</v>
      </c>
      <c r="H418" t="s">
        <v>125</v>
      </c>
      <c r="I418">
        <v>17</v>
      </c>
      <c r="J418" t="s">
        <v>161</v>
      </c>
      <c r="K418" t="s">
        <v>125</v>
      </c>
      <c r="L418" t="s">
        <v>1108</v>
      </c>
      <c r="U418" t="s">
        <v>149</v>
      </c>
      <c r="W418" t="s">
        <v>135</v>
      </c>
      <c r="X418">
        <v>3</v>
      </c>
      <c r="AC418" t="s">
        <v>136</v>
      </c>
      <c r="AE418" t="s">
        <v>137</v>
      </c>
    </row>
    <row r="419" spans="1:78" x14ac:dyDescent="0.2">
      <c r="A419" t="s">
        <v>119</v>
      </c>
      <c r="B419" t="s">
        <v>120</v>
      </c>
      <c r="C419" t="s">
        <v>1106</v>
      </c>
      <c r="D419">
        <v>35</v>
      </c>
      <c r="E419" t="s">
        <v>1109</v>
      </c>
      <c r="F419" t="s">
        <v>1110</v>
      </c>
      <c r="G419" t="s">
        <v>124</v>
      </c>
      <c r="H419" t="s">
        <v>125</v>
      </c>
      <c r="I419">
        <v>31</v>
      </c>
      <c r="J419" t="s">
        <v>199</v>
      </c>
      <c r="K419" t="s">
        <v>125</v>
      </c>
      <c r="L419" t="s">
        <v>1111</v>
      </c>
      <c r="U419" t="s">
        <v>149</v>
      </c>
      <c r="W419" t="s">
        <v>135</v>
      </c>
      <c r="X419">
        <v>3</v>
      </c>
      <c r="AC419" t="s">
        <v>136</v>
      </c>
      <c r="AE419" t="s">
        <v>137</v>
      </c>
    </row>
    <row r="420" spans="1:78" x14ac:dyDescent="0.2">
      <c r="A420" t="s">
        <v>119</v>
      </c>
      <c r="B420" t="s">
        <v>120</v>
      </c>
      <c r="C420" t="s">
        <v>1112</v>
      </c>
      <c r="D420">
        <v>6</v>
      </c>
      <c r="E420" t="s">
        <v>1113</v>
      </c>
      <c r="F420" t="s">
        <v>169</v>
      </c>
      <c r="G420" t="s">
        <v>124</v>
      </c>
      <c r="H420" t="s">
        <v>125</v>
      </c>
      <c r="I420">
        <v>0</v>
      </c>
      <c r="J420" t="s">
        <v>126</v>
      </c>
      <c r="K420" t="s">
        <v>125</v>
      </c>
      <c r="L420" t="s">
        <v>1114</v>
      </c>
      <c r="U420" t="s">
        <v>134</v>
      </c>
      <c r="W420" t="s">
        <v>135</v>
      </c>
      <c r="X420">
        <v>2</v>
      </c>
      <c r="AC420" t="s">
        <v>136</v>
      </c>
      <c r="AE420" t="s">
        <v>137</v>
      </c>
    </row>
    <row r="421" spans="1:78" hidden="1" x14ac:dyDescent="0.2">
      <c r="A421" t="s">
        <v>119</v>
      </c>
      <c r="B421" t="s">
        <v>120</v>
      </c>
      <c r="C421" t="s">
        <v>1115</v>
      </c>
      <c r="D421">
        <v>8</v>
      </c>
      <c r="E421" t="s">
        <v>310</v>
      </c>
      <c r="F421" t="s">
        <v>311</v>
      </c>
      <c r="G421" t="s">
        <v>124</v>
      </c>
      <c r="H421" t="s">
        <v>125</v>
      </c>
      <c r="I421">
        <v>3</v>
      </c>
      <c r="J421" t="s">
        <v>268</v>
      </c>
      <c r="K421" t="s">
        <v>125</v>
      </c>
      <c r="L421" t="s">
        <v>1116</v>
      </c>
      <c r="T421" t="s">
        <v>154</v>
      </c>
      <c r="W421" t="s">
        <v>135</v>
      </c>
      <c r="AC421" t="s">
        <v>143</v>
      </c>
      <c r="AE421" t="s">
        <v>144</v>
      </c>
      <c r="AG421">
        <v>6</v>
      </c>
      <c r="AH421" t="s">
        <v>204</v>
      </c>
      <c r="AI421" t="s">
        <v>205</v>
      </c>
      <c r="AJ421" t="s">
        <v>131</v>
      </c>
      <c r="AK421" t="s">
        <v>125</v>
      </c>
      <c r="AL421">
        <v>8</v>
      </c>
      <c r="AM421" t="s">
        <v>132</v>
      </c>
      <c r="AN421" t="s">
        <v>125</v>
      </c>
      <c r="AO421" t="s">
        <v>1117</v>
      </c>
      <c r="BP421" t="s">
        <v>149</v>
      </c>
      <c r="BR421" t="s">
        <v>135</v>
      </c>
      <c r="BS421">
        <v>1</v>
      </c>
      <c r="BX421" t="s">
        <v>136</v>
      </c>
      <c r="BZ421" t="s">
        <v>137</v>
      </c>
    </row>
    <row r="422" spans="1:78" hidden="1" x14ac:dyDescent="0.2">
      <c r="A422" t="s">
        <v>119</v>
      </c>
      <c r="B422" t="s">
        <v>120</v>
      </c>
      <c r="C422" t="s">
        <v>1115</v>
      </c>
      <c r="D422">
        <v>10</v>
      </c>
      <c r="E422" t="s">
        <v>1118</v>
      </c>
      <c r="F422" t="s">
        <v>1118</v>
      </c>
      <c r="G422" t="s">
        <v>124</v>
      </c>
      <c r="H422" t="s">
        <v>125</v>
      </c>
      <c r="I422">
        <v>8</v>
      </c>
      <c r="J422" t="s">
        <v>294</v>
      </c>
      <c r="K422" t="s">
        <v>125</v>
      </c>
      <c r="L422" t="s">
        <v>1119</v>
      </c>
      <c r="AE422" t="s">
        <v>128</v>
      </c>
    </row>
    <row r="423" spans="1:78" hidden="1" x14ac:dyDescent="0.2">
      <c r="A423" t="s">
        <v>119</v>
      </c>
      <c r="B423" t="s">
        <v>120</v>
      </c>
      <c r="C423" t="s">
        <v>1115</v>
      </c>
      <c r="D423">
        <v>17</v>
      </c>
      <c r="E423" t="s">
        <v>1120</v>
      </c>
      <c r="F423" t="s">
        <v>1120</v>
      </c>
      <c r="G423" t="s">
        <v>124</v>
      </c>
      <c r="H423" t="s">
        <v>125</v>
      </c>
      <c r="I423">
        <v>10</v>
      </c>
      <c r="J423" t="s">
        <v>161</v>
      </c>
      <c r="K423" t="s">
        <v>125</v>
      </c>
      <c r="L423" t="s">
        <v>1121</v>
      </c>
      <c r="AE423" t="s">
        <v>128</v>
      </c>
    </row>
    <row r="424" spans="1:78" hidden="1" x14ac:dyDescent="0.2">
      <c r="A424" t="s">
        <v>119</v>
      </c>
      <c r="B424" t="s">
        <v>120</v>
      </c>
      <c r="C424" t="s">
        <v>1115</v>
      </c>
      <c r="D424">
        <v>35</v>
      </c>
      <c r="E424" t="s">
        <v>669</v>
      </c>
      <c r="F424" t="s">
        <v>140</v>
      </c>
      <c r="G424" t="s">
        <v>124</v>
      </c>
      <c r="H424" t="s">
        <v>125</v>
      </c>
      <c r="I424">
        <v>33</v>
      </c>
      <c r="J424" t="s">
        <v>170</v>
      </c>
      <c r="K424" t="s">
        <v>125</v>
      </c>
      <c r="L424" t="s">
        <v>1122</v>
      </c>
      <c r="U424" t="s">
        <v>149</v>
      </c>
      <c r="W424" t="s">
        <v>135</v>
      </c>
      <c r="X424">
        <v>1</v>
      </c>
      <c r="AC424" t="s">
        <v>209</v>
      </c>
      <c r="AE424" t="s">
        <v>137</v>
      </c>
    </row>
    <row r="425" spans="1:78" x14ac:dyDescent="0.2">
      <c r="A425" t="s">
        <v>119</v>
      </c>
      <c r="B425" t="s">
        <v>120</v>
      </c>
      <c r="C425" t="s">
        <v>1115</v>
      </c>
      <c r="D425">
        <v>39</v>
      </c>
      <c r="E425" t="s">
        <v>851</v>
      </c>
      <c r="F425" t="s">
        <v>458</v>
      </c>
      <c r="G425" t="s">
        <v>124</v>
      </c>
      <c r="H425" t="s">
        <v>125</v>
      </c>
      <c r="I425">
        <v>3</v>
      </c>
      <c r="J425" t="s">
        <v>161</v>
      </c>
      <c r="K425" t="s">
        <v>125</v>
      </c>
      <c r="L425" t="s">
        <v>1123</v>
      </c>
      <c r="U425" t="s">
        <v>134</v>
      </c>
      <c r="W425" t="s">
        <v>135</v>
      </c>
      <c r="X425">
        <v>3</v>
      </c>
      <c r="AC425" t="s">
        <v>136</v>
      </c>
      <c r="AE425" t="s">
        <v>137</v>
      </c>
    </row>
    <row r="426" spans="1:78" hidden="1" x14ac:dyDescent="0.2">
      <c r="A426" t="s">
        <v>119</v>
      </c>
      <c r="B426" t="s">
        <v>120</v>
      </c>
      <c r="C426" t="s">
        <v>1115</v>
      </c>
      <c r="D426">
        <v>40</v>
      </c>
      <c r="E426" t="s">
        <v>158</v>
      </c>
      <c r="F426" t="s">
        <v>158</v>
      </c>
      <c r="G426" t="s">
        <v>124</v>
      </c>
      <c r="H426" t="s">
        <v>125</v>
      </c>
      <c r="I426">
        <v>39</v>
      </c>
      <c r="J426" t="s">
        <v>367</v>
      </c>
      <c r="K426" t="s">
        <v>125</v>
      </c>
      <c r="L426" t="s">
        <v>1124</v>
      </c>
      <c r="AE426" t="s">
        <v>128</v>
      </c>
    </row>
    <row r="427" spans="1:78" x14ac:dyDescent="0.2">
      <c r="A427" t="s">
        <v>119</v>
      </c>
      <c r="B427" t="s">
        <v>120</v>
      </c>
      <c r="C427" t="s">
        <v>1125</v>
      </c>
      <c r="D427">
        <v>3</v>
      </c>
      <c r="E427" t="s">
        <v>260</v>
      </c>
      <c r="F427" t="s">
        <v>261</v>
      </c>
      <c r="G427" t="s">
        <v>124</v>
      </c>
      <c r="H427" t="s">
        <v>125</v>
      </c>
      <c r="I427">
        <v>0</v>
      </c>
      <c r="J427" t="s">
        <v>126</v>
      </c>
      <c r="K427" t="s">
        <v>125</v>
      </c>
      <c r="L427" t="s">
        <v>1126</v>
      </c>
      <c r="U427" t="s">
        <v>149</v>
      </c>
      <c r="W427" t="s">
        <v>155</v>
      </c>
      <c r="X427">
        <v>1</v>
      </c>
      <c r="AC427" t="s">
        <v>136</v>
      </c>
      <c r="AE427" t="s">
        <v>137</v>
      </c>
    </row>
    <row r="428" spans="1:78" x14ac:dyDescent="0.2">
      <c r="A428" t="s">
        <v>119</v>
      </c>
      <c r="B428" t="s">
        <v>120</v>
      </c>
      <c r="C428" t="s">
        <v>1125</v>
      </c>
      <c r="D428">
        <v>18</v>
      </c>
      <c r="E428" t="s">
        <v>818</v>
      </c>
      <c r="F428" t="s">
        <v>819</v>
      </c>
      <c r="G428" t="s">
        <v>124</v>
      </c>
      <c r="H428" t="s">
        <v>125</v>
      </c>
      <c r="I428">
        <v>14</v>
      </c>
      <c r="J428" t="s">
        <v>268</v>
      </c>
      <c r="K428" t="s">
        <v>125</v>
      </c>
      <c r="L428" t="s">
        <v>1127</v>
      </c>
      <c r="U428" t="s">
        <v>149</v>
      </c>
      <c r="W428" t="s">
        <v>135</v>
      </c>
      <c r="X428">
        <v>3</v>
      </c>
      <c r="AC428" t="s">
        <v>136</v>
      </c>
      <c r="AE428" t="s">
        <v>137</v>
      </c>
    </row>
    <row r="429" spans="1:78" x14ac:dyDescent="0.2">
      <c r="A429" t="s">
        <v>119</v>
      </c>
      <c r="B429" t="s">
        <v>120</v>
      </c>
      <c r="C429" t="s">
        <v>1125</v>
      </c>
      <c r="D429">
        <v>35</v>
      </c>
      <c r="E429" t="s">
        <v>151</v>
      </c>
      <c r="F429" t="s">
        <v>158</v>
      </c>
      <c r="G429" t="s">
        <v>124</v>
      </c>
      <c r="H429" t="s">
        <v>125</v>
      </c>
      <c r="I429">
        <v>31</v>
      </c>
      <c r="J429" t="s">
        <v>161</v>
      </c>
      <c r="K429" t="s">
        <v>125</v>
      </c>
      <c r="L429" t="s">
        <v>1128</v>
      </c>
      <c r="U429" t="s">
        <v>309</v>
      </c>
      <c r="W429" t="s">
        <v>135</v>
      </c>
      <c r="X429">
        <v>3</v>
      </c>
      <c r="AC429" t="s">
        <v>136</v>
      </c>
      <c r="AE429" t="s">
        <v>137</v>
      </c>
    </row>
    <row r="430" spans="1:78" x14ac:dyDescent="0.2">
      <c r="A430" t="s">
        <v>119</v>
      </c>
      <c r="B430" t="s">
        <v>120</v>
      </c>
      <c r="C430" t="s">
        <v>1125</v>
      </c>
      <c r="D430">
        <v>42</v>
      </c>
      <c r="E430" t="s">
        <v>1129</v>
      </c>
      <c r="F430" t="s">
        <v>257</v>
      </c>
      <c r="G430" t="s">
        <v>124</v>
      </c>
      <c r="H430" t="s">
        <v>125</v>
      </c>
      <c r="I430">
        <v>35</v>
      </c>
      <c r="J430" t="s">
        <v>161</v>
      </c>
      <c r="K430" t="s">
        <v>125</v>
      </c>
      <c r="L430" t="s">
        <v>1130</v>
      </c>
      <c r="U430" t="s">
        <v>149</v>
      </c>
      <c r="W430" t="s">
        <v>155</v>
      </c>
      <c r="X430">
        <v>3</v>
      </c>
      <c r="AC430" t="s">
        <v>136</v>
      </c>
      <c r="AE430" t="s">
        <v>137</v>
      </c>
    </row>
    <row r="431" spans="1:78" x14ac:dyDescent="0.2">
      <c r="A431" t="s">
        <v>119</v>
      </c>
      <c r="B431" t="s">
        <v>120</v>
      </c>
      <c r="C431" t="s">
        <v>1131</v>
      </c>
      <c r="D431">
        <v>3</v>
      </c>
      <c r="E431" t="s">
        <v>197</v>
      </c>
      <c r="F431" t="s">
        <v>198</v>
      </c>
      <c r="G431" t="s">
        <v>124</v>
      </c>
      <c r="H431" t="s">
        <v>125</v>
      </c>
      <c r="I431">
        <v>0</v>
      </c>
      <c r="J431" t="s">
        <v>126</v>
      </c>
      <c r="K431" t="s">
        <v>125</v>
      </c>
      <c r="L431" t="s">
        <v>1132</v>
      </c>
      <c r="U431" t="s">
        <v>149</v>
      </c>
      <c r="W431" t="s">
        <v>135</v>
      </c>
      <c r="X431">
        <v>1</v>
      </c>
      <c r="AC431" t="s">
        <v>136</v>
      </c>
      <c r="AE431" t="s">
        <v>137</v>
      </c>
    </row>
    <row r="432" spans="1:78" x14ac:dyDescent="0.2">
      <c r="A432" t="s">
        <v>119</v>
      </c>
      <c r="B432" t="s">
        <v>120</v>
      </c>
      <c r="C432" t="s">
        <v>1131</v>
      </c>
      <c r="D432">
        <v>7</v>
      </c>
      <c r="E432" t="s">
        <v>564</v>
      </c>
      <c r="F432" t="s">
        <v>146</v>
      </c>
      <c r="G432" t="s">
        <v>124</v>
      </c>
      <c r="H432" t="s">
        <v>125</v>
      </c>
      <c r="I432">
        <v>3</v>
      </c>
      <c r="J432" t="s">
        <v>264</v>
      </c>
      <c r="K432" t="s">
        <v>125</v>
      </c>
      <c r="L432" t="s">
        <v>1133</v>
      </c>
      <c r="U432" t="s">
        <v>309</v>
      </c>
      <c r="W432" t="s">
        <v>155</v>
      </c>
      <c r="X432">
        <v>3</v>
      </c>
      <c r="AC432" t="s">
        <v>136</v>
      </c>
      <c r="AE432" t="s">
        <v>137</v>
      </c>
    </row>
    <row r="433" spans="1:78" x14ac:dyDescent="0.2">
      <c r="A433" t="s">
        <v>119</v>
      </c>
      <c r="B433" t="s">
        <v>120</v>
      </c>
      <c r="C433" t="s">
        <v>1134</v>
      </c>
      <c r="D433">
        <v>3</v>
      </c>
      <c r="E433" t="s">
        <v>197</v>
      </c>
      <c r="F433" t="s">
        <v>198</v>
      </c>
      <c r="G433" t="s">
        <v>124</v>
      </c>
      <c r="H433" t="s">
        <v>125</v>
      </c>
      <c r="I433">
        <v>0</v>
      </c>
      <c r="J433" t="s">
        <v>126</v>
      </c>
      <c r="K433" t="s">
        <v>125</v>
      </c>
      <c r="L433" t="s">
        <v>1135</v>
      </c>
      <c r="U433" t="s">
        <v>149</v>
      </c>
      <c r="W433" t="s">
        <v>135</v>
      </c>
      <c r="X433">
        <v>1</v>
      </c>
      <c r="AC433" t="s">
        <v>136</v>
      </c>
      <c r="AE433" t="s">
        <v>137</v>
      </c>
    </row>
    <row r="434" spans="1:78" hidden="1" x14ac:dyDescent="0.2">
      <c r="A434" t="s">
        <v>119</v>
      </c>
      <c r="B434" t="s">
        <v>120</v>
      </c>
      <c r="C434" t="s">
        <v>1136</v>
      </c>
      <c r="D434">
        <v>2</v>
      </c>
      <c r="E434" t="s">
        <v>1073</v>
      </c>
      <c r="F434" t="s">
        <v>311</v>
      </c>
      <c r="G434" t="s">
        <v>124</v>
      </c>
      <c r="H434" t="s">
        <v>125</v>
      </c>
      <c r="I434">
        <v>0</v>
      </c>
      <c r="J434" t="s">
        <v>126</v>
      </c>
      <c r="K434" t="s">
        <v>125</v>
      </c>
      <c r="L434" t="s">
        <v>1137</v>
      </c>
      <c r="U434" t="s">
        <v>149</v>
      </c>
      <c r="W434" t="s">
        <v>135</v>
      </c>
      <c r="X434">
        <v>1</v>
      </c>
      <c r="AC434" t="s">
        <v>209</v>
      </c>
      <c r="AE434" t="s">
        <v>137</v>
      </c>
    </row>
    <row r="435" spans="1:78" hidden="1" x14ac:dyDescent="0.2">
      <c r="A435" t="s">
        <v>119</v>
      </c>
      <c r="B435" t="s">
        <v>120</v>
      </c>
      <c r="C435" t="s">
        <v>1138</v>
      </c>
      <c r="D435">
        <v>6</v>
      </c>
      <c r="E435" t="s">
        <v>201</v>
      </c>
      <c r="F435" t="s">
        <v>202</v>
      </c>
      <c r="G435" t="s">
        <v>124</v>
      </c>
      <c r="H435" t="s">
        <v>125</v>
      </c>
      <c r="I435">
        <v>0</v>
      </c>
      <c r="J435" t="s">
        <v>126</v>
      </c>
      <c r="K435" t="s">
        <v>125</v>
      </c>
      <c r="L435" t="s">
        <v>1139</v>
      </c>
      <c r="T435" t="s">
        <v>154</v>
      </c>
      <c r="W435" t="s">
        <v>135</v>
      </c>
      <c r="AC435" t="s">
        <v>143</v>
      </c>
      <c r="AE435" t="s">
        <v>144</v>
      </c>
      <c r="AG435">
        <v>4</v>
      </c>
      <c r="AH435" t="s">
        <v>204</v>
      </c>
      <c r="AI435" t="s">
        <v>205</v>
      </c>
      <c r="AJ435" t="s">
        <v>131</v>
      </c>
      <c r="AK435" t="s">
        <v>125</v>
      </c>
      <c r="AL435">
        <v>6</v>
      </c>
      <c r="AM435" t="s">
        <v>132</v>
      </c>
      <c r="AN435" t="s">
        <v>125</v>
      </c>
      <c r="AO435" t="s">
        <v>1140</v>
      </c>
      <c r="BP435" t="s">
        <v>149</v>
      </c>
      <c r="BR435" t="s">
        <v>135</v>
      </c>
      <c r="BS435">
        <v>1</v>
      </c>
      <c r="BX435" t="s">
        <v>136</v>
      </c>
      <c r="BZ435" t="s">
        <v>137</v>
      </c>
    </row>
    <row r="436" spans="1:78" x14ac:dyDescent="0.2">
      <c r="A436" t="s">
        <v>119</v>
      </c>
      <c r="B436" t="s">
        <v>120</v>
      </c>
      <c r="C436" t="s">
        <v>1141</v>
      </c>
      <c r="D436">
        <v>4</v>
      </c>
      <c r="E436" t="s">
        <v>204</v>
      </c>
      <c r="F436" t="s">
        <v>205</v>
      </c>
      <c r="G436" t="s">
        <v>124</v>
      </c>
      <c r="H436" t="s">
        <v>125</v>
      </c>
      <c r="I436">
        <v>0</v>
      </c>
      <c r="J436" t="s">
        <v>126</v>
      </c>
      <c r="K436" t="s">
        <v>125</v>
      </c>
      <c r="L436" t="s">
        <v>1142</v>
      </c>
      <c r="U436" t="s">
        <v>149</v>
      </c>
      <c r="W436" t="s">
        <v>135</v>
      </c>
      <c r="X436">
        <v>1</v>
      </c>
      <c r="AC436" t="s">
        <v>136</v>
      </c>
      <c r="AE436" t="s">
        <v>137</v>
      </c>
    </row>
    <row r="437" spans="1:78" x14ac:dyDescent="0.2">
      <c r="A437" t="s">
        <v>119</v>
      </c>
      <c r="B437" t="s">
        <v>120</v>
      </c>
      <c r="C437" t="s">
        <v>1143</v>
      </c>
      <c r="D437">
        <v>8</v>
      </c>
      <c r="E437" t="s">
        <v>1144</v>
      </c>
      <c r="F437" t="s">
        <v>1145</v>
      </c>
      <c r="G437" t="s">
        <v>124</v>
      </c>
      <c r="H437" t="s">
        <v>125</v>
      </c>
      <c r="I437">
        <v>0</v>
      </c>
      <c r="J437" t="s">
        <v>126</v>
      </c>
      <c r="K437" t="s">
        <v>125</v>
      </c>
      <c r="L437" t="s">
        <v>1146</v>
      </c>
      <c r="U437" t="s">
        <v>149</v>
      </c>
      <c r="W437" t="s">
        <v>135</v>
      </c>
      <c r="X437">
        <v>3</v>
      </c>
      <c r="AC437" t="s">
        <v>136</v>
      </c>
      <c r="AE437" t="s">
        <v>137</v>
      </c>
    </row>
    <row r="438" spans="1:78" x14ac:dyDescent="0.2">
      <c r="A438" t="s">
        <v>119</v>
      </c>
      <c r="B438" t="s">
        <v>120</v>
      </c>
      <c r="C438" t="s">
        <v>1143</v>
      </c>
      <c r="D438">
        <v>14</v>
      </c>
      <c r="E438" t="s">
        <v>370</v>
      </c>
      <c r="F438" t="s">
        <v>140</v>
      </c>
      <c r="G438" t="s">
        <v>124</v>
      </c>
      <c r="H438" t="s">
        <v>125</v>
      </c>
      <c r="I438">
        <v>8</v>
      </c>
      <c r="J438" t="s">
        <v>161</v>
      </c>
      <c r="K438" t="s">
        <v>125</v>
      </c>
      <c r="L438" t="s">
        <v>1147</v>
      </c>
      <c r="U438" t="s">
        <v>149</v>
      </c>
      <c r="W438" t="s">
        <v>135</v>
      </c>
      <c r="X438">
        <v>3</v>
      </c>
      <c r="AC438" t="s">
        <v>136</v>
      </c>
      <c r="AE438" t="s">
        <v>137</v>
      </c>
    </row>
    <row r="439" spans="1:78" x14ac:dyDescent="0.2">
      <c r="A439" t="s">
        <v>119</v>
      </c>
      <c r="B439" t="s">
        <v>120</v>
      </c>
      <c r="C439" t="s">
        <v>1143</v>
      </c>
      <c r="D439">
        <v>22</v>
      </c>
      <c r="E439" t="s">
        <v>1148</v>
      </c>
      <c r="F439" t="s">
        <v>1149</v>
      </c>
      <c r="G439" t="s">
        <v>124</v>
      </c>
      <c r="H439" t="s">
        <v>125</v>
      </c>
      <c r="I439">
        <v>14</v>
      </c>
      <c r="J439" t="s">
        <v>161</v>
      </c>
      <c r="K439" t="s">
        <v>125</v>
      </c>
      <c r="L439" t="s">
        <v>1150</v>
      </c>
      <c r="U439" t="s">
        <v>149</v>
      </c>
      <c r="W439" t="s">
        <v>135</v>
      </c>
      <c r="X439">
        <v>3</v>
      </c>
      <c r="AC439" t="s">
        <v>136</v>
      </c>
      <c r="AE439" t="s">
        <v>137</v>
      </c>
    </row>
    <row r="440" spans="1:78" x14ac:dyDescent="0.2">
      <c r="A440" t="s">
        <v>119</v>
      </c>
      <c r="B440" t="s">
        <v>120</v>
      </c>
      <c r="C440" t="s">
        <v>1151</v>
      </c>
      <c r="D440">
        <v>14</v>
      </c>
      <c r="E440" t="s">
        <v>235</v>
      </c>
      <c r="F440" t="s">
        <v>146</v>
      </c>
      <c r="G440" t="s">
        <v>124</v>
      </c>
      <c r="H440" t="s">
        <v>125</v>
      </c>
      <c r="I440">
        <v>9</v>
      </c>
      <c r="J440" t="s">
        <v>161</v>
      </c>
      <c r="K440" t="s">
        <v>125</v>
      </c>
      <c r="L440" t="s">
        <v>1152</v>
      </c>
      <c r="U440" t="s">
        <v>149</v>
      </c>
      <c r="W440" t="s">
        <v>155</v>
      </c>
      <c r="X440">
        <v>3</v>
      </c>
      <c r="AC440" t="s">
        <v>136</v>
      </c>
      <c r="AE440" t="s">
        <v>137</v>
      </c>
    </row>
    <row r="441" spans="1:78" hidden="1" x14ac:dyDescent="0.2">
      <c r="A441" t="s">
        <v>119</v>
      </c>
      <c r="B441" t="s">
        <v>120</v>
      </c>
      <c r="C441" t="s">
        <v>1151</v>
      </c>
      <c r="D441">
        <v>17</v>
      </c>
      <c r="E441" t="s">
        <v>1153</v>
      </c>
      <c r="F441" t="s">
        <v>1154</v>
      </c>
      <c r="G441" t="s">
        <v>124</v>
      </c>
      <c r="H441" t="s">
        <v>125</v>
      </c>
      <c r="I441">
        <v>14</v>
      </c>
      <c r="J441" t="s">
        <v>268</v>
      </c>
      <c r="K441" t="s">
        <v>125</v>
      </c>
      <c r="L441" t="s">
        <v>1155</v>
      </c>
      <c r="T441" t="s">
        <v>154</v>
      </c>
    </row>
    <row r="442" spans="1:78" x14ac:dyDescent="0.2">
      <c r="A442" t="s">
        <v>119</v>
      </c>
      <c r="B442" t="s">
        <v>120</v>
      </c>
      <c r="C442" t="s">
        <v>1151</v>
      </c>
      <c r="D442">
        <v>24</v>
      </c>
      <c r="E442" t="s">
        <v>818</v>
      </c>
      <c r="F442" t="s">
        <v>819</v>
      </c>
      <c r="G442" t="s">
        <v>124</v>
      </c>
      <c r="H442" t="s">
        <v>125</v>
      </c>
      <c r="I442">
        <v>17</v>
      </c>
      <c r="J442" t="s">
        <v>268</v>
      </c>
      <c r="K442" t="s">
        <v>125</v>
      </c>
      <c r="L442" t="s">
        <v>1156</v>
      </c>
      <c r="U442" t="s">
        <v>149</v>
      </c>
      <c r="W442" t="s">
        <v>135</v>
      </c>
      <c r="X442">
        <v>3</v>
      </c>
      <c r="AC442" t="s">
        <v>136</v>
      </c>
      <c r="AE442" t="s">
        <v>137</v>
      </c>
    </row>
    <row r="443" spans="1:78" x14ac:dyDescent="0.2">
      <c r="A443" t="s">
        <v>119</v>
      </c>
      <c r="B443" t="s">
        <v>120</v>
      </c>
      <c r="C443" t="s">
        <v>1157</v>
      </c>
      <c r="D443">
        <v>6</v>
      </c>
      <c r="E443" t="s">
        <v>1158</v>
      </c>
      <c r="F443" t="s">
        <v>954</v>
      </c>
      <c r="G443" t="s">
        <v>124</v>
      </c>
      <c r="H443" t="s">
        <v>125</v>
      </c>
      <c r="I443">
        <v>0</v>
      </c>
      <c r="J443" t="s">
        <v>126</v>
      </c>
      <c r="K443" t="s">
        <v>125</v>
      </c>
      <c r="L443" t="s">
        <v>1159</v>
      </c>
      <c r="U443" t="s">
        <v>149</v>
      </c>
      <c r="W443" t="s">
        <v>135</v>
      </c>
      <c r="X443">
        <v>3</v>
      </c>
      <c r="AC443" t="s">
        <v>136</v>
      </c>
      <c r="AE443" t="s">
        <v>137</v>
      </c>
    </row>
    <row r="444" spans="1:78" x14ac:dyDescent="0.2">
      <c r="A444" t="s">
        <v>119</v>
      </c>
      <c r="B444" t="s">
        <v>120</v>
      </c>
      <c r="C444" t="s">
        <v>1157</v>
      </c>
      <c r="D444">
        <v>9</v>
      </c>
      <c r="E444" t="s">
        <v>1160</v>
      </c>
      <c r="F444" t="s">
        <v>390</v>
      </c>
      <c r="G444" t="s">
        <v>124</v>
      </c>
      <c r="H444" t="s">
        <v>125</v>
      </c>
      <c r="I444">
        <v>6</v>
      </c>
      <c r="J444" t="s">
        <v>161</v>
      </c>
      <c r="K444" t="s">
        <v>125</v>
      </c>
      <c r="L444" t="s">
        <v>1161</v>
      </c>
      <c r="U444" t="s">
        <v>149</v>
      </c>
      <c r="W444" t="s">
        <v>135</v>
      </c>
      <c r="X444">
        <v>3</v>
      </c>
      <c r="AC444" t="s">
        <v>136</v>
      </c>
      <c r="AE444" t="s">
        <v>137</v>
      </c>
    </row>
    <row r="445" spans="1:78" hidden="1" x14ac:dyDescent="0.2">
      <c r="A445" t="s">
        <v>119</v>
      </c>
      <c r="B445" t="s">
        <v>120</v>
      </c>
      <c r="C445" t="s">
        <v>1157</v>
      </c>
      <c r="D445">
        <v>16</v>
      </c>
      <c r="E445" t="s">
        <v>490</v>
      </c>
      <c r="F445" t="s">
        <v>283</v>
      </c>
      <c r="G445" t="s">
        <v>124</v>
      </c>
      <c r="H445" t="s">
        <v>125</v>
      </c>
      <c r="I445">
        <v>13</v>
      </c>
      <c r="J445" t="s">
        <v>170</v>
      </c>
      <c r="K445" t="s">
        <v>125</v>
      </c>
      <c r="L445" t="s">
        <v>1162</v>
      </c>
      <c r="U445" t="s">
        <v>149</v>
      </c>
      <c r="W445" t="s">
        <v>135</v>
      </c>
      <c r="X445">
        <v>2</v>
      </c>
      <c r="AC445" t="s">
        <v>903</v>
      </c>
      <c r="AE445" t="s">
        <v>137</v>
      </c>
    </row>
    <row r="446" spans="1:78" x14ac:dyDescent="0.2">
      <c r="A446" t="s">
        <v>119</v>
      </c>
      <c r="B446" t="s">
        <v>120</v>
      </c>
      <c r="C446" t="s">
        <v>1163</v>
      </c>
      <c r="D446">
        <v>4</v>
      </c>
      <c r="E446" t="s">
        <v>837</v>
      </c>
      <c r="F446" t="s">
        <v>169</v>
      </c>
      <c r="G446" t="s">
        <v>124</v>
      </c>
      <c r="H446" t="s">
        <v>125</v>
      </c>
      <c r="I446">
        <v>0</v>
      </c>
      <c r="J446" t="s">
        <v>126</v>
      </c>
      <c r="K446" t="s">
        <v>125</v>
      </c>
      <c r="L446" t="s">
        <v>1164</v>
      </c>
      <c r="U446" t="s">
        <v>134</v>
      </c>
      <c r="W446" t="s">
        <v>135</v>
      </c>
      <c r="X446">
        <v>1</v>
      </c>
      <c r="AC446" t="s">
        <v>136</v>
      </c>
      <c r="AE446" t="s">
        <v>137</v>
      </c>
    </row>
    <row r="447" spans="1:78" x14ac:dyDescent="0.2">
      <c r="A447" t="s">
        <v>119</v>
      </c>
      <c r="B447" t="s">
        <v>120</v>
      </c>
      <c r="C447" t="s">
        <v>1165</v>
      </c>
      <c r="D447">
        <v>2</v>
      </c>
      <c r="E447" t="s">
        <v>457</v>
      </c>
      <c r="F447" t="s">
        <v>458</v>
      </c>
      <c r="G447" t="s">
        <v>124</v>
      </c>
      <c r="H447" t="s">
        <v>125</v>
      </c>
      <c r="I447">
        <v>0</v>
      </c>
      <c r="J447" t="s">
        <v>126</v>
      </c>
      <c r="K447" t="s">
        <v>125</v>
      </c>
      <c r="L447" t="s">
        <v>1166</v>
      </c>
      <c r="U447" t="s">
        <v>149</v>
      </c>
      <c r="W447" t="s">
        <v>135</v>
      </c>
      <c r="X447">
        <v>3</v>
      </c>
      <c r="AC447" t="s">
        <v>136</v>
      </c>
      <c r="AE447" t="s">
        <v>137</v>
      </c>
    </row>
    <row r="448" spans="1:78" hidden="1" x14ac:dyDescent="0.2">
      <c r="A448" t="s">
        <v>119</v>
      </c>
      <c r="B448" t="s">
        <v>120</v>
      </c>
      <c r="C448" t="s">
        <v>1167</v>
      </c>
      <c r="D448">
        <v>5</v>
      </c>
      <c r="E448" t="s">
        <v>1168</v>
      </c>
      <c r="F448" t="s">
        <v>311</v>
      </c>
      <c r="G448" t="s">
        <v>124</v>
      </c>
      <c r="H448" t="s">
        <v>125</v>
      </c>
      <c r="I448">
        <v>0</v>
      </c>
      <c r="J448" t="s">
        <v>126</v>
      </c>
      <c r="K448" t="s">
        <v>125</v>
      </c>
      <c r="L448" t="s">
        <v>1169</v>
      </c>
      <c r="AE448" t="s">
        <v>394</v>
      </c>
      <c r="AG448">
        <v>4</v>
      </c>
      <c r="AH448" t="s">
        <v>323</v>
      </c>
      <c r="AI448" t="s">
        <v>146</v>
      </c>
      <c r="AJ448" t="s">
        <v>131</v>
      </c>
      <c r="AK448" t="s">
        <v>125</v>
      </c>
      <c r="AL448">
        <v>5</v>
      </c>
      <c r="AM448" t="s">
        <v>132</v>
      </c>
      <c r="AN448" t="s">
        <v>125</v>
      </c>
      <c r="AO448" t="s">
        <v>1170</v>
      </c>
      <c r="BP448" t="s">
        <v>149</v>
      </c>
      <c r="BR448" t="s">
        <v>135</v>
      </c>
      <c r="BS448">
        <v>1</v>
      </c>
      <c r="BX448" t="s">
        <v>136</v>
      </c>
      <c r="BZ448" t="s">
        <v>137</v>
      </c>
    </row>
    <row r="449" spans="1:98" x14ac:dyDescent="0.2">
      <c r="A449" t="s">
        <v>119</v>
      </c>
      <c r="B449" t="s">
        <v>120</v>
      </c>
      <c r="C449" t="s">
        <v>1171</v>
      </c>
      <c r="D449">
        <v>2</v>
      </c>
      <c r="E449" t="s">
        <v>197</v>
      </c>
      <c r="F449" t="s">
        <v>198</v>
      </c>
      <c r="G449" t="s">
        <v>124</v>
      </c>
      <c r="H449" t="s">
        <v>125</v>
      </c>
      <c r="I449">
        <v>0</v>
      </c>
      <c r="J449" t="s">
        <v>126</v>
      </c>
      <c r="K449" t="s">
        <v>125</v>
      </c>
      <c r="L449" t="s">
        <v>1172</v>
      </c>
      <c r="U449" t="s">
        <v>149</v>
      </c>
      <c r="W449" t="s">
        <v>135</v>
      </c>
      <c r="X449">
        <v>1</v>
      </c>
      <c r="AC449" t="s">
        <v>136</v>
      </c>
      <c r="AE449" t="s">
        <v>137</v>
      </c>
    </row>
    <row r="450" spans="1:98" x14ac:dyDescent="0.2">
      <c r="A450" t="s">
        <v>119</v>
      </c>
      <c r="B450" t="s">
        <v>120</v>
      </c>
      <c r="C450" t="s">
        <v>1173</v>
      </c>
      <c r="D450">
        <v>3</v>
      </c>
      <c r="E450" t="s">
        <v>197</v>
      </c>
      <c r="F450" t="s">
        <v>198</v>
      </c>
      <c r="G450" t="s">
        <v>124</v>
      </c>
      <c r="H450" t="s">
        <v>125</v>
      </c>
      <c r="I450">
        <v>0</v>
      </c>
      <c r="J450" t="s">
        <v>126</v>
      </c>
      <c r="K450" t="s">
        <v>125</v>
      </c>
      <c r="L450" t="s">
        <v>1174</v>
      </c>
      <c r="U450" t="s">
        <v>149</v>
      </c>
      <c r="W450" t="s">
        <v>135</v>
      </c>
      <c r="X450">
        <v>1</v>
      </c>
      <c r="AC450" t="s">
        <v>136</v>
      </c>
      <c r="AE450" t="s">
        <v>137</v>
      </c>
      <c r="AG450">
        <v>12</v>
      </c>
      <c r="AH450" t="s">
        <v>1175</v>
      </c>
      <c r="AI450" t="s">
        <v>283</v>
      </c>
      <c r="AJ450" t="s">
        <v>131</v>
      </c>
      <c r="AK450" t="s">
        <v>125</v>
      </c>
      <c r="AL450">
        <v>3</v>
      </c>
      <c r="AM450" t="s">
        <v>268</v>
      </c>
      <c r="AN450" t="s">
        <v>125</v>
      </c>
      <c r="AO450" t="s">
        <v>1176</v>
      </c>
      <c r="AP450">
        <v>10</v>
      </c>
      <c r="AQ450" t="s">
        <v>235</v>
      </c>
      <c r="AR450" t="s">
        <v>146</v>
      </c>
      <c r="AS450" t="s">
        <v>131</v>
      </c>
      <c r="AT450" t="s">
        <v>125</v>
      </c>
      <c r="AU450">
        <v>12</v>
      </c>
      <c r="AV450" t="s">
        <v>132</v>
      </c>
      <c r="AW450" t="s">
        <v>125</v>
      </c>
      <c r="AX450" t="s">
        <v>1177</v>
      </c>
      <c r="BO450" t="s">
        <v>142</v>
      </c>
      <c r="BR450" t="s">
        <v>135</v>
      </c>
      <c r="BX450" t="s">
        <v>143</v>
      </c>
      <c r="BZ450" t="s">
        <v>144</v>
      </c>
      <c r="CJ450" t="s">
        <v>149</v>
      </c>
      <c r="CL450" t="s">
        <v>155</v>
      </c>
      <c r="CM450">
        <v>3</v>
      </c>
      <c r="CR450" t="s">
        <v>136</v>
      </c>
      <c r="CT450" t="s">
        <v>137</v>
      </c>
    </row>
    <row r="451" spans="1:98" x14ac:dyDescent="0.2">
      <c r="A451" t="s">
        <v>119</v>
      </c>
      <c r="B451" t="s">
        <v>120</v>
      </c>
      <c r="C451" t="s">
        <v>1178</v>
      </c>
      <c r="D451">
        <v>17</v>
      </c>
      <c r="E451" t="s">
        <v>941</v>
      </c>
      <c r="F451" t="s">
        <v>283</v>
      </c>
      <c r="G451" t="s">
        <v>124</v>
      </c>
      <c r="H451" t="s">
        <v>125</v>
      </c>
      <c r="I451">
        <v>12</v>
      </c>
      <c r="J451" t="s">
        <v>161</v>
      </c>
      <c r="K451" t="s">
        <v>125</v>
      </c>
      <c r="L451" t="s">
        <v>1179</v>
      </c>
      <c r="U451" t="s">
        <v>149</v>
      </c>
      <c r="W451" t="s">
        <v>155</v>
      </c>
      <c r="X451">
        <v>3</v>
      </c>
      <c r="AC451" t="s">
        <v>136</v>
      </c>
      <c r="AE451" t="s">
        <v>137</v>
      </c>
    </row>
    <row r="452" spans="1:98" x14ac:dyDescent="0.2">
      <c r="A452" t="s">
        <v>119</v>
      </c>
      <c r="B452" t="s">
        <v>120</v>
      </c>
      <c r="C452" t="s">
        <v>1180</v>
      </c>
      <c r="D452">
        <v>8</v>
      </c>
      <c r="E452" t="s">
        <v>941</v>
      </c>
      <c r="F452" t="s">
        <v>283</v>
      </c>
      <c r="G452" t="s">
        <v>124</v>
      </c>
      <c r="H452" t="s">
        <v>125</v>
      </c>
      <c r="I452">
        <v>4</v>
      </c>
      <c r="J452" t="s">
        <v>268</v>
      </c>
      <c r="K452" t="s">
        <v>125</v>
      </c>
      <c r="L452" t="s">
        <v>1181</v>
      </c>
      <c r="U452" t="s">
        <v>149</v>
      </c>
      <c r="W452" t="s">
        <v>155</v>
      </c>
      <c r="X452">
        <v>3</v>
      </c>
      <c r="AC452" t="s">
        <v>136</v>
      </c>
      <c r="AE452" t="s">
        <v>137</v>
      </c>
    </row>
    <row r="453" spans="1:98" x14ac:dyDescent="0.2">
      <c r="A453" t="s">
        <v>119</v>
      </c>
      <c r="B453" t="s">
        <v>120</v>
      </c>
      <c r="C453" t="s">
        <v>1180</v>
      </c>
      <c r="D453">
        <v>15</v>
      </c>
      <c r="E453" t="s">
        <v>145</v>
      </c>
      <c r="F453" t="s">
        <v>146</v>
      </c>
      <c r="G453" t="s">
        <v>124</v>
      </c>
      <c r="H453" t="s">
        <v>125</v>
      </c>
      <c r="I453">
        <v>8</v>
      </c>
      <c r="J453" t="s">
        <v>199</v>
      </c>
      <c r="K453" t="s">
        <v>125</v>
      </c>
      <c r="L453" t="s">
        <v>1182</v>
      </c>
      <c r="U453" t="s">
        <v>149</v>
      </c>
      <c r="W453" t="s">
        <v>135</v>
      </c>
      <c r="X453">
        <v>3</v>
      </c>
      <c r="AC453" t="s">
        <v>136</v>
      </c>
      <c r="AE453" t="s">
        <v>137</v>
      </c>
    </row>
    <row r="454" spans="1:98" x14ac:dyDescent="0.2">
      <c r="A454" t="s">
        <v>119</v>
      </c>
      <c r="B454" t="s">
        <v>120</v>
      </c>
      <c r="C454" t="s">
        <v>1180</v>
      </c>
      <c r="D454">
        <v>18</v>
      </c>
      <c r="E454" t="s">
        <v>145</v>
      </c>
      <c r="F454" t="s">
        <v>146</v>
      </c>
      <c r="G454" t="s">
        <v>124</v>
      </c>
      <c r="H454" t="s">
        <v>125</v>
      </c>
      <c r="I454">
        <v>8</v>
      </c>
      <c r="J454" t="s">
        <v>199</v>
      </c>
      <c r="K454" t="s">
        <v>125</v>
      </c>
      <c r="L454" t="s">
        <v>1183</v>
      </c>
      <c r="U454" t="s">
        <v>149</v>
      </c>
      <c r="W454" t="s">
        <v>135</v>
      </c>
      <c r="X454">
        <v>3</v>
      </c>
      <c r="AC454" t="s">
        <v>136</v>
      </c>
      <c r="AE454" t="s">
        <v>137</v>
      </c>
    </row>
    <row r="455" spans="1:98" x14ac:dyDescent="0.2">
      <c r="A455" t="s">
        <v>119</v>
      </c>
      <c r="B455" t="s">
        <v>120</v>
      </c>
      <c r="C455" t="s">
        <v>1184</v>
      </c>
      <c r="D455">
        <v>5</v>
      </c>
      <c r="E455" t="s">
        <v>941</v>
      </c>
      <c r="F455" t="s">
        <v>283</v>
      </c>
      <c r="G455" t="s">
        <v>124</v>
      </c>
      <c r="H455" t="s">
        <v>125</v>
      </c>
      <c r="I455">
        <v>0</v>
      </c>
      <c r="J455" t="s">
        <v>126</v>
      </c>
      <c r="K455" t="s">
        <v>125</v>
      </c>
      <c r="L455" t="s">
        <v>1185</v>
      </c>
      <c r="U455" t="s">
        <v>149</v>
      </c>
      <c r="W455" t="s">
        <v>155</v>
      </c>
      <c r="X455">
        <v>3</v>
      </c>
      <c r="AC455" t="s">
        <v>136</v>
      </c>
      <c r="AE455" t="s">
        <v>137</v>
      </c>
    </row>
    <row r="456" spans="1:98" hidden="1" x14ac:dyDescent="0.2">
      <c r="A456" t="s">
        <v>119</v>
      </c>
      <c r="B456" t="s">
        <v>120</v>
      </c>
      <c r="C456" t="s">
        <v>1186</v>
      </c>
      <c r="D456">
        <v>3</v>
      </c>
      <c r="E456" t="s">
        <v>546</v>
      </c>
      <c r="F456" t="s">
        <v>283</v>
      </c>
      <c r="G456" t="s">
        <v>124</v>
      </c>
      <c r="H456" t="s">
        <v>125</v>
      </c>
      <c r="I456">
        <v>0</v>
      </c>
      <c r="J456" t="s">
        <v>126</v>
      </c>
      <c r="K456" t="s">
        <v>125</v>
      </c>
      <c r="L456" t="s">
        <v>1187</v>
      </c>
      <c r="T456" t="s">
        <v>142</v>
      </c>
      <c r="W456" t="s">
        <v>135</v>
      </c>
    </row>
    <row r="457" spans="1:98" x14ac:dyDescent="0.2">
      <c r="A457" t="s">
        <v>119</v>
      </c>
      <c r="B457" t="s">
        <v>120</v>
      </c>
      <c r="C457" t="s">
        <v>1188</v>
      </c>
      <c r="D457">
        <v>3</v>
      </c>
      <c r="E457" t="s">
        <v>197</v>
      </c>
      <c r="F457" t="s">
        <v>198</v>
      </c>
      <c r="G457" t="s">
        <v>124</v>
      </c>
      <c r="H457" t="s">
        <v>125</v>
      </c>
      <c r="I457">
        <v>0</v>
      </c>
      <c r="J457" t="s">
        <v>126</v>
      </c>
      <c r="K457" t="s">
        <v>125</v>
      </c>
      <c r="L457" t="s">
        <v>1189</v>
      </c>
      <c r="U457" t="s">
        <v>149</v>
      </c>
      <c r="W457" t="s">
        <v>135</v>
      </c>
      <c r="X457">
        <v>1</v>
      </c>
      <c r="AC457" t="s">
        <v>136</v>
      </c>
      <c r="AE457" t="s">
        <v>137</v>
      </c>
    </row>
    <row r="458" spans="1:98" x14ac:dyDescent="0.2">
      <c r="A458" t="s">
        <v>119</v>
      </c>
      <c r="B458" t="s">
        <v>120</v>
      </c>
      <c r="C458" t="s">
        <v>1188</v>
      </c>
      <c r="D458">
        <v>14</v>
      </c>
      <c r="E458" t="s">
        <v>805</v>
      </c>
      <c r="F458" t="s">
        <v>257</v>
      </c>
      <c r="G458" t="s">
        <v>124</v>
      </c>
      <c r="H458" t="s">
        <v>125</v>
      </c>
      <c r="I458">
        <v>3</v>
      </c>
      <c r="J458" t="s">
        <v>268</v>
      </c>
      <c r="K458" t="s">
        <v>125</v>
      </c>
      <c r="L458" t="s">
        <v>1190</v>
      </c>
      <c r="U458" t="s">
        <v>149</v>
      </c>
      <c r="W458" t="s">
        <v>135</v>
      </c>
      <c r="X458">
        <v>1</v>
      </c>
      <c r="AC458" t="s">
        <v>136</v>
      </c>
      <c r="AE458" t="s">
        <v>137</v>
      </c>
    </row>
    <row r="459" spans="1:98" hidden="1" x14ac:dyDescent="0.2">
      <c r="A459" t="s">
        <v>119</v>
      </c>
      <c r="B459" t="s">
        <v>120</v>
      </c>
      <c r="C459" t="s">
        <v>1191</v>
      </c>
      <c r="D459">
        <v>2</v>
      </c>
      <c r="E459" t="s">
        <v>1175</v>
      </c>
      <c r="F459" t="s">
        <v>146</v>
      </c>
      <c r="G459" t="s">
        <v>124</v>
      </c>
      <c r="H459" t="s">
        <v>125</v>
      </c>
      <c r="I459">
        <v>0</v>
      </c>
      <c r="J459" t="s">
        <v>126</v>
      </c>
      <c r="K459" t="s">
        <v>125</v>
      </c>
      <c r="L459" t="s">
        <v>1192</v>
      </c>
      <c r="T459" t="s">
        <v>142</v>
      </c>
      <c r="W459" t="s">
        <v>135</v>
      </c>
      <c r="AC459" t="s">
        <v>143</v>
      </c>
      <c r="AE459" t="s">
        <v>144</v>
      </c>
      <c r="AG459">
        <v>1</v>
      </c>
      <c r="AH459" t="s">
        <v>235</v>
      </c>
      <c r="AI459" t="s">
        <v>146</v>
      </c>
      <c r="AJ459" t="s">
        <v>131</v>
      </c>
      <c r="AK459" t="s">
        <v>125</v>
      </c>
      <c r="AL459">
        <v>2</v>
      </c>
      <c r="AM459" t="s">
        <v>132</v>
      </c>
      <c r="AN459" t="s">
        <v>125</v>
      </c>
      <c r="AO459" t="s">
        <v>1193</v>
      </c>
      <c r="BP459" t="s">
        <v>149</v>
      </c>
      <c r="BR459" t="s">
        <v>155</v>
      </c>
      <c r="BS459">
        <v>3</v>
      </c>
      <c r="BX459" t="s">
        <v>136</v>
      </c>
      <c r="BZ459" t="s">
        <v>137</v>
      </c>
    </row>
    <row r="460" spans="1:98" hidden="1" x14ac:dyDescent="0.2">
      <c r="A460" t="s">
        <v>119</v>
      </c>
      <c r="B460" t="s">
        <v>120</v>
      </c>
      <c r="C460" t="s">
        <v>1194</v>
      </c>
      <c r="D460">
        <v>4</v>
      </c>
      <c r="E460" t="s">
        <v>701</v>
      </c>
      <c r="F460" t="s">
        <v>283</v>
      </c>
      <c r="G460" t="s">
        <v>124</v>
      </c>
      <c r="H460" t="s">
        <v>125</v>
      </c>
      <c r="I460">
        <v>0</v>
      </c>
      <c r="J460" t="s">
        <v>126</v>
      </c>
      <c r="K460" t="s">
        <v>125</v>
      </c>
      <c r="L460" t="s">
        <v>1195</v>
      </c>
      <c r="U460" t="s">
        <v>149</v>
      </c>
      <c r="W460" t="s">
        <v>135</v>
      </c>
      <c r="X460">
        <v>1</v>
      </c>
      <c r="AC460" t="s">
        <v>209</v>
      </c>
      <c r="AE460" t="s">
        <v>137</v>
      </c>
    </row>
    <row r="461" spans="1:98" x14ac:dyDescent="0.2">
      <c r="A461" t="s">
        <v>119</v>
      </c>
      <c r="B461" t="s">
        <v>120</v>
      </c>
      <c r="C461" t="s">
        <v>1196</v>
      </c>
      <c r="D461">
        <v>2</v>
      </c>
      <c r="E461" t="s">
        <v>323</v>
      </c>
      <c r="F461" t="s">
        <v>283</v>
      </c>
      <c r="G461" t="s">
        <v>124</v>
      </c>
      <c r="H461" t="s">
        <v>125</v>
      </c>
      <c r="I461">
        <v>0</v>
      </c>
      <c r="J461" t="s">
        <v>126</v>
      </c>
      <c r="K461" t="s">
        <v>125</v>
      </c>
      <c r="L461" t="s">
        <v>1197</v>
      </c>
      <c r="U461" t="s">
        <v>149</v>
      </c>
      <c r="W461" t="s">
        <v>135</v>
      </c>
      <c r="X461">
        <v>1</v>
      </c>
      <c r="AC461" t="s">
        <v>136</v>
      </c>
      <c r="AE461" t="s">
        <v>137</v>
      </c>
    </row>
    <row r="462" spans="1:98" x14ac:dyDescent="0.2">
      <c r="A462" t="s">
        <v>119</v>
      </c>
      <c r="B462" t="s">
        <v>120</v>
      </c>
      <c r="C462" t="s">
        <v>1198</v>
      </c>
      <c r="D462">
        <v>6</v>
      </c>
      <c r="E462" t="s">
        <v>145</v>
      </c>
      <c r="F462" t="s">
        <v>146</v>
      </c>
      <c r="G462" t="s">
        <v>124</v>
      </c>
      <c r="H462" t="s">
        <v>125</v>
      </c>
      <c r="I462">
        <v>0</v>
      </c>
      <c r="J462" t="s">
        <v>126</v>
      </c>
      <c r="K462" t="s">
        <v>125</v>
      </c>
      <c r="L462" t="s">
        <v>1199</v>
      </c>
      <c r="U462" t="s">
        <v>149</v>
      </c>
      <c r="W462" t="s">
        <v>135</v>
      </c>
      <c r="X462">
        <v>3</v>
      </c>
      <c r="AC462" t="s">
        <v>136</v>
      </c>
      <c r="AE462" t="s">
        <v>137</v>
      </c>
    </row>
    <row r="463" spans="1:98" hidden="1" x14ac:dyDescent="0.2">
      <c r="A463" t="s">
        <v>119</v>
      </c>
      <c r="B463" t="s">
        <v>120</v>
      </c>
      <c r="C463" t="s">
        <v>1200</v>
      </c>
      <c r="D463">
        <v>5</v>
      </c>
      <c r="E463" t="s">
        <v>1201</v>
      </c>
      <c r="F463" t="s">
        <v>1201</v>
      </c>
      <c r="G463" t="s">
        <v>124</v>
      </c>
      <c r="H463" t="s">
        <v>125</v>
      </c>
      <c r="I463">
        <v>0</v>
      </c>
      <c r="J463" t="s">
        <v>126</v>
      </c>
      <c r="K463" t="s">
        <v>125</v>
      </c>
      <c r="L463" t="s">
        <v>1202</v>
      </c>
      <c r="AG463">
        <v>4</v>
      </c>
      <c r="AH463" t="s">
        <v>1203</v>
      </c>
      <c r="AI463" t="s">
        <v>130</v>
      </c>
      <c r="AJ463" t="s">
        <v>131</v>
      </c>
      <c r="AK463" t="s">
        <v>125</v>
      </c>
      <c r="AL463">
        <v>5</v>
      </c>
      <c r="AM463" t="s">
        <v>132</v>
      </c>
      <c r="AN463" t="s">
        <v>125</v>
      </c>
      <c r="AO463" t="s">
        <v>1204</v>
      </c>
      <c r="BP463" t="s">
        <v>134</v>
      </c>
      <c r="BR463" t="s">
        <v>135</v>
      </c>
      <c r="BS463">
        <v>3</v>
      </c>
      <c r="BX463" t="s">
        <v>136</v>
      </c>
      <c r="BZ463" t="s">
        <v>137</v>
      </c>
    </row>
    <row r="464" spans="1:98" x14ac:dyDescent="0.2">
      <c r="A464" t="s">
        <v>119</v>
      </c>
      <c r="B464" t="s">
        <v>120</v>
      </c>
      <c r="C464" t="s">
        <v>1205</v>
      </c>
      <c r="D464">
        <v>7</v>
      </c>
      <c r="E464" t="s">
        <v>614</v>
      </c>
      <c r="F464" t="s">
        <v>205</v>
      </c>
      <c r="G464" t="s">
        <v>124</v>
      </c>
      <c r="H464" t="s">
        <v>125</v>
      </c>
      <c r="I464">
        <v>4</v>
      </c>
      <c r="J464" t="s">
        <v>170</v>
      </c>
      <c r="K464" t="s">
        <v>125</v>
      </c>
      <c r="L464" t="s">
        <v>1206</v>
      </c>
      <c r="U464" t="s">
        <v>149</v>
      </c>
      <c r="W464" t="s">
        <v>135</v>
      </c>
      <c r="X464">
        <v>3</v>
      </c>
      <c r="AC464" t="s">
        <v>136</v>
      </c>
      <c r="AE464" t="s">
        <v>137</v>
      </c>
    </row>
    <row r="465" spans="1:78" x14ac:dyDescent="0.2">
      <c r="A465" t="s">
        <v>119</v>
      </c>
      <c r="B465" t="s">
        <v>120</v>
      </c>
      <c r="C465" t="s">
        <v>1207</v>
      </c>
      <c r="D465">
        <v>4</v>
      </c>
      <c r="E465" t="s">
        <v>145</v>
      </c>
      <c r="F465" t="s">
        <v>146</v>
      </c>
      <c r="G465" t="s">
        <v>124</v>
      </c>
      <c r="H465" t="s">
        <v>125</v>
      </c>
      <c r="I465">
        <v>0</v>
      </c>
      <c r="J465" t="s">
        <v>126</v>
      </c>
      <c r="K465" t="s">
        <v>125</v>
      </c>
      <c r="L465" t="s">
        <v>1208</v>
      </c>
      <c r="U465" t="s">
        <v>149</v>
      </c>
      <c r="W465" t="s">
        <v>135</v>
      </c>
      <c r="X465">
        <v>3</v>
      </c>
      <c r="AC465" t="s">
        <v>136</v>
      </c>
      <c r="AE465" t="s">
        <v>137</v>
      </c>
    </row>
    <row r="466" spans="1:78" x14ac:dyDescent="0.2">
      <c r="A466" t="s">
        <v>119</v>
      </c>
      <c r="B466" t="s">
        <v>120</v>
      </c>
      <c r="C466" t="s">
        <v>1209</v>
      </c>
      <c r="D466">
        <v>4</v>
      </c>
      <c r="E466" t="s">
        <v>145</v>
      </c>
      <c r="F466" t="s">
        <v>146</v>
      </c>
      <c r="G466" t="s">
        <v>124</v>
      </c>
      <c r="H466" t="s">
        <v>125</v>
      </c>
      <c r="I466">
        <v>0</v>
      </c>
      <c r="J466" t="s">
        <v>126</v>
      </c>
      <c r="K466" t="s">
        <v>125</v>
      </c>
      <c r="L466" t="s">
        <v>1210</v>
      </c>
      <c r="U466" t="s">
        <v>149</v>
      </c>
      <c r="W466" t="s">
        <v>135</v>
      </c>
      <c r="X466">
        <v>3</v>
      </c>
      <c r="AC466" t="s">
        <v>136</v>
      </c>
      <c r="AE466" t="s">
        <v>137</v>
      </c>
    </row>
    <row r="467" spans="1:78" hidden="1" x14ac:dyDescent="0.2">
      <c r="A467" t="s">
        <v>119</v>
      </c>
      <c r="B467" t="s">
        <v>120</v>
      </c>
      <c r="C467" t="s">
        <v>1209</v>
      </c>
      <c r="D467">
        <v>12</v>
      </c>
      <c r="E467" t="s">
        <v>407</v>
      </c>
      <c r="F467" t="s">
        <v>140</v>
      </c>
      <c r="G467" t="s">
        <v>124</v>
      </c>
      <c r="H467" t="s">
        <v>125</v>
      </c>
      <c r="I467">
        <v>9</v>
      </c>
      <c r="J467" t="s">
        <v>170</v>
      </c>
      <c r="K467" t="s">
        <v>125</v>
      </c>
      <c r="L467" t="s">
        <v>1211</v>
      </c>
      <c r="T467" t="s">
        <v>154</v>
      </c>
      <c r="W467" t="s">
        <v>135</v>
      </c>
      <c r="AC467" t="s">
        <v>143</v>
      </c>
      <c r="AE467" t="s">
        <v>144</v>
      </c>
      <c r="AG467">
        <v>11</v>
      </c>
      <c r="AH467" t="s">
        <v>614</v>
      </c>
      <c r="AI467" t="s">
        <v>205</v>
      </c>
      <c r="AJ467" t="s">
        <v>131</v>
      </c>
      <c r="AK467" t="s">
        <v>125</v>
      </c>
      <c r="AL467">
        <v>12</v>
      </c>
      <c r="AM467" t="s">
        <v>132</v>
      </c>
      <c r="AN467" t="s">
        <v>125</v>
      </c>
      <c r="AO467" t="s">
        <v>1212</v>
      </c>
      <c r="BP467" t="s">
        <v>149</v>
      </c>
      <c r="BR467" t="s">
        <v>135</v>
      </c>
      <c r="BS467">
        <v>3</v>
      </c>
      <c r="BX467" t="s">
        <v>136</v>
      </c>
      <c r="BZ467" t="s">
        <v>137</v>
      </c>
    </row>
    <row r="468" spans="1:78" x14ac:dyDescent="0.2">
      <c r="A468" t="s">
        <v>119</v>
      </c>
      <c r="B468" t="s">
        <v>120</v>
      </c>
      <c r="C468" t="s">
        <v>1213</v>
      </c>
      <c r="D468">
        <v>4</v>
      </c>
      <c r="E468" t="s">
        <v>145</v>
      </c>
      <c r="F468" t="s">
        <v>146</v>
      </c>
      <c r="G468" t="s">
        <v>124</v>
      </c>
      <c r="H468" t="s">
        <v>125</v>
      </c>
      <c r="I468">
        <v>0</v>
      </c>
      <c r="J468" t="s">
        <v>126</v>
      </c>
      <c r="K468" t="s">
        <v>125</v>
      </c>
      <c r="L468" t="s">
        <v>1214</v>
      </c>
      <c r="U468" t="s">
        <v>149</v>
      </c>
      <c r="W468" t="s">
        <v>135</v>
      </c>
      <c r="X468">
        <v>3</v>
      </c>
      <c r="AC468" t="s">
        <v>136</v>
      </c>
      <c r="AE468" t="s">
        <v>137</v>
      </c>
    </row>
    <row r="469" spans="1:78" x14ac:dyDescent="0.2">
      <c r="A469" t="s">
        <v>119</v>
      </c>
      <c r="B469" t="s">
        <v>120</v>
      </c>
      <c r="C469" t="s">
        <v>1215</v>
      </c>
      <c r="D469">
        <v>3</v>
      </c>
      <c r="E469" t="s">
        <v>145</v>
      </c>
      <c r="F469" t="s">
        <v>146</v>
      </c>
      <c r="G469" t="s">
        <v>124</v>
      </c>
      <c r="H469" t="s">
        <v>125</v>
      </c>
      <c r="I469">
        <v>0</v>
      </c>
      <c r="J469" t="s">
        <v>126</v>
      </c>
      <c r="K469" t="s">
        <v>125</v>
      </c>
      <c r="L469" t="s">
        <v>1216</v>
      </c>
      <c r="U469" t="s">
        <v>149</v>
      </c>
      <c r="W469" t="s">
        <v>135</v>
      </c>
      <c r="X469">
        <v>3</v>
      </c>
      <c r="AC469" t="s">
        <v>136</v>
      </c>
      <c r="AE469" t="s">
        <v>137</v>
      </c>
    </row>
    <row r="470" spans="1:78" hidden="1" x14ac:dyDescent="0.2">
      <c r="A470" t="s">
        <v>119</v>
      </c>
      <c r="B470" t="s">
        <v>120</v>
      </c>
      <c r="C470" t="s">
        <v>1217</v>
      </c>
      <c r="D470">
        <v>2</v>
      </c>
      <c r="E470" t="s">
        <v>1218</v>
      </c>
      <c r="F470" t="s">
        <v>1218</v>
      </c>
      <c r="G470" t="s">
        <v>124</v>
      </c>
      <c r="H470" t="s">
        <v>125</v>
      </c>
      <c r="I470">
        <v>3</v>
      </c>
      <c r="J470" t="s">
        <v>210</v>
      </c>
      <c r="K470" t="s">
        <v>125</v>
      </c>
      <c r="L470" t="s">
        <v>1219</v>
      </c>
    </row>
    <row r="471" spans="1:78" x14ac:dyDescent="0.2">
      <c r="A471" t="s">
        <v>119</v>
      </c>
      <c r="B471" t="s">
        <v>120</v>
      </c>
      <c r="C471" t="s">
        <v>1217</v>
      </c>
      <c r="D471">
        <v>3</v>
      </c>
      <c r="E471" t="s">
        <v>145</v>
      </c>
      <c r="F471" t="s">
        <v>146</v>
      </c>
      <c r="G471" t="s">
        <v>124</v>
      </c>
      <c r="H471" t="s">
        <v>125</v>
      </c>
      <c r="I471">
        <v>0</v>
      </c>
      <c r="J471" t="s">
        <v>126</v>
      </c>
      <c r="K471" t="s">
        <v>125</v>
      </c>
      <c r="L471" t="s">
        <v>1220</v>
      </c>
      <c r="U471" t="s">
        <v>149</v>
      </c>
      <c r="W471" t="s">
        <v>135</v>
      </c>
      <c r="X471">
        <v>3</v>
      </c>
      <c r="AC471" t="s">
        <v>136</v>
      </c>
      <c r="AE471" t="s">
        <v>137</v>
      </c>
    </row>
    <row r="472" spans="1:78" x14ac:dyDescent="0.2">
      <c r="A472" t="s">
        <v>119</v>
      </c>
      <c r="B472" t="s">
        <v>120</v>
      </c>
      <c r="C472" t="s">
        <v>1221</v>
      </c>
      <c r="D472">
        <v>5</v>
      </c>
      <c r="E472" t="s">
        <v>941</v>
      </c>
      <c r="F472" t="s">
        <v>283</v>
      </c>
      <c r="G472" t="s">
        <v>124</v>
      </c>
      <c r="H472" t="s">
        <v>125</v>
      </c>
      <c r="I472">
        <v>0</v>
      </c>
      <c r="J472" t="s">
        <v>126</v>
      </c>
      <c r="K472" t="s">
        <v>125</v>
      </c>
      <c r="L472" t="s">
        <v>1222</v>
      </c>
      <c r="U472" t="s">
        <v>149</v>
      </c>
      <c r="W472" t="s">
        <v>155</v>
      </c>
      <c r="X472">
        <v>3</v>
      </c>
      <c r="AC472" t="s">
        <v>136</v>
      </c>
      <c r="AE472" t="s">
        <v>137</v>
      </c>
    </row>
    <row r="473" spans="1:78" x14ac:dyDescent="0.2">
      <c r="A473" t="s">
        <v>119</v>
      </c>
      <c r="B473" t="s">
        <v>120</v>
      </c>
      <c r="C473" t="s">
        <v>1223</v>
      </c>
      <c r="D473">
        <v>2</v>
      </c>
      <c r="E473" t="s">
        <v>145</v>
      </c>
      <c r="F473" t="s">
        <v>146</v>
      </c>
      <c r="G473" t="s">
        <v>124</v>
      </c>
      <c r="H473" t="s">
        <v>125</v>
      </c>
      <c r="I473">
        <v>0</v>
      </c>
      <c r="J473" t="s">
        <v>126</v>
      </c>
      <c r="K473" t="s">
        <v>125</v>
      </c>
      <c r="L473" t="s">
        <v>1224</v>
      </c>
      <c r="U473" t="s">
        <v>149</v>
      </c>
      <c r="W473" t="s">
        <v>135</v>
      </c>
      <c r="X473">
        <v>3</v>
      </c>
      <c r="AC473" t="s">
        <v>136</v>
      </c>
      <c r="AE473" t="s">
        <v>137</v>
      </c>
    </row>
    <row r="474" spans="1:78" x14ac:dyDescent="0.2">
      <c r="A474" t="s">
        <v>119</v>
      </c>
      <c r="B474" t="s">
        <v>120</v>
      </c>
      <c r="C474" t="s">
        <v>1223</v>
      </c>
      <c r="D474">
        <v>5</v>
      </c>
      <c r="E474" t="s">
        <v>145</v>
      </c>
      <c r="F474" t="s">
        <v>146</v>
      </c>
      <c r="G474" t="s">
        <v>124</v>
      </c>
      <c r="H474" t="s">
        <v>125</v>
      </c>
      <c r="I474">
        <v>2</v>
      </c>
      <c r="J474" t="s">
        <v>199</v>
      </c>
      <c r="K474" t="s">
        <v>125</v>
      </c>
      <c r="L474" t="s">
        <v>1225</v>
      </c>
      <c r="U474" t="s">
        <v>149</v>
      </c>
      <c r="W474" t="s">
        <v>135</v>
      </c>
      <c r="X474">
        <v>3</v>
      </c>
      <c r="AC474" t="s">
        <v>136</v>
      </c>
      <c r="AE474" t="s">
        <v>137</v>
      </c>
    </row>
    <row r="475" spans="1:78" x14ac:dyDescent="0.2">
      <c r="A475" t="s">
        <v>119</v>
      </c>
      <c r="B475" t="s">
        <v>120</v>
      </c>
      <c r="C475" t="s">
        <v>1226</v>
      </c>
      <c r="D475">
        <v>2</v>
      </c>
      <c r="E475" t="s">
        <v>414</v>
      </c>
      <c r="F475" t="s">
        <v>415</v>
      </c>
      <c r="G475" t="s">
        <v>124</v>
      </c>
      <c r="H475" t="s">
        <v>125</v>
      </c>
      <c r="I475">
        <v>0</v>
      </c>
      <c r="J475" t="s">
        <v>126</v>
      </c>
      <c r="K475" t="s">
        <v>125</v>
      </c>
      <c r="L475" t="s">
        <v>1227</v>
      </c>
      <c r="U475" t="s">
        <v>149</v>
      </c>
      <c r="W475" t="s">
        <v>135</v>
      </c>
      <c r="X475">
        <v>1</v>
      </c>
      <c r="AC475" t="s">
        <v>136</v>
      </c>
      <c r="AE475" t="s">
        <v>137</v>
      </c>
    </row>
    <row r="476" spans="1:78" hidden="1" x14ac:dyDescent="0.2">
      <c r="A476" t="s">
        <v>119</v>
      </c>
      <c r="B476" t="s">
        <v>120</v>
      </c>
      <c r="C476" t="s">
        <v>1226</v>
      </c>
      <c r="D476">
        <v>5</v>
      </c>
      <c r="E476" t="s">
        <v>1228</v>
      </c>
      <c r="F476" t="s">
        <v>1228</v>
      </c>
      <c r="G476" t="s">
        <v>124</v>
      </c>
      <c r="H476" t="s">
        <v>125</v>
      </c>
      <c r="I476">
        <v>2</v>
      </c>
      <c r="J476" t="s">
        <v>268</v>
      </c>
      <c r="K476" t="s">
        <v>125</v>
      </c>
      <c r="L476" t="s">
        <v>1229</v>
      </c>
      <c r="AE476" t="s">
        <v>128</v>
      </c>
      <c r="AG476">
        <v>4</v>
      </c>
      <c r="AH476" t="s">
        <v>1230</v>
      </c>
      <c r="AI476" t="s">
        <v>130</v>
      </c>
      <c r="AJ476" t="s">
        <v>131</v>
      </c>
      <c r="AK476" t="s">
        <v>125</v>
      </c>
      <c r="AL476">
        <v>5</v>
      </c>
      <c r="AM476" t="s">
        <v>132</v>
      </c>
      <c r="AN476" t="s">
        <v>125</v>
      </c>
      <c r="AO476" t="s">
        <v>1231</v>
      </c>
      <c r="BP476" t="s">
        <v>149</v>
      </c>
      <c r="BR476" t="s">
        <v>135</v>
      </c>
      <c r="BS476">
        <v>1</v>
      </c>
      <c r="BX476" t="s">
        <v>136</v>
      </c>
      <c r="BZ476" t="s">
        <v>137</v>
      </c>
    </row>
    <row r="477" spans="1:78" hidden="1" x14ac:dyDescent="0.2">
      <c r="A477" t="s">
        <v>119</v>
      </c>
      <c r="B477" t="s">
        <v>120</v>
      </c>
      <c r="C477" t="s">
        <v>1226</v>
      </c>
      <c r="D477">
        <v>7</v>
      </c>
      <c r="E477" t="s">
        <v>140</v>
      </c>
      <c r="F477" t="s">
        <v>140</v>
      </c>
      <c r="G477" t="s">
        <v>124</v>
      </c>
      <c r="H477" t="s">
        <v>125</v>
      </c>
      <c r="I477">
        <v>5</v>
      </c>
      <c r="J477" t="s">
        <v>264</v>
      </c>
      <c r="K477" t="s">
        <v>125</v>
      </c>
      <c r="L477" t="s">
        <v>1232</v>
      </c>
      <c r="AE477" t="s">
        <v>128</v>
      </c>
    </row>
    <row r="478" spans="1:78" hidden="1" x14ac:dyDescent="0.2">
      <c r="A478" t="s">
        <v>119</v>
      </c>
      <c r="B478" t="s">
        <v>120</v>
      </c>
      <c r="C478" t="s">
        <v>1233</v>
      </c>
      <c r="D478">
        <v>6</v>
      </c>
      <c r="E478" t="s">
        <v>1234</v>
      </c>
      <c r="F478" t="s">
        <v>1228</v>
      </c>
      <c r="G478" t="s">
        <v>124</v>
      </c>
      <c r="H478" t="s">
        <v>125</v>
      </c>
      <c r="I478">
        <v>0</v>
      </c>
      <c r="J478" t="s">
        <v>126</v>
      </c>
      <c r="K478" t="s">
        <v>125</v>
      </c>
      <c r="L478" t="s">
        <v>1235</v>
      </c>
      <c r="T478" t="s">
        <v>154</v>
      </c>
      <c r="W478" t="s">
        <v>135</v>
      </c>
      <c r="AC478" t="s">
        <v>143</v>
      </c>
      <c r="AE478" t="s">
        <v>144</v>
      </c>
      <c r="AG478">
        <v>5</v>
      </c>
      <c r="AH478" t="s">
        <v>204</v>
      </c>
      <c r="AI478" t="s">
        <v>205</v>
      </c>
      <c r="AJ478" t="s">
        <v>131</v>
      </c>
      <c r="AK478" t="s">
        <v>125</v>
      </c>
      <c r="AL478">
        <v>6</v>
      </c>
      <c r="AM478" t="s">
        <v>132</v>
      </c>
      <c r="AN478" t="s">
        <v>125</v>
      </c>
      <c r="AO478" t="s">
        <v>1236</v>
      </c>
      <c r="BP478" t="s">
        <v>149</v>
      </c>
      <c r="BR478" t="s">
        <v>135</v>
      </c>
      <c r="BS478">
        <v>1</v>
      </c>
      <c r="BX478" t="s">
        <v>136</v>
      </c>
      <c r="BZ478" t="s">
        <v>137</v>
      </c>
    </row>
    <row r="479" spans="1:78" hidden="1" x14ac:dyDescent="0.2">
      <c r="A479" t="s">
        <v>119</v>
      </c>
      <c r="B479" t="s">
        <v>120</v>
      </c>
      <c r="C479" t="s">
        <v>1233</v>
      </c>
      <c r="D479">
        <v>15</v>
      </c>
      <c r="E479" t="s">
        <v>1237</v>
      </c>
      <c r="F479" t="s">
        <v>123</v>
      </c>
      <c r="G479" t="s">
        <v>124</v>
      </c>
      <c r="H479" t="s">
        <v>125</v>
      </c>
      <c r="I479">
        <v>6</v>
      </c>
      <c r="J479" t="s">
        <v>268</v>
      </c>
      <c r="K479" t="s">
        <v>125</v>
      </c>
      <c r="L479" t="s">
        <v>1238</v>
      </c>
      <c r="U479" t="s">
        <v>149</v>
      </c>
      <c r="W479" t="s">
        <v>155</v>
      </c>
      <c r="X479">
        <v>3</v>
      </c>
      <c r="AC479" t="s">
        <v>209</v>
      </c>
      <c r="AE479" t="s">
        <v>137</v>
      </c>
    </row>
    <row r="480" spans="1:78" hidden="1" x14ac:dyDescent="0.2">
      <c r="A480" t="s">
        <v>119</v>
      </c>
      <c r="B480" t="s">
        <v>120</v>
      </c>
      <c r="C480" t="s">
        <v>1239</v>
      </c>
      <c r="D480">
        <v>8</v>
      </c>
      <c r="E480" t="s">
        <v>207</v>
      </c>
      <c r="F480" t="s">
        <v>146</v>
      </c>
      <c r="G480" t="s">
        <v>124</v>
      </c>
      <c r="H480" t="s">
        <v>125</v>
      </c>
      <c r="I480">
        <v>11</v>
      </c>
      <c r="J480" t="s">
        <v>199</v>
      </c>
      <c r="K480" t="s">
        <v>125</v>
      </c>
      <c r="L480" t="s">
        <v>1240</v>
      </c>
      <c r="U480" t="s">
        <v>149</v>
      </c>
      <c r="W480" t="s">
        <v>135</v>
      </c>
      <c r="X480">
        <v>3</v>
      </c>
      <c r="AC480" t="s">
        <v>209</v>
      </c>
      <c r="AE480" t="s">
        <v>137</v>
      </c>
    </row>
    <row r="481" spans="1:78" hidden="1" x14ac:dyDescent="0.2">
      <c r="A481" t="s">
        <v>119</v>
      </c>
      <c r="B481" t="s">
        <v>120</v>
      </c>
      <c r="C481" t="s">
        <v>1239</v>
      </c>
      <c r="D481">
        <v>11</v>
      </c>
      <c r="E481" t="s">
        <v>377</v>
      </c>
      <c r="F481" t="s">
        <v>350</v>
      </c>
      <c r="G481" t="s">
        <v>124</v>
      </c>
      <c r="H481" t="s">
        <v>125</v>
      </c>
      <c r="I481">
        <v>0</v>
      </c>
      <c r="J481" t="s">
        <v>126</v>
      </c>
      <c r="K481" t="s">
        <v>125</v>
      </c>
      <c r="L481" t="s">
        <v>1241</v>
      </c>
      <c r="AG481">
        <v>10</v>
      </c>
      <c r="AH481" t="s">
        <v>717</v>
      </c>
      <c r="AI481" t="s">
        <v>572</v>
      </c>
      <c r="AJ481" t="s">
        <v>131</v>
      </c>
      <c r="AK481" t="s">
        <v>125</v>
      </c>
      <c r="AL481">
        <v>11</v>
      </c>
      <c r="AM481" t="s">
        <v>132</v>
      </c>
      <c r="AN481" t="s">
        <v>125</v>
      </c>
      <c r="AO481" t="s">
        <v>1242</v>
      </c>
      <c r="BP481" t="s">
        <v>149</v>
      </c>
      <c r="BR481" t="s">
        <v>135</v>
      </c>
      <c r="BS481">
        <v>1</v>
      </c>
      <c r="BX481" t="s">
        <v>209</v>
      </c>
      <c r="BZ481" t="s">
        <v>137</v>
      </c>
    </row>
    <row r="482" spans="1:78" hidden="1" x14ac:dyDescent="0.2">
      <c r="A482" t="s">
        <v>119</v>
      </c>
      <c r="B482" t="s">
        <v>120</v>
      </c>
      <c r="C482" t="s">
        <v>1243</v>
      </c>
      <c r="D482">
        <v>4</v>
      </c>
      <c r="E482" t="s">
        <v>1244</v>
      </c>
      <c r="F482" t="s">
        <v>261</v>
      </c>
      <c r="G482" t="s">
        <v>124</v>
      </c>
      <c r="H482" t="s">
        <v>125</v>
      </c>
      <c r="I482">
        <v>0</v>
      </c>
      <c r="J482" t="s">
        <v>126</v>
      </c>
      <c r="K482" t="s">
        <v>125</v>
      </c>
      <c r="L482" t="s">
        <v>1245</v>
      </c>
      <c r="U482" t="s">
        <v>149</v>
      </c>
      <c r="W482" t="s">
        <v>155</v>
      </c>
      <c r="X482">
        <v>3</v>
      </c>
      <c r="AC482" t="s">
        <v>209</v>
      </c>
      <c r="AE482" t="s">
        <v>137</v>
      </c>
    </row>
    <row r="483" spans="1:78" hidden="1" x14ac:dyDescent="0.2">
      <c r="A483" t="s">
        <v>119</v>
      </c>
      <c r="B483" t="s">
        <v>120</v>
      </c>
      <c r="C483" t="s">
        <v>1243</v>
      </c>
      <c r="D483">
        <v>7</v>
      </c>
      <c r="E483" t="s">
        <v>1246</v>
      </c>
      <c r="F483" t="s">
        <v>1228</v>
      </c>
      <c r="G483" t="s">
        <v>124</v>
      </c>
      <c r="H483" t="s">
        <v>125</v>
      </c>
      <c r="I483">
        <v>18</v>
      </c>
      <c r="J483" t="s">
        <v>268</v>
      </c>
      <c r="K483" t="s">
        <v>125</v>
      </c>
      <c r="L483" t="s">
        <v>1247</v>
      </c>
      <c r="AG483">
        <v>6</v>
      </c>
      <c r="AH483" t="s">
        <v>375</v>
      </c>
      <c r="AI483" t="s">
        <v>130</v>
      </c>
      <c r="AJ483" t="s">
        <v>131</v>
      </c>
      <c r="AK483" t="s">
        <v>125</v>
      </c>
      <c r="AL483">
        <v>7</v>
      </c>
      <c r="AM483" t="s">
        <v>302</v>
      </c>
      <c r="AN483" t="s">
        <v>125</v>
      </c>
      <c r="AO483" t="s">
        <v>1248</v>
      </c>
      <c r="BR483" t="s">
        <v>155</v>
      </c>
    </row>
    <row r="484" spans="1:78" hidden="1" x14ac:dyDescent="0.2">
      <c r="A484" t="s">
        <v>119</v>
      </c>
      <c r="B484" t="s">
        <v>120</v>
      </c>
      <c r="C484" t="s">
        <v>1243</v>
      </c>
      <c r="D484">
        <v>18</v>
      </c>
      <c r="E484" t="s">
        <v>377</v>
      </c>
      <c r="F484" t="s">
        <v>350</v>
      </c>
      <c r="G484" t="s">
        <v>124</v>
      </c>
      <c r="H484" t="s">
        <v>125</v>
      </c>
      <c r="I484">
        <v>4</v>
      </c>
      <c r="J484" t="s">
        <v>1249</v>
      </c>
      <c r="K484" t="s">
        <v>125</v>
      </c>
      <c r="L484" t="s">
        <v>1250</v>
      </c>
    </row>
    <row r="485" spans="1:78" x14ac:dyDescent="0.2">
      <c r="A485" t="s">
        <v>119</v>
      </c>
      <c r="B485" t="s">
        <v>120</v>
      </c>
      <c r="C485" t="s">
        <v>1243</v>
      </c>
      <c r="D485">
        <v>24</v>
      </c>
      <c r="E485" t="s">
        <v>145</v>
      </c>
      <c r="F485" t="s">
        <v>146</v>
      </c>
      <c r="G485" t="s">
        <v>124</v>
      </c>
      <c r="H485" t="s">
        <v>125</v>
      </c>
      <c r="I485">
        <v>18</v>
      </c>
      <c r="J485" t="s">
        <v>268</v>
      </c>
      <c r="K485" t="s">
        <v>125</v>
      </c>
      <c r="L485" t="s">
        <v>1251</v>
      </c>
      <c r="U485" t="s">
        <v>149</v>
      </c>
      <c r="W485" t="s">
        <v>135</v>
      </c>
      <c r="X485">
        <v>3</v>
      </c>
      <c r="AC485" t="s">
        <v>136</v>
      </c>
      <c r="AE485" t="s">
        <v>137</v>
      </c>
    </row>
    <row r="486" spans="1:78" x14ac:dyDescent="0.2">
      <c r="A486" t="s">
        <v>119</v>
      </c>
      <c r="B486" t="s">
        <v>120</v>
      </c>
      <c r="C486" t="s">
        <v>1243</v>
      </c>
      <c r="D486">
        <v>28</v>
      </c>
      <c r="E486" t="s">
        <v>145</v>
      </c>
      <c r="F486" t="s">
        <v>146</v>
      </c>
      <c r="G486" t="s">
        <v>124</v>
      </c>
      <c r="H486" t="s">
        <v>125</v>
      </c>
      <c r="I486">
        <v>24</v>
      </c>
      <c r="J486" t="s">
        <v>199</v>
      </c>
      <c r="K486" t="s">
        <v>125</v>
      </c>
      <c r="L486" t="s">
        <v>1252</v>
      </c>
      <c r="U486" t="s">
        <v>149</v>
      </c>
      <c r="W486" t="s">
        <v>135</v>
      </c>
      <c r="X486">
        <v>3</v>
      </c>
      <c r="AC486" t="s">
        <v>136</v>
      </c>
      <c r="AE486" t="s">
        <v>137</v>
      </c>
    </row>
    <row r="487" spans="1:78" hidden="1" x14ac:dyDescent="0.2">
      <c r="A487" t="s">
        <v>119</v>
      </c>
      <c r="B487" t="s">
        <v>120</v>
      </c>
      <c r="C487" t="s">
        <v>1253</v>
      </c>
      <c r="D487">
        <v>7</v>
      </c>
      <c r="E487" t="s">
        <v>944</v>
      </c>
      <c r="F487" t="s">
        <v>202</v>
      </c>
      <c r="G487" t="s">
        <v>124</v>
      </c>
      <c r="H487" t="s">
        <v>125</v>
      </c>
      <c r="I487">
        <v>0</v>
      </c>
      <c r="J487" t="s">
        <v>126</v>
      </c>
      <c r="K487" t="s">
        <v>125</v>
      </c>
      <c r="L487" t="s">
        <v>1254</v>
      </c>
      <c r="T487" t="s">
        <v>142</v>
      </c>
      <c r="W487" t="s">
        <v>135</v>
      </c>
      <c r="AC487" t="s">
        <v>143</v>
      </c>
      <c r="AE487" t="s">
        <v>144</v>
      </c>
      <c r="AG487">
        <v>6</v>
      </c>
      <c r="AH487" t="s">
        <v>204</v>
      </c>
      <c r="AI487" t="s">
        <v>205</v>
      </c>
      <c r="AJ487" t="s">
        <v>131</v>
      </c>
      <c r="AK487" t="s">
        <v>125</v>
      </c>
      <c r="AL487">
        <v>7</v>
      </c>
      <c r="AM487" t="s">
        <v>132</v>
      </c>
      <c r="AN487" t="s">
        <v>125</v>
      </c>
      <c r="AO487" t="s">
        <v>1255</v>
      </c>
      <c r="BP487" t="s">
        <v>149</v>
      </c>
      <c r="BR487" t="s">
        <v>135</v>
      </c>
      <c r="BS487">
        <v>1</v>
      </c>
      <c r="BX487" t="s">
        <v>136</v>
      </c>
      <c r="BZ487" t="s">
        <v>137</v>
      </c>
    </row>
    <row r="488" spans="1:78" hidden="1" x14ac:dyDescent="0.2">
      <c r="A488" t="s">
        <v>119</v>
      </c>
      <c r="B488" t="s">
        <v>120</v>
      </c>
      <c r="C488" t="s">
        <v>1256</v>
      </c>
      <c r="D488">
        <v>4</v>
      </c>
      <c r="E488" t="s">
        <v>1257</v>
      </c>
      <c r="F488" t="s">
        <v>350</v>
      </c>
      <c r="G488" t="s">
        <v>124</v>
      </c>
      <c r="H488" t="s">
        <v>125</v>
      </c>
      <c r="I488">
        <v>0</v>
      </c>
      <c r="J488" t="s">
        <v>126</v>
      </c>
      <c r="K488" t="s">
        <v>125</v>
      </c>
      <c r="L488" t="s">
        <v>1258</v>
      </c>
      <c r="T488" t="s">
        <v>142</v>
      </c>
      <c r="W488" t="s">
        <v>135</v>
      </c>
      <c r="AC488" t="s">
        <v>143</v>
      </c>
      <c r="AE488" t="s">
        <v>144</v>
      </c>
      <c r="AG488">
        <v>3</v>
      </c>
      <c r="AH488" t="s">
        <v>197</v>
      </c>
      <c r="AI488" t="s">
        <v>146</v>
      </c>
      <c r="AJ488" t="s">
        <v>131</v>
      </c>
      <c r="AK488" t="s">
        <v>125</v>
      </c>
      <c r="AL488">
        <v>4</v>
      </c>
      <c r="AM488" t="s">
        <v>132</v>
      </c>
      <c r="AN488" t="s">
        <v>125</v>
      </c>
      <c r="AO488" t="s">
        <v>1259</v>
      </c>
      <c r="BP488" t="s">
        <v>149</v>
      </c>
      <c r="BR488" t="s">
        <v>135</v>
      </c>
      <c r="BS488">
        <v>1</v>
      </c>
      <c r="BX488" t="s">
        <v>136</v>
      </c>
      <c r="BZ488" t="s">
        <v>137</v>
      </c>
    </row>
    <row r="489" spans="1:78" hidden="1" x14ac:dyDescent="0.2">
      <c r="A489" t="s">
        <v>119</v>
      </c>
      <c r="B489" t="s">
        <v>120</v>
      </c>
      <c r="C489" t="s">
        <v>1256</v>
      </c>
      <c r="D489">
        <v>14</v>
      </c>
      <c r="E489" t="s">
        <v>377</v>
      </c>
      <c r="F489" t="s">
        <v>350</v>
      </c>
      <c r="G489" t="s">
        <v>124</v>
      </c>
      <c r="H489" t="s">
        <v>125</v>
      </c>
      <c r="I489">
        <v>17</v>
      </c>
      <c r="J489" t="s">
        <v>210</v>
      </c>
      <c r="K489" t="s">
        <v>125</v>
      </c>
      <c r="L489" t="s">
        <v>1260</v>
      </c>
      <c r="AG489">
        <v>13</v>
      </c>
      <c r="AH489" t="s">
        <v>1261</v>
      </c>
      <c r="AI489" t="s">
        <v>130</v>
      </c>
      <c r="AJ489" t="s">
        <v>131</v>
      </c>
      <c r="AK489" t="s">
        <v>125</v>
      </c>
      <c r="AL489">
        <v>14</v>
      </c>
      <c r="AM489" t="s">
        <v>132</v>
      </c>
      <c r="AN489" t="s">
        <v>125</v>
      </c>
      <c r="AO489" t="s">
        <v>1262</v>
      </c>
      <c r="BP489" t="s">
        <v>149</v>
      </c>
      <c r="BR489" t="s">
        <v>155</v>
      </c>
      <c r="BS489">
        <v>1</v>
      </c>
      <c r="BX489" t="s">
        <v>209</v>
      </c>
      <c r="BZ489" t="s">
        <v>137</v>
      </c>
    </row>
    <row r="490" spans="1:78" hidden="1" x14ac:dyDescent="0.2">
      <c r="A490" t="s">
        <v>119</v>
      </c>
      <c r="B490" t="s">
        <v>120</v>
      </c>
      <c r="C490" t="s">
        <v>1256</v>
      </c>
      <c r="D490">
        <v>17</v>
      </c>
      <c r="E490" t="s">
        <v>377</v>
      </c>
      <c r="F490" t="s">
        <v>350</v>
      </c>
      <c r="G490" t="s">
        <v>124</v>
      </c>
      <c r="H490" t="s">
        <v>125</v>
      </c>
      <c r="I490">
        <v>4</v>
      </c>
      <c r="J490" t="s">
        <v>161</v>
      </c>
      <c r="K490" t="s">
        <v>125</v>
      </c>
      <c r="L490" t="s">
        <v>1263</v>
      </c>
      <c r="AG490">
        <v>16</v>
      </c>
      <c r="AH490" t="s">
        <v>1264</v>
      </c>
      <c r="AI490" t="s">
        <v>130</v>
      </c>
      <c r="AJ490" t="s">
        <v>131</v>
      </c>
      <c r="AK490" t="s">
        <v>125</v>
      </c>
      <c r="AL490">
        <v>17</v>
      </c>
      <c r="AM490" t="s">
        <v>132</v>
      </c>
      <c r="AN490" t="s">
        <v>125</v>
      </c>
      <c r="AO490" t="s">
        <v>1265</v>
      </c>
      <c r="BP490" t="s">
        <v>149</v>
      </c>
      <c r="BR490" t="s">
        <v>135</v>
      </c>
      <c r="BS490">
        <v>3</v>
      </c>
      <c r="BX490" t="s">
        <v>209</v>
      </c>
      <c r="BZ490" t="s">
        <v>137</v>
      </c>
    </row>
    <row r="491" spans="1:78" hidden="1" x14ac:dyDescent="0.2">
      <c r="A491" t="s">
        <v>119</v>
      </c>
      <c r="B491" t="s">
        <v>120</v>
      </c>
      <c r="C491" t="s">
        <v>1266</v>
      </c>
      <c r="D491">
        <v>2</v>
      </c>
      <c r="E491" t="s">
        <v>1267</v>
      </c>
      <c r="F491" t="s">
        <v>146</v>
      </c>
      <c r="G491" t="s">
        <v>124</v>
      </c>
      <c r="H491" t="s">
        <v>125</v>
      </c>
      <c r="I491">
        <v>0</v>
      </c>
      <c r="J491" t="s">
        <v>126</v>
      </c>
      <c r="K491" t="s">
        <v>125</v>
      </c>
      <c r="L491" t="s">
        <v>1268</v>
      </c>
      <c r="U491" t="s">
        <v>149</v>
      </c>
      <c r="W491" t="s">
        <v>135</v>
      </c>
      <c r="X491">
        <v>3</v>
      </c>
      <c r="AC491" t="s">
        <v>903</v>
      </c>
      <c r="AE491" t="s">
        <v>137</v>
      </c>
    </row>
    <row r="492" spans="1:78" x14ac:dyDescent="0.2">
      <c r="A492" t="s">
        <v>119</v>
      </c>
      <c r="B492" t="s">
        <v>120</v>
      </c>
      <c r="C492" t="s">
        <v>1266</v>
      </c>
      <c r="D492">
        <v>5</v>
      </c>
      <c r="E492" t="s">
        <v>145</v>
      </c>
      <c r="F492" t="s">
        <v>146</v>
      </c>
      <c r="G492" t="s">
        <v>124</v>
      </c>
      <c r="H492" t="s">
        <v>125</v>
      </c>
      <c r="I492">
        <v>2</v>
      </c>
      <c r="J492" t="s">
        <v>264</v>
      </c>
      <c r="K492" t="s">
        <v>125</v>
      </c>
      <c r="L492" t="s">
        <v>1269</v>
      </c>
      <c r="U492" t="s">
        <v>149</v>
      </c>
      <c r="W492" t="s">
        <v>135</v>
      </c>
      <c r="X492">
        <v>3</v>
      </c>
      <c r="AC492" t="s">
        <v>136</v>
      </c>
      <c r="AE492" t="s">
        <v>137</v>
      </c>
    </row>
    <row r="493" spans="1:78" hidden="1" x14ac:dyDescent="0.2">
      <c r="A493" t="s">
        <v>119</v>
      </c>
      <c r="B493" t="s">
        <v>120</v>
      </c>
      <c r="C493" t="s">
        <v>1270</v>
      </c>
      <c r="D493">
        <v>5</v>
      </c>
      <c r="E493" t="s">
        <v>1271</v>
      </c>
      <c r="F493" t="s">
        <v>458</v>
      </c>
      <c r="G493" t="s">
        <v>124</v>
      </c>
      <c r="H493" t="s">
        <v>125</v>
      </c>
      <c r="I493">
        <v>0</v>
      </c>
      <c r="J493" t="s">
        <v>126</v>
      </c>
      <c r="K493" t="s">
        <v>125</v>
      </c>
      <c r="L493" t="s">
        <v>1272</v>
      </c>
      <c r="T493" t="s">
        <v>142</v>
      </c>
      <c r="W493" t="s">
        <v>135</v>
      </c>
      <c r="AC493" t="s">
        <v>143</v>
      </c>
      <c r="AE493" t="s">
        <v>144</v>
      </c>
      <c r="AG493">
        <v>4</v>
      </c>
      <c r="AH493" t="s">
        <v>145</v>
      </c>
      <c r="AI493" t="s">
        <v>146</v>
      </c>
      <c r="AJ493" t="s">
        <v>131</v>
      </c>
      <c r="AK493" t="s">
        <v>125</v>
      </c>
      <c r="AL493">
        <v>5</v>
      </c>
      <c r="AM493" t="s">
        <v>132</v>
      </c>
      <c r="AN493" t="s">
        <v>125</v>
      </c>
      <c r="AO493" t="s">
        <v>1273</v>
      </c>
      <c r="BP493" t="s">
        <v>149</v>
      </c>
      <c r="BR493" t="s">
        <v>135</v>
      </c>
      <c r="BS493">
        <v>3</v>
      </c>
      <c r="BX493" t="s">
        <v>136</v>
      </c>
      <c r="BZ493" t="s">
        <v>137</v>
      </c>
    </row>
    <row r="494" spans="1:78" x14ac:dyDescent="0.2">
      <c r="A494" t="s">
        <v>119</v>
      </c>
      <c r="B494" t="s">
        <v>120</v>
      </c>
      <c r="C494" t="s">
        <v>1274</v>
      </c>
      <c r="D494">
        <v>4</v>
      </c>
      <c r="E494" t="s">
        <v>343</v>
      </c>
      <c r="F494" t="s">
        <v>311</v>
      </c>
      <c r="G494" t="s">
        <v>124</v>
      </c>
      <c r="H494" t="s">
        <v>125</v>
      </c>
      <c r="I494">
        <v>0</v>
      </c>
      <c r="J494" t="s">
        <v>126</v>
      </c>
      <c r="K494" t="s">
        <v>125</v>
      </c>
      <c r="L494" t="s">
        <v>1275</v>
      </c>
      <c r="U494" t="s">
        <v>149</v>
      </c>
      <c r="W494" t="s">
        <v>135</v>
      </c>
      <c r="X494">
        <v>1</v>
      </c>
      <c r="AC494" t="s">
        <v>136</v>
      </c>
      <c r="AE494" t="s">
        <v>137</v>
      </c>
    </row>
    <row r="495" spans="1:78" x14ac:dyDescent="0.2">
      <c r="A495" t="s">
        <v>119</v>
      </c>
      <c r="B495" t="s">
        <v>120</v>
      </c>
      <c r="C495" t="s">
        <v>1274</v>
      </c>
      <c r="D495">
        <v>7</v>
      </c>
      <c r="E495" t="s">
        <v>1276</v>
      </c>
      <c r="F495" t="s">
        <v>158</v>
      </c>
      <c r="G495" t="s">
        <v>124</v>
      </c>
      <c r="H495" t="s">
        <v>125</v>
      </c>
      <c r="I495">
        <v>4</v>
      </c>
      <c r="J495" t="s">
        <v>264</v>
      </c>
      <c r="K495" t="s">
        <v>125</v>
      </c>
      <c r="L495" t="s">
        <v>1277</v>
      </c>
      <c r="U495" t="s">
        <v>134</v>
      </c>
      <c r="W495" t="s">
        <v>135</v>
      </c>
      <c r="X495">
        <v>1</v>
      </c>
      <c r="AC495" t="s">
        <v>136</v>
      </c>
      <c r="AE495" t="s">
        <v>137</v>
      </c>
    </row>
    <row r="496" spans="1:78" x14ac:dyDescent="0.2">
      <c r="A496" t="s">
        <v>119</v>
      </c>
      <c r="B496" t="s">
        <v>120</v>
      </c>
      <c r="C496" t="s">
        <v>1278</v>
      </c>
      <c r="D496">
        <v>6</v>
      </c>
      <c r="E496" t="s">
        <v>145</v>
      </c>
      <c r="F496" t="s">
        <v>146</v>
      </c>
      <c r="G496" t="s">
        <v>124</v>
      </c>
      <c r="H496" t="s">
        <v>125</v>
      </c>
      <c r="I496">
        <v>3</v>
      </c>
      <c r="J496" t="s">
        <v>268</v>
      </c>
      <c r="K496" t="s">
        <v>125</v>
      </c>
      <c r="L496" t="s">
        <v>1279</v>
      </c>
      <c r="U496" t="s">
        <v>149</v>
      </c>
      <c r="W496" t="s">
        <v>135</v>
      </c>
      <c r="X496">
        <v>3</v>
      </c>
      <c r="AC496" t="s">
        <v>136</v>
      </c>
      <c r="AE496" t="s">
        <v>137</v>
      </c>
    </row>
    <row r="497" spans="1:78" x14ac:dyDescent="0.2">
      <c r="A497" t="s">
        <v>119</v>
      </c>
      <c r="B497" t="s">
        <v>120</v>
      </c>
      <c r="C497" t="s">
        <v>1278</v>
      </c>
      <c r="D497">
        <v>10</v>
      </c>
      <c r="E497" t="s">
        <v>546</v>
      </c>
      <c r="F497" t="s">
        <v>283</v>
      </c>
      <c r="G497" t="s">
        <v>124</v>
      </c>
      <c r="H497" t="s">
        <v>125</v>
      </c>
      <c r="I497">
        <v>6</v>
      </c>
      <c r="J497" t="s">
        <v>199</v>
      </c>
      <c r="K497" t="s">
        <v>125</v>
      </c>
      <c r="L497" t="s">
        <v>1280</v>
      </c>
      <c r="U497" t="s">
        <v>149</v>
      </c>
      <c r="W497" t="s">
        <v>135</v>
      </c>
      <c r="X497">
        <v>3</v>
      </c>
      <c r="AC497" t="s">
        <v>136</v>
      </c>
      <c r="AE497" t="s">
        <v>137</v>
      </c>
    </row>
    <row r="498" spans="1:78" x14ac:dyDescent="0.2">
      <c r="A498" t="s">
        <v>119</v>
      </c>
      <c r="B498" t="s">
        <v>120</v>
      </c>
      <c r="C498" t="s">
        <v>1281</v>
      </c>
      <c r="D498">
        <v>5</v>
      </c>
      <c r="E498" t="s">
        <v>145</v>
      </c>
      <c r="F498" t="s">
        <v>146</v>
      </c>
      <c r="G498" t="s">
        <v>124</v>
      </c>
      <c r="H498" t="s">
        <v>125</v>
      </c>
      <c r="I498">
        <v>0</v>
      </c>
      <c r="J498" t="s">
        <v>126</v>
      </c>
      <c r="K498" t="s">
        <v>125</v>
      </c>
      <c r="L498" t="s">
        <v>1282</v>
      </c>
      <c r="U498" t="s">
        <v>149</v>
      </c>
      <c r="W498" t="s">
        <v>135</v>
      </c>
      <c r="X498">
        <v>3</v>
      </c>
      <c r="AC498" t="s">
        <v>136</v>
      </c>
      <c r="AE498" t="s">
        <v>137</v>
      </c>
    </row>
    <row r="499" spans="1:78" hidden="1" x14ac:dyDescent="0.2">
      <c r="A499" t="s">
        <v>119</v>
      </c>
      <c r="B499" t="s">
        <v>120</v>
      </c>
      <c r="C499" t="s">
        <v>1281</v>
      </c>
      <c r="D499">
        <v>13</v>
      </c>
      <c r="E499" t="s">
        <v>1283</v>
      </c>
      <c r="F499" t="s">
        <v>123</v>
      </c>
      <c r="G499" t="s">
        <v>124</v>
      </c>
      <c r="H499" t="s">
        <v>125</v>
      </c>
      <c r="I499">
        <v>5</v>
      </c>
      <c r="J499" t="s">
        <v>268</v>
      </c>
      <c r="K499" t="s">
        <v>125</v>
      </c>
      <c r="L499" t="s">
        <v>1284</v>
      </c>
      <c r="T499" t="s">
        <v>154</v>
      </c>
      <c r="W499" t="s">
        <v>135</v>
      </c>
      <c r="AC499" t="s">
        <v>143</v>
      </c>
      <c r="AE499" t="s">
        <v>144</v>
      </c>
      <c r="AG499">
        <v>12</v>
      </c>
      <c r="AH499" t="s">
        <v>218</v>
      </c>
      <c r="AI499" t="s">
        <v>205</v>
      </c>
      <c r="AJ499" t="s">
        <v>131</v>
      </c>
      <c r="AK499" t="s">
        <v>125</v>
      </c>
      <c r="AL499">
        <v>13</v>
      </c>
      <c r="AM499" t="s">
        <v>132</v>
      </c>
      <c r="AN499" t="s">
        <v>125</v>
      </c>
      <c r="AO499" t="s">
        <v>1285</v>
      </c>
      <c r="BP499" t="s">
        <v>149</v>
      </c>
      <c r="BR499" t="s">
        <v>155</v>
      </c>
      <c r="BS499">
        <v>3</v>
      </c>
      <c r="BX499" t="s">
        <v>136</v>
      </c>
      <c r="BZ499" t="s">
        <v>137</v>
      </c>
    </row>
    <row r="500" spans="1:78" x14ac:dyDescent="0.2">
      <c r="A500" t="s">
        <v>119</v>
      </c>
      <c r="B500" t="s">
        <v>120</v>
      </c>
      <c r="C500" t="s">
        <v>1281</v>
      </c>
      <c r="D500">
        <v>25</v>
      </c>
      <c r="E500" t="s">
        <v>993</v>
      </c>
      <c r="F500" t="s">
        <v>994</v>
      </c>
      <c r="G500" t="s">
        <v>124</v>
      </c>
      <c r="H500" t="s">
        <v>125</v>
      </c>
      <c r="I500">
        <v>13</v>
      </c>
      <c r="J500" t="s">
        <v>268</v>
      </c>
      <c r="K500" t="s">
        <v>125</v>
      </c>
      <c r="L500" t="s">
        <v>1286</v>
      </c>
      <c r="U500" t="s">
        <v>149</v>
      </c>
      <c r="W500" t="s">
        <v>155</v>
      </c>
      <c r="X500">
        <v>3</v>
      </c>
      <c r="AC500" t="s">
        <v>136</v>
      </c>
      <c r="AE500" t="s">
        <v>137</v>
      </c>
    </row>
    <row r="501" spans="1:78" x14ac:dyDescent="0.2">
      <c r="A501" t="s">
        <v>119</v>
      </c>
      <c r="B501" t="s">
        <v>120</v>
      </c>
      <c r="C501" t="s">
        <v>1287</v>
      </c>
      <c r="D501">
        <v>3</v>
      </c>
      <c r="E501" t="s">
        <v>145</v>
      </c>
      <c r="F501" t="s">
        <v>146</v>
      </c>
      <c r="G501" t="s">
        <v>124</v>
      </c>
      <c r="H501" t="s">
        <v>125</v>
      </c>
      <c r="I501">
        <v>0</v>
      </c>
      <c r="J501" t="s">
        <v>126</v>
      </c>
      <c r="K501" t="s">
        <v>125</v>
      </c>
      <c r="L501" t="s">
        <v>1288</v>
      </c>
      <c r="U501" t="s">
        <v>149</v>
      </c>
      <c r="W501" t="s">
        <v>135</v>
      </c>
      <c r="X501">
        <v>3</v>
      </c>
      <c r="AC501" t="s">
        <v>136</v>
      </c>
      <c r="AE501" t="s">
        <v>137</v>
      </c>
    </row>
    <row r="502" spans="1:78" x14ac:dyDescent="0.2">
      <c r="A502" t="s">
        <v>119</v>
      </c>
      <c r="B502" t="s">
        <v>120</v>
      </c>
      <c r="C502" t="s">
        <v>1287</v>
      </c>
      <c r="D502">
        <v>8</v>
      </c>
      <c r="E502" t="s">
        <v>370</v>
      </c>
      <c r="F502" t="s">
        <v>140</v>
      </c>
      <c r="G502" t="s">
        <v>124</v>
      </c>
      <c r="H502" t="s">
        <v>125</v>
      </c>
      <c r="I502">
        <v>6</v>
      </c>
      <c r="J502" t="s">
        <v>170</v>
      </c>
      <c r="K502" t="s">
        <v>125</v>
      </c>
      <c r="L502" t="s">
        <v>1289</v>
      </c>
      <c r="U502" t="s">
        <v>149</v>
      </c>
      <c r="W502" t="s">
        <v>135</v>
      </c>
      <c r="X502">
        <v>3</v>
      </c>
      <c r="AC502" t="s">
        <v>136</v>
      </c>
      <c r="AE502" t="s">
        <v>137</v>
      </c>
    </row>
    <row r="503" spans="1:78" x14ac:dyDescent="0.2">
      <c r="A503" t="s">
        <v>119</v>
      </c>
      <c r="B503" t="s">
        <v>120</v>
      </c>
      <c r="C503" t="s">
        <v>1290</v>
      </c>
      <c r="D503">
        <v>4</v>
      </c>
      <c r="E503" t="s">
        <v>145</v>
      </c>
      <c r="F503" t="s">
        <v>146</v>
      </c>
      <c r="G503" t="s">
        <v>124</v>
      </c>
      <c r="H503" t="s">
        <v>125</v>
      </c>
      <c r="I503">
        <v>0</v>
      </c>
      <c r="J503" t="s">
        <v>126</v>
      </c>
      <c r="K503" t="s">
        <v>125</v>
      </c>
      <c r="L503" t="s">
        <v>1291</v>
      </c>
      <c r="U503" t="s">
        <v>149</v>
      </c>
      <c r="W503" t="s">
        <v>135</v>
      </c>
      <c r="X503">
        <v>3</v>
      </c>
      <c r="AC503" t="s">
        <v>136</v>
      </c>
      <c r="AE503" t="s">
        <v>137</v>
      </c>
    </row>
    <row r="504" spans="1:78" x14ac:dyDescent="0.2">
      <c r="A504" t="s">
        <v>119</v>
      </c>
      <c r="B504" t="s">
        <v>120</v>
      </c>
      <c r="C504" t="s">
        <v>1292</v>
      </c>
      <c r="D504">
        <v>5</v>
      </c>
      <c r="E504" t="s">
        <v>197</v>
      </c>
      <c r="F504" t="s">
        <v>198</v>
      </c>
      <c r="G504" t="s">
        <v>124</v>
      </c>
      <c r="H504" t="s">
        <v>125</v>
      </c>
      <c r="I504">
        <v>0</v>
      </c>
      <c r="J504" t="s">
        <v>126</v>
      </c>
      <c r="K504" t="s">
        <v>125</v>
      </c>
      <c r="L504" t="s">
        <v>1293</v>
      </c>
      <c r="U504" t="s">
        <v>149</v>
      </c>
      <c r="W504" t="s">
        <v>135</v>
      </c>
      <c r="X504">
        <v>1</v>
      </c>
      <c r="AC504" t="s">
        <v>136</v>
      </c>
      <c r="AE504" t="s">
        <v>137</v>
      </c>
    </row>
    <row r="505" spans="1:78" hidden="1" x14ac:dyDescent="0.2">
      <c r="A505" t="s">
        <v>119</v>
      </c>
      <c r="B505" t="s">
        <v>120</v>
      </c>
      <c r="C505" t="s">
        <v>1294</v>
      </c>
      <c r="D505">
        <v>5</v>
      </c>
      <c r="E505" t="s">
        <v>631</v>
      </c>
      <c r="F505" t="s">
        <v>632</v>
      </c>
      <c r="G505" t="s">
        <v>124</v>
      </c>
      <c r="H505" t="s">
        <v>125</v>
      </c>
      <c r="I505">
        <v>0</v>
      </c>
      <c r="J505" t="s">
        <v>126</v>
      </c>
      <c r="K505" t="s">
        <v>125</v>
      </c>
      <c r="L505" t="s">
        <v>1295</v>
      </c>
      <c r="T505" t="s">
        <v>154</v>
      </c>
      <c r="W505" t="s">
        <v>135</v>
      </c>
      <c r="AC505" t="s">
        <v>143</v>
      </c>
      <c r="AE505" t="s">
        <v>144</v>
      </c>
      <c r="AG505">
        <v>3</v>
      </c>
      <c r="AH505" t="s">
        <v>204</v>
      </c>
      <c r="AI505" t="s">
        <v>205</v>
      </c>
      <c r="AJ505" t="s">
        <v>131</v>
      </c>
      <c r="AK505" t="s">
        <v>125</v>
      </c>
      <c r="AL505">
        <v>5</v>
      </c>
      <c r="AM505" t="s">
        <v>132</v>
      </c>
      <c r="AN505" t="s">
        <v>125</v>
      </c>
      <c r="AO505" t="s">
        <v>1296</v>
      </c>
      <c r="BP505" t="s">
        <v>149</v>
      </c>
      <c r="BR505" t="s">
        <v>135</v>
      </c>
      <c r="BS505">
        <v>1</v>
      </c>
      <c r="BX505" t="s">
        <v>136</v>
      </c>
      <c r="BZ505" t="s">
        <v>137</v>
      </c>
    </row>
    <row r="506" spans="1:78" hidden="1" x14ac:dyDescent="0.2">
      <c r="A506" t="s">
        <v>119</v>
      </c>
      <c r="B506" t="s">
        <v>120</v>
      </c>
      <c r="C506" t="s">
        <v>1294</v>
      </c>
      <c r="D506">
        <v>6</v>
      </c>
      <c r="E506" t="s">
        <v>123</v>
      </c>
      <c r="F506" t="s">
        <v>123</v>
      </c>
      <c r="G506" t="s">
        <v>124</v>
      </c>
      <c r="H506" t="s">
        <v>125</v>
      </c>
      <c r="I506">
        <v>5</v>
      </c>
      <c r="J506" t="s">
        <v>294</v>
      </c>
      <c r="K506" t="s">
        <v>125</v>
      </c>
      <c r="L506" t="s">
        <v>1297</v>
      </c>
      <c r="AE506" t="s">
        <v>128</v>
      </c>
    </row>
    <row r="507" spans="1:78" x14ac:dyDescent="0.2">
      <c r="A507" t="s">
        <v>119</v>
      </c>
      <c r="B507" t="s">
        <v>120</v>
      </c>
      <c r="C507" t="s">
        <v>1298</v>
      </c>
      <c r="D507">
        <v>2</v>
      </c>
      <c r="E507" t="s">
        <v>197</v>
      </c>
      <c r="F507" t="s">
        <v>198</v>
      </c>
      <c r="G507" t="s">
        <v>124</v>
      </c>
      <c r="H507" t="s">
        <v>125</v>
      </c>
      <c r="I507">
        <v>0</v>
      </c>
      <c r="J507" t="s">
        <v>126</v>
      </c>
      <c r="K507" t="s">
        <v>125</v>
      </c>
      <c r="L507" t="s">
        <v>1299</v>
      </c>
      <c r="U507" t="s">
        <v>149</v>
      </c>
      <c r="W507" t="s">
        <v>135</v>
      </c>
      <c r="X507">
        <v>1</v>
      </c>
      <c r="AC507" t="s">
        <v>136</v>
      </c>
      <c r="AE507" t="s">
        <v>137</v>
      </c>
    </row>
    <row r="508" spans="1:78" x14ac:dyDescent="0.2">
      <c r="A508" t="s">
        <v>119</v>
      </c>
      <c r="B508" t="s">
        <v>120</v>
      </c>
      <c r="C508" t="s">
        <v>1300</v>
      </c>
      <c r="D508">
        <v>3</v>
      </c>
      <c r="E508" t="s">
        <v>197</v>
      </c>
      <c r="F508" t="s">
        <v>198</v>
      </c>
      <c r="G508" t="s">
        <v>124</v>
      </c>
      <c r="H508" t="s">
        <v>125</v>
      </c>
      <c r="I508">
        <v>0</v>
      </c>
      <c r="J508" t="s">
        <v>126</v>
      </c>
      <c r="K508" t="s">
        <v>125</v>
      </c>
      <c r="L508" t="s">
        <v>1301</v>
      </c>
      <c r="U508" t="s">
        <v>149</v>
      </c>
      <c r="W508" t="s">
        <v>135</v>
      </c>
      <c r="X508">
        <v>1</v>
      </c>
      <c r="AC508" t="s">
        <v>136</v>
      </c>
      <c r="AE508" t="s">
        <v>137</v>
      </c>
    </row>
    <row r="509" spans="1:78" x14ac:dyDescent="0.2">
      <c r="A509" t="s">
        <v>119</v>
      </c>
      <c r="B509" t="s">
        <v>120</v>
      </c>
      <c r="C509" t="s">
        <v>1300</v>
      </c>
      <c r="D509">
        <v>8</v>
      </c>
      <c r="E509" t="s">
        <v>197</v>
      </c>
      <c r="F509" t="s">
        <v>198</v>
      </c>
      <c r="G509" t="s">
        <v>124</v>
      </c>
      <c r="H509" t="s">
        <v>125</v>
      </c>
      <c r="I509">
        <v>3</v>
      </c>
      <c r="J509" t="s">
        <v>161</v>
      </c>
      <c r="K509" t="s">
        <v>125</v>
      </c>
      <c r="L509" t="s">
        <v>1302</v>
      </c>
      <c r="U509" t="s">
        <v>149</v>
      </c>
      <c r="W509" t="s">
        <v>135</v>
      </c>
      <c r="X509">
        <v>1</v>
      </c>
      <c r="AC509" t="s">
        <v>136</v>
      </c>
      <c r="AE509" t="s">
        <v>137</v>
      </c>
    </row>
    <row r="510" spans="1:78" x14ac:dyDescent="0.2">
      <c r="A510" t="s">
        <v>119</v>
      </c>
      <c r="B510" t="s">
        <v>120</v>
      </c>
      <c r="C510" t="s">
        <v>1303</v>
      </c>
      <c r="D510">
        <v>1</v>
      </c>
      <c r="E510" t="s">
        <v>145</v>
      </c>
      <c r="F510" t="s">
        <v>146</v>
      </c>
      <c r="G510" t="s">
        <v>124</v>
      </c>
      <c r="H510" t="s">
        <v>125</v>
      </c>
      <c r="I510">
        <v>0</v>
      </c>
      <c r="J510" t="s">
        <v>126</v>
      </c>
      <c r="K510" t="s">
        <v>125</v>
      </c>
      <c r="L510" t="s">
        <v>1304</v>
      </c>
      <c r="U510" t="s">
        <v>149</v>
      </c>
      <c r="W510" t="s">
        <v>135</v>
      </c>
      <c r="X510">
        <v>3</v>
      </c>
      <c r="AC510" t="s">
        <v>136</v>
      </c>
      <c r="AE510" t="s">
        <v>137</v>
      </c>
    </row>
    <row r="511" spans="1:78" hidden="1" x14ac:dyDescent="0.2">
      <c r="A511" t="s">
        <v>119</v>
      </c>
      <c r="B511" t="s">
        <v>120</v>
      </c>
      <c r="C511" t="s">
        <v>1303</v>
      </c>
      <c r="D511">
        <v>6</v>
      </c>
      <c r="E511" t="s">
        <v>1305</v>
      </c>
      <c r="F511" t="s">
        <v>1306</v>
      </c>
      <c r="G511" t="s">
        <v>124</v>
      </c>
      <c r="H511" t="s">
        <v>125</v>
      </c>
      <c r="I511">
        <v>1</v>
      </c>
      <c r="J511" t="s">
        <v>264</v>
      </c>
      <c r="K511" t="s">
        <v>125</v>
      </c>
      <c r="L511" t="s">
        <v>1307</v>
      </c>
      <c r="T511" t="s">
        <v>154</v>
      </c>
      <c r="W511" t="s">
        <v>135</v>
      </c>
      <c r="AC511" t="s">
        <v>143</v>
      </c>
      <c r="AE511" t="s">
        <v>144</v>
      </c>
      <c r="AG511">
        <v>3</v>
      </c>
      <c r="AH511" t="s">
        <v>204</v>
      </c>
      <c r="AI511" t="s">
        <v>205</v>
      </c>
      <c r="AJ511" t="s">
        <v>131</v>
      </c>
      <c r="AK511" t="s">
        <v>125</v>
      </c>
      <c r="AL511">
        <v>6</v>
      </c>
      <c r="AM511" t="s">
        <v>210</v>
      </c>
      <c r="AN511" t="s">
        <v>125</v>
      </c>
      <c r="AO511" t="s">
        <v>1308</v>
      </c>
      <c r="BP511" t="s">
        <v>149</v>
      </c>
      <c r="BR511" t="s">
        <v>135</v>
      </c>
      <c r="BS511">
        <v>1</v>
      </c>
      <c r="BX511" t="s">
        <v>136</v>
      </c>
      <c r="BZ511" t="s">
        <v>137</v>
      </c>
    </row>
    <row r="512" spans="1:78" hidden="1" x14ac:dyDescent="0.2">
      <c r="A512" t="s">
        <v>119</v>
      </c>
      <c r="B512" t="s">
        <v>120</v>
      </c>
      <c r="C512" t="s">
        <v>1303</v>
      </c>
      <c r="D512">
        <v>8</v>
      </c>
      <c r="E512" t="s">
        <v>1309</v>
      </c>
      <c r="F512" t="s">
        <v>728</v>
      </c>
      <c r="G512" t="s">
        <v>124</v>
      </c>
      <c r="H512" t="s">
        <v>125</v>
      </c>
      <c r="I512">
        <v>6</v>
      </c>
      <c r="J512" t="s">
        <v>182</v>
      </c>
      <c r="K512" t="s">
        <v>125</v>
      </c>
      <c r="L512" t="s">
        <v>1310</v>
      </c>
      <c r="T512" t="s">
        <v>154</v>
      </c>
      <c r="W512" t="s">
        <v>135</v>
      </c>
      <c r="AC512" t="s">
        <v>143</v>
      </c>
      <c r="AE512" t="s">
        <v>144</v>
      </c>
    </row>
    <row r="513" spans="1:78" x14ac:dyDescent="0.2">
      <c r="A513" t="s">
        <v>119</v>
      </c>
      <c r="B513" t="s">
        <v>120</v>
      </c>
      <c r="C513" t="s">
        <v>1303</v>
      </c>
      <c r="D513">
        <v>13</v>
      </c>
      <c r="E513" t="s">
        <v>218</v>
      </c>
      <c r="F513" t="s">
        <v>205</v>
      </c>
      <c r="G513" t="s">
        <v>124</v>
      </c>
      <c r="H513" t="s">
        <v>125</v>
      </c>
      <c r="I513">
        <v>11</v>
      </c>
      <c r="J513" t="s">
        <v>170</v>
      </c>
      <c r="K513" t="s">
        <v>125</v>
      </c>
      <c r="L513" t="s">
        <v>1311</v>
      </c>
      <c r="U513" t="s">
        <v>149</v>
      </c>
      <c r="W513" t="s">
        <v>155</v>
      </c>
      <c r="X513">
        <v>3</v>
      </c>
      <c r="AC513" t="s">
        <v>136</v>
      </c>
      <c r="AE513" t="s">
        <v>137</v>
      </c>
    </row>
    <row r="514" spans="1:78" x14ac:dyDescent="0.2">
      <c r="A514" t="s">
        <v>119</v>
      </c>
      <c r="B514" t="s">
        <v>120</v>
      </c>
      <c r="C514" t="s">
        <v>1312</v>
      </c>
      <c r="D514">
        <v>6</v>
      </c>
      <c r="E514" t="s">
        <v>941</v>
      </c>
      <c r="F514" t="s">
        <v>283</v>
      </c>
      <c r="G514" t="s">
        <v>124</v>
      </c>
      <c r="H514" t="s">
        <v>125</v>
      </c>
      <c r="I514">
        <v>0</v>
      </c>
      <c r="J514" t="s">
        <v>126</v>
      </c>
      <c r="K514" t="s">
        <v>125</v>
      </c>
      <c r="L514" t="s">
        <v>1313</v>
      </c>
      <c r="U514" t="s">
        <v>149</v>
      </c>
      <c r="W514" t="s">
        <v>155</v>
      </c>
      <c r="X514">
        <v>3</v>
      </c>
      <c r="AC514" t="s">
        <v>136</v>
      </c>
      <c r="AE514" t="s">
        <v>137</v>
      </c>
    </row>
    <row r="515" spans="1:78" hidden="1" x14ac:dyDescent="0.2">
      <c r="A515" t="s">
        <v>119</v>
      </c>
      <c r="B515" t="s">
        <v>120</v>
      </c>
      <c r="C515" t="s">
        <v>1312</v>
      </c>
      <c r="D515">
        <v>11</v>
      </c>
      <c r="E515" t="s">
        <v>1314</v>
      </c>
      <c r="F515" t="s">
        <v>735</v>
      </c>
      <c r="G515" t="s">
        <v>124</v>
      </c>
      <c r="H515" t="s">
        <v>125</v>
      </c>
      <c r="I515">
        <v>7</v>
      </c>
      <c r="J515" t="s">
        <v>170</v>
      </c>
      <c r="K515" t="s">
        <v>125</v>
      </c>
      <c r="L515" t="s">
        <v>1315</v>
      </c>
      <c r="T515" t="s">
        <v>154</v>
      </c>
      <c r="W515" t="s">
        <v>135</v>
      </c>
      <c r="AC515" t="s">
        <v>143</v>
      </c>
      <c r="AE515" t="s">
        <v>144</v>
      </c>
      <c r="AG515">
        <v>10</v>
      </c>
      <c r="AH515" t="s">
        <v>218</v>
      </c>
      <c r="AI515" t="s">
        <v>205</v>
      </c>
      <c r="AJ515" t="s">
        <v>131</v>
      </c>
      <c r="AK515" t="s">
        <v>125</v>
      </c>
      <c r="AL515">
        <v>11</v>
      </c>
      <c r="AM515" t="s">
        <v>132</v>
      </c>
      <c r="AN515" t="s">
        <v>125</v>
      </c>
      <c r="AO515" t="s">
        <v>1316</v>
      </c>
      <c r="BP515" t="s">
        <v>149</v>
      </c>
      <c r="BR515" t="s">
        <v>155</v>
      </c>
      <c r="BS515">
        <v>3</v>
      </c>
      <c r="BX515" t="s">
        <v>136</v>
      </c>
      <c r="BZ515" t="s">
        <v>137</v>
      </c>
    </row>
    <row r="516" spans="1:78" x14ac:dyDescent="0.2">
      <c r="A516" t="s">
        <v>119</v>
      </c>
      <c r="B516" t="s">
        <v>120</v>
      </c>
      <c r="C516" t="s">
        <v>1317</v>
      </c>
      <c r="D516">
        <v>10</v>
      </c>
      <c r="E516" t="s">
        <v>546</v>
      </c>
      <c r="F516" t="s">
        <v>283</v>
      </c>
      <c r="G516" t="s">
        <v>124</v>
      </c>
      <c r="H516" t="s">
        <v>125</v>
      </c>
      <c r="I516">
        <v>7</v>
      </c>
      <c r="J516" t="s">
        <v>170</v>
      </c>
      <c r="K516" t="s">
        <v>125</v>
      </c>
      <c r="L516" t="s">
        <v>1318</v>
      </c>
      <c r="U516" t="s">
        <v>149</v>
      </c>
      <c r="W516" t="s">
        <v>135</v>
      </c>
      <c r="X516">
        <v>3</v>
      </c>
      <c r="AC516" t="s">
        <v>136</v>
      </c>
      <c r="AE516" t="s">
        <v>137</v>
      </c>
    </row>
    <row r="517" spans="1:78" x14ac:dyDescent="0.2">
      <c r="A517" t="s">
        <v>119</v>
      </c>
      <c r="B517" t="s">
        <v>120</v>
      </c>
      <c r="C517" t="s">
        <v>1319</v>
      </c>
      <c r="D517">
        <v>2</v>
      </c>
      <c r="E517" t="s">
        <v>197</v>
      </c>
      <c r="F517" t="s">
        <v>198</v>
      </c>
      <c r="G517" t="s">
        <v>124</v>
      </c>
      <c r="H517" t="s">
        <v>125</v>
      </c>
      <c r="I517">
        <v>0</v>
      </c>
      <c r="J517" t="s">
        <v>126</v>
      </c>
      <c r="K517" t="s">
        <v>125</v>
      </c>
      <c r="L517" t="s">
        <v>1320</v>
      </c>
      <c r="U517" t="s">
        <v>149</v>
      </c>
      <c r="W517" t="s">
        <v>135</v>
      </c>
      <c r="X517">
        <v>1</v>
      </c>
      <c r="AC517" t="s">
        <v>136</v>
      </c>
      <c r="AE517" t="s">
        <v>137</v>
      </c>
    </row>
    <row r="518" spans="1:78" x14ac:dyDescent="0.2">
      <c r="A518" t="s">
        <v>119</v>
      </c>
      <c r="B518" t="s">
        <v>120</v>
      </c>
      <c r="C518" t="s">
        <v>1321</v>
      </c>
      <c r="D518">
        <v>10</v>
      </c>
      <c r="E518" t="s">
        <v>343</v>
      </c>
      <c r="F518" t="s">
        <v>311</v>
      </c>
      <c r="G518" t="s">
        <v>124</v>
      </c>
      <c r="H518" t="s">
        <v>125</v>
      </c>
      <c r="I518">
        <v>0</v>
      </c>
      <c r="J518" t="s">
        <v>126</v>
      </c>
      <c r="K518" t="s">
        <v>125</v>
      </c>
      <c r="L518" t="s">
        <v>1322</v>
      </c>
      <c r="U518" t="s">
        <v>149</v>
      </c>
      <c r="W518" t="s">
        <v>135</v>
      </c>
      <c r="X518">
        <v>1</v>
      </c>
      <c r="AC518" t="s">
        <v>136</v>
      </c>
      <c r="AE518" t="s">
        <v>137</v>
      </c>
      <c r="AG518">
        <v>12</v>
      </c>
      <c r="AH518" t="s">
        <v>380</v>
      </c>
      <c r="AI518" t="s">
        <v>146</v>
      </c>
      <c r="AJ518" t="s">
        <v>131</v>
      </c>
      <c r="AK518" t="s">
        <v>125</v>
      </c>
      <c r="AL518">
        <v>10</v>
      </c>
      <c r="AM518" t="s">
        <v>264</v>
      </c>
      <c r="AN518" t="s">
        <v>125</v>
      </c>
      <c r="AO518" t="s">
        <v>1323</v>
      </c>
      <c r="BP518" t="s">
        <v>309</v>
      </c>
      <c r="BR518" t="s">
        <v>135</v>
      </c>
      <c r="BS518">
        <v>3</v>
      </c>
      <c r="BX518" t="s">
        <v>136</v>
      </c>
      <c r="BZ518" t="s">
        <v>137</v>
      </c>
    </row>
    <row r="519" spans="1:78" x14ac:dyDescent="0.2">
      <c r="A519" t="s">
        <v>119</v>
      </c>
      <c r="B519" t="s">
        <v>120</v>
      </c>
      <c r="C519" t="s">
        <v>1324</v>
      </c>
      <c r="D519">
        <v>11</v>
      </c>
      <c r="E519" t="s">
        <v>614</v>
      </c>
      <c r="F519" t="s">
        <v>205</v>
      </c>
      <c r="G519" t="s">
        <v>124</v>
      </c>
      <c r="H519" t="s">
        <v>125</v>
      </c>
      <c r="I519">
        <v>6</v>
      </c>
      <c r="J519" t="s">
        <v>170</v>
      </c>
      <c r="K519" t="s">
        <v>125</v>
      </c>
      <c r="L519" t="s">
        <v>1325</v>
      </c>
      <c r="U519" t="s">
        <v>149</v>
      </c>
      <c r="W519" t="s">
        <v>135</v>
      </c>
      <c r="X519">
        <v>3</v>
      </c>
      <c r="AC519" t="s">
        <v>136</v>
      </c>
      <c r="AE519" t="s">
        <v>137</v>
      </c>
    </row>
    <row r="520" spans="1:78" hidden="1" x14ac:dyDescent="0.2">
      <c r="A520" t="s">
        <v>119</v>
      </c>
      <c r="B520" t="s">
        <v>120</v>
      </c>
      <c r="C520" t="s">
        <v>1324</v>
      </c>
      <c r="D520">
        <v>18</v>
      </c>
      <c r="E520" t="s">
        <v>139</v>
      </c>
      <c r="F520" t="s">
        <v>140</v>
      </c>
      <c r="G520" t="s">
        <v>124</v>
      </c>
      <c r="H520" t="s">
        <v>125</v>
      </c>
      <c r="I520">
        <v>11</v>
      </c>
      <c r="J520" t="s">
        <v>199</v>
      </c>
      <c r="K520" t="s">
        <v>125</v>
      </c>
      <c r="L520" t="s">
        <v>1326</v>
      </c>
      <c r="T520" t="s">
        <v>142</v>
      </c>
      <c r="W520" t="s">
        <v>135</v>
      </c>
      <c r="AC520" t="s">
        <v>143</v>
      </c>
      <c r="AE520" t="s">
        <v>144</v>
      </c>
      <c r="AG520">
        <v>17</v>
      </c>
      <c r="AH520" t="s">
        <v>145</v>
      </c>
      <c r="AI520" t="s">
        <v>146</v>
      </c>
      <c r="AJ520" t="s">
        <v>131</v>
      </c>
      <c r="AK520" t="s">
        <v>125</v>
      </c>
      <c r="AL520">
        <v>18</v>
      </c>
      <c r="AM520" t="s">
        <v>132</v>
      </c>
      <c r="AN520" t="s">
        <v>125</v>
      </c>
      <c r="AO520" t="s">
        <v>1327</v>
      </c>
      <c r="BP520" t="s">
        <v>149</v>
      </c>
      <c r="BR520" t="s">
        <v>135</v>
      </c>
      <c r="BS520">
        <v>3</v>
      </c>
      <c r="BX520" t="s">
        <v>136</v>
      </c>
      <c r="BZ520" t="s">
        <v>137</v>
      </c>
    </row>
    <row r="521" spans="1:78" x14ac:dyDescent="0.2">
      <c r="A521" t="s">
        <v>119</v>
      </c>
      <c r="B521" t="s">
        <v>120</v>
      </c>
      <c r="C521" t="s">
        <v>1328</v>
      </c>
      <c r="D521">
        <v>1</v>
      </c>
      <c r="E521" t="s">
        <v>343</v>
      </c>
      <c r="F521" t="s">
        <v>311</v>
      </c>
      <c r="G521" t="s">
        <v>124</v>
      </c>
      <c r="H521" t="s">
        <v>125</v>
      </c>
      <c r="I521">
        <v>0</v>
      </c>
      <c r="J521" t="s">
        <v>126</v>
      </c>
      <c r="K521" t="s">
        <v>125</v>
      </c>
      <c r="L521" t="s">
        <v>1329</v>
      </c>
      <c r="U521" t="s">
        <v>149</v>
      </c>
      <c r="W521" t="s">
        <v>135</v>
      </c>
      <c r="X521">
        <v>1</v>
      </c>
      <c r="AC521" t="s">
        <v>136</v>
      </c>
      <c r="AE521" t="s">
        <v>137</v>
      </c>
    </row>
    <row r="522" spans="1:78" hidden="1" x14ac:dyDescent="0.2">
      <c r="A522" t="s">
        <v>119</v>
      </c>
      <c r="B522" t="s">
        <v>120</v>
      </c>
      <c r="C522" t="s">
        <v>1330</v>
      </c>
      <c r="D522">
        <v>4</v>
      </c>
      <c r="E522" t="s">
        <v>198</v>
      </c>
      <c r="F522" t="s">
        <v>198</v>
      </c>
      <c r="G522" t="s">
        <v>124</v>
      </c>
      <c r="H522" t="s">
        <v>125</v>
      </c>
      <c r="I522">
        <v>2</v>
      </c>
      <c r="J522" t="s">
        <v>199</v>
      </c>
      <c r="K522" t="s">
        <v>125</v>
      </c>
      <c r="L522" t="s">
        <v>1331</v>
      </c>
      <c r="AE522" t="s">
        <v>128</v>
      </c>
    </row>
    <row r="523" spans="1:78" x14ac:dyDescent="0.2">
      <c r="A523" t="s">
        <v>119</v>
      </c>
      <c r="B523" t="s">
        <v>120</v>
      </c>
      <c r="C523" t="s">
        <v>1332</v>
      </c>
      <c r="D523">
        <v>5</v>
      </c>
      <c r="E523" t="s">
        <v>546</v>
      </c>
      <c r="F523" t="s">
        <v>283</v>
      </c>
      <c r="G523" t="s">
        <v>124</v>
      </c>
      <c r="H523" t="s">
        <v>125</v>
      </c>
      <c r="I523">
        <v>0</v>
      </c>
      <c r="J523" t="s">
        <v>126</v>
      </c>
      <c r="K523" t="s">
        <v>125</v>
      </c>
      <c r="L523" t="s">
        <v>1333</v>
      </c>
      <c r="U523" t="s">
        <v>149</v>
      </c>
      <c r="W523" t="s">
        <v>135</v>
      </c>
      <c r="X523">
        <v>3</v>
      </c>
      <c r="AC523" t="s">
        <v>136</v>
      </c>
      <c r="AE523" t="s">
        <v>137</v>
      </c>
    </row>
    <row r="524" spans="1:78" hidden="1" x14ac:dyDescent="0.2">
      <c r="A524" t="s">
        <v>119</v>
      </c>
      <c r="B524" t="s">
        <v>120</v>
      </c>
      <c r="C524" t="s">
        <v>1334</v>
      </c>
      <c r="D524">
        <v>4</v>
      </c>
      <c r="E524" t="s">
        <v>1335</v>
      </c>
      <c r="F524" t="s">
        <v>350</v>
      </c>
      <c r="G524" t="s">
        <v>124</v>
      </c>
      <c r="H524" t="s">
        <v>125</v>
      </c>
      <c r="I524">
        <v>0</v>
      </c>
      <c r="J524" t="s">
        <v>126</v>
      </c>
      <c r="K524" t="s">
        <v>125</v>
      </c>
      <c r="L524" t="s">
        <v>1336</v>
      </c>
      <c r="U524" t="s">
        <v>149</v>
      </c>
      <c r="W524" t="s">
        <v>135</v>
      </c>
      <c r="X524">
        <v>3</v>
      </c>
      <c r="AC524" t="s">
        <v>143</v>
      </c>
      <c r="AE524" t="s">
        <v>137</v>
      </c>
    </row>
    <row r="525" spans="1:78" hidden="1" x14ac:dyDescent="0.2">
      <c r="A525" t="s">
        <v>119</v>
      </c>
      <c r="B525" t="s">
        <v>120</v>
      </c>
      <c r="C525" t="s">
        <v>1337</v>
      </c>
      <c r="D525">
        <v>3</v>
      </c>
      <c r="E525" t="s">
        <v>350</v>
      </c>
      <c r="F525" t="s">
        <v>350</v>
      </c>
      <c r="G525" t="s">
        <v>124</v>
      </c>
      <c r="H525" t="s">
        <v>125</v>
      </c>
      <c r="I525">
        <v>0</v>
      </c>
      <c r="J525" t="s">
        <v>126</v>
      </c>
      <c r="K525" t="s">
        <v>125</v>
      </c>
      <c r="L525" t="s">
        <v>1338</v>
      </c>
      <c r="AE525" t="s">
        <v>128</v>
      </c>
      <c r="AG525">
        <v>2</v>
      </c>
      <c r="AH525" t="s">
        <v>1339</v>
      </c>
      <c r="AI525" t="s">
        <v>130</v>
      </c>
      <c r="AJ525" t="s">
        <v>131</v>
      </c>
      <c r="AK525" t="s">
        <v>125</v>
      </c>
      <c r="AL525">
        <v>3</v>
      </c>
      <c r="AM525" t="s">
        <v>132</v>
      </c>
      <c r="AN525" t="s">
        <v>125</v>
      </c>
      <c r="AO525" t="s">
        <v>1340</v>
      </c>
      <c r="BP525" t="s">
        <v>149</v>
      </c>
      <c r="BR525" t="s">
        <v>135</v>
      </c>
      <c r="BS525">
        <v>1</v>
      </c>
      <c r="BX525" t="s">
        <v>136</v>
      </c>
      <c r="BZ525" t="s">
        <v>137</v>
      </c>
    </row>
    <row r="526" spans="1:78" x14ac:dyDescent="0.2">
      <c r="A526" t="s">
        <v>119</v>
      </c>
      <c r="B526" t="s">
        <v>120</v>
      </c>
      <c r="C526" t="s">
        <v>1341</v>
      </c>
      <c r="D526">
        <v>6</v>
      </c>
      <c r="E526" t="s">
        <v>197</v>
      </c>
      <c r="F526" t="s">
        <v>198</v>
      </c>
      <c r="G526" t="s">
        <v>124</v>
      </c>
      <c r="H526" t="s">
        <v>125</v>
      </c>
      <c r="I526">
        <v>0</v>
      </c>
      <c r="J526" t="s">
        <v>126</v>
      </c>
      <c r="K526" t="s">
        <v>125</v>
      </c>
      <c r="L526" t="s">
        <v>1342</v>
      </c>
      <c r="U526" t="s">
        <v>149</v>
      </c>
      <c r="W526" t="s">
        <v>135</v>
      </c>
      <c r="X526">
        <v>1</v>
      </c>
      <c r="AC526" t="s">
        <v>136</v>
      </c>
      <c r="AE526" t="s">
        <v>137</v>
      </c>
    </row>
    <row r="527" spans="1:78" hidden="1" x14ac:dyDescent="0.2">
      <c r="A527" t="s">
        <v>119</v>
      </c>
      <c r="B527" t="s">
        <v>120</v>
      </c>
      <c r="C527" t="s">
        <v>1343</v>
      </c>
      <c r="D527">
        <v>2</v>
      </c>
      <c r="E527" t="s">
        <v>1344</v>
      </c>
      <c r="F527" t="s">
        <v>1345</v>
      </c>
      <c r="G527" t="s">
        <v>124</v>
      </c>
      <c r="H527" t="s">
        <v>125</v>
      </c>
      <c r="I527">
        <v>0</v>
      </c>
      <c r="J527" t="s">
        <v>126</v>
      </c>
      <c r="K527" t="s">
        <v>125</v>
      </c>
      <c r="L527" t="s">
        <v>1346</v>
      </c>
      <c r="AE527" t="s">
        <v>394</v>
      </c>
      <c r="AG527">
        <v>1</v>
      </c>
      <c r="AH527" t="s">
        <v>323</v>
      </c>
      <c r="AI527" t="s">
        <v>283</v>
      </c>
      <c r="AJ527" t="s">
        <v>131</v>
      </c>
      <c r="AK527" t="s">
        <v>125</v>
      </c>
      <c r="AL527">
        <v>2</v>
      </c>
      <c r="AM527" t="s">
        <v>132</v>
      </c>
      <c r="AN527" t="s">
        <v>125</v>
      </c>
      <c r="AO527" t="s">
        <v>1347</v>
      </c>
      <c r="BP527" t="s">
        <v>149</v>
      </c>
      <c r="BR527" t="s">
        <v>135</v>
      </c>
      <c r="BS527">
        <v>1</v>
      </c>
      <c r="BX527" t="s">
        <v>136</v>
      </c>
      <c r="BZ527" t="s">
        <v>137</v>
      </c>
    </row>
    <row r="528" spans="1:78" hidden="1" x14ac:dyDescent="0.2">
      <c r="A528" t="s">
        <v>119</v>
      </c>
      <c r="B528" t="s">
        <v>120</v>
      </c>
      <c r="C528" t="s">
        <v>1348</v>
      </c>
      <c r="D528">
        <v>4</v>
      </c>
      <c r="E528" t="s">
        <v>350</v>
      </c>
      <c r="F528" t="s">
        <v>350</v>
      </c>
      <c r="G528" t="s">
        <v>124</v>
      </c>
      <c r="H528" t="s">
        <v>125</v>
      </c>
      <c r="I528">
        <v>0</v>
      </c>
      <c r="J528" t="s">
        <v>126</v>
      </c>
      <c r="K528" t="s">
        <v>125</v>
      </c>
      <c r="L528" t="s">
        <v>1349</v>
      </c>
      <c r="AE528" t="s">
        <v>128</v>
      </c>
      <c r="AG528">
        <v>3</v>
      </c>
      <c r="AH528" t="s">
        <v>1350</v>
      </c>
      <c r="AI528" t="s">
        <v>130</v>
      </c>
      <c r="AJ528" t="s">
        <v>131</v>
      </c>
      <c r="AK528" t="s">
        <v>125</v>
      </c>
      <c r="AL528">
        <v>4</v>
      </c>
      <c r="AM528" t="s">
        <v>132</v>
      </c>
      <c r="AN528" t="s">
        <v>125</v>
      </c>
      <c r="AO528" t="s">
        <v>1351</v>
      </c>
      <c r="BP528" t="s">
        <v>149</v>
      </c>
      <c r="BR528" t="s">
        <v>135</v>
      </c>
      <c r="BS528">
        <v>1</v>
      </c>
      <c r="BX528" t="s">
        <v>903</v>
      </c>
      <c r="BZ528" t="s">
        <v>137</v>
      </c>
    </row>
    <row r="529" spans="1:78" hidden="1" x14ac:dyDescent="0.2">
      <c r="A529" t="s">
        <v>119</v>
      </c>
      <c r="B529" t="s">
        <v>120</v>
      </c>
      <c r="C529" t="s">
        <v>1348</v>
      </c>
      <c r="D529">
        <v>8</v>
      </c>
      <c r="E529" t="s">
        <v>1352</v>
      </c>
      <c r="F529" t="s">
        <v>1353</v>
      </c>
      <c r="G529" t="s">
        <v>124</v>
      </c>
      <c r="H529" t="s">
        <v>125</v>
      </c>
      <c r="I529">
        <v>4</v>
      </c>
      <c r="J529" t="s">
        <v>161</v>
      </c>
      <c r="K529" t="s">
        <v>125</v>
      </c>
      <c r="L529" t="s">
        <v>1354</v>
      </c>
      <c r="U529" t="s">
        <v>149</v>
      </c>
      <c r="W529" t="s">
        <v>135</v>
      </c>
      <c r="X529">
        <v>3</v>
      </c>
      <c r="AC529" t="s">
        <v>143</v>
      </c>
      <c r="AE529" t="s">
        <v>137</v>
      </c>
    </row>
    <row r="530" spans="1:78" x14ac:dyDescent="0.2">
      <c r="A530" t="s">
        <v>119</v>
      </c>
      <c r="B530" t="s">
        <v>120</v>
      </c>
      <c r="C530" t="s">
        <v>1355</v>
      </c>
      <c r="D530">
        <v>1</v>
      </c>
      <c r="E530" t="s">
        <v>349</v>
      </c>
      <c r="F530" t="s">
        <v>350</v>
      </c>
      <c r="G530" t="s">
        <v>124</v>
      </c>
      <c r="H530" t="s">
        <v>125</v>
      </c>
      <c r="I530">
        <v>0</v>
      </c>
      <c r="J530" t="s">
        <v>126</v>
      </c>
      <c r="K530" t="s">
        <v>125</v>
      </c>
      <c r="L530" t="s">
        <v>1356</v>
      </c>
      <c r="U530" t="s">
        <v>209</v>
      </c>
      <c r="W530" t="s">
        <v>135</v>
      </c>
      <c r="X530">
        <v>2</v>
      </c>
      <c r="AC530" t="s">
        <v>136</v>
      </c>
      <c r="AE530" t="s">
        <v>137</v>
      </c>
    </row>
    <row r="531" spans="1:78" x14ac:dyDescent="0.2">
      <c r="A531" t="s">
        <v>119</v>
      </c>
      <c r="B531" t="s">
        <v>120</v>
      </c>
      <c r="C531" t="s">
        <v>1357</v>
      </c>
      <c r="D531">
        <v>2</v>
      </c>
      <c r="E531" t="s">
        <v>160</v>
      </c>
      <c r="F531" t="s">
        <v>146</v>
      </c>
      <c r="G531" t="s">
        <v>124</v>
      </c>
      <c r="H531" t="s">
        <v>125</v>
      </c>
      <c r="I531">
        <v>0</v>
      </c>
      <c r="J531" t="s">
        <v>126</v>
      </c>
      <c r="K531" t="s">
        <v>125</v>
      </c>
      <c r="L531" t="s">
        <v>1358</v>
      </c>
      <c r="U531" t="s">
        <v>149</v>
      </c>
      <c r="W531" t="s">
        <v>155</v>
      </c>
      <c r="X531">
        <v>3</v>
      </c>
      <c r="AC531" t="s">
        <v>136</v>
      </c>
      <c r="AE531" t="s">
        <v>137</v>
      </c>
    </row>
    <row r="532" spans="1:78" x14ac:dyDescent="0.2">
      <c r="A532" t="s">
        <v>119</v>
      </c>
      <c r="B532" t="s">
        <v>120</v>
      </c>
      <c r="C532" t="s">
        <v>1359</v>
      </c>
      <c r="D532">
        <v>1</v>
      </c>
      <c r="E532" t="s">
        <v>1360</v>
      </c>
      <c r="F532" t="s">
        <v>350</v>
      </c>
      <c r="G532" t="s">
        <v>124</v>
      </c>
      <c r="H532" t="s">
        <v>125</v>
      </c>
      <c r="I532">
        <v>5</v>
      </c>
      <c r="J532" t="s">
        <v>182</v>
      </c>
      <c r="K532" t="s">
        <v>125</v>
      </c>
      <c r="L532" t="s">
        <v>1361</v>
      </c>
      <c r="U532" t="s">
        <v>149</v>
      </c>
      <c r="W532" t="s">
        <v>135</v>
      </c>
      <c r="X532">
        <v>3</v>
      </c>
      <c r="AC532" t="s">
        <v>136</v>
      </c>
      <c r="AE532" t="s">
        <v>137</v>
      </c>
    </row>
    <row r="533" spans="1:78" hidden="1" x14ac:dyDescent="0.2">
      <c r="A533" t="s">
        <v>119</v>
      </c>
      <c r="B533" t="s">
        <v>120</v>
      </c>
      <c r="C533" t="s">
        <v>1359</v>
      </c>
      <c r="D533">
        <v>5</v>
      </c>
      <c r="E533" t="s">
        <v>1362</v>
      </c>
      <c r="F533" t="s">
        <v>415</v>
      </c>
      <c r="G533" t="s">
        <v>124</v>
      </c>
      <c r="H533" t="s">
        <v>125</v>
      </c>
      <c r="I533">
        <v>0</v>
      </c>
      <c r="J533" t="s">
        <v>126</v>
      </c>
      <c r="K533" t="s">
        <v>125</v>
      </c>
      <c r="L533" t="s">
        <v>1363</v>
      </c>
      <c r="U533" t="s">
        <v>149</v>
      </c>
      <c r="W533" t="s">
        <v>135</v>
      </c>
      <c r="X533">
        <v>1</v>
      </c>
      <c r="AC533" t="s">
        <v>903</v>
      </c>
      <c r="AE533" t="s">
        <v>137</v>
      </c>
    </row>
    <row r="534" spans="1:78" hidden="1" x14ac:dyDescent="0.2">
      <c r="A534" t="s">
        <v>119</v>
      </c>
      <c r="B534" t="s">
        <v>120</v>
      </c>
      <c r="C534" t="s">
        <v>1364</v>
      </c>
      <c r="D534">
        <v>2</v>
      </c>
      <c r="E534" t="s">
        <v>1283</v>
      </c>
      <c r="F534" t="s">
        <v>123</v>
      </c>
      <c r="G534" t="s">
        <v>124</v>
      </c>
      <c r="H534" t="s">
        <v>125</v>
      </c>
      <c r="I534">
        <v>0</v>
      </c>
      <c r="J534" t="s">
        <v>126</v>
      </c>
      <c r="K534" t="s">
        <v>125</v>
      </c>
      <c r="L534" t="s">
        <v>1365</v>
      </c>
      <c r="T534" t="s">
        <v>154</v>
      </c>
      <c r="W534" t="s">
        <v>135</v>
      </c>
      <c r="AC534" t="s">
        <v>143</v>
      </c>
      <c r="AE534" t="s">
        <v>144</v>
      </c>
      <c r="AG534">
        <v>1</v>
      </c>
      <c r="AH534" t="s">
        <v>232</v>
      </c>
      <c r="AI534" t="s">
        <v>205</v>
      </c>
      <c r="AJ534" t="s">
        <v>131</v>
      </c>
      <c r="AK534" t="s">
        <v>125</v>
      </c>
      <c r="AL534">
        <v>2</v>
      </c>
      <c r="AM534" t="s">
        <v>132</v>
      </c>
      <c r="AN534" t="s">
        <v>125</v>
      </c>
      <c r="AO534" t="s">
        <v>1366</v>
      </c>
      <c r="BP534" t="s">
        <v>149</v>
      </c>
      <c r="BR534" t="s">
        <v>155</v>
      </c>
      <c r="BS534">
        <v>1</v>
      </c>
      <c r="BX534" t="s">
        <v>136</v>
      </c>
      <c r="BZ534" t="s">
        <v>137</v>
      </c>
    </row>
    <row r="535" spans="1:78" x14ac:dyDescent="0.2">
      <c r="A535" t="s">
        <v>119</v>
      </c>
      <c r="B535" t="s">
        <v>120</v>
      </c>
      <c r="C535" t="s">
        <v>1367</v>
      </c>
      <c r="D535">
        <v>12</v>
      </c>
      <c r="E535" t="s">
        <v>1368</v>
      </c>
      <c r="F535" t="s">
        <v>123</v>
      </c>
      <c r="G535" t="s">
        <v>124</v>
      </c>
      <c r="H535" t="s">
        <v>125</v>
      </c>
      <c r="I535">
        <v>2</v>
      </c>
      <c r="J535" t="s">
        <v>268</v>
      </c>
      <c r="K535" t="s">
        <v>125</v>
      </c>
      <c r="L535" t="s">
        <v>1369</v>
      </c>
      <c r="U535" t="s">
        <v>149</v>
      </c>
      <c r="W535" t="s">
        <v>135</v>
      </c>
      <c r="X535">
        <v>3</v>
      </c>
      <c r="AC535" t="s">
        <v>136</v>
      </c>
      <c r="AE535" t="s">
        <v>137</v>
      </c>
    </row>
    <row r="536" spans="1:78" hidden="1" x14ac:dyDescent="0.2">
      <c r="A536" t="s">
        <v>119</v>
      </c>
      <c r="B536" t="s">
        <v>120</v>
      </c>
      <c r="C536" t="s">
        <v>1370</v>
      </c>
      <c r="D536">
        <v>4</v>
      </c>
      <c r="E536" t="s">
        <v>861</v>
      </c>
      <c r="F536" t="s">
        <v>140</v>
      </c>
      <c r="G536" t="s">
        <v>124</v>
      </c>
      <c r="H536" t="s">
        <v>125</v>
      </c>
      <c r="I536">
        <v>0</v>
      </c>
      <c r="J536" t="s">
        <v>126</v>
      </c>
      <c r="K536" t="s">
        <v>125</v>
      </c>
      <c r="L536" t="s">
        <v>1371</v>
      </c>
      <c r="AE536" t="s">
        <v>128</v>
      </c>
      <c r="AG536">
        <v>3</v>
      </c>
      <c r="AH536" t="s">
        <v>375</v>
      </c>
      <c r="AI536" t="s">
        <v>130</v>
      </c>
      <c r="AJ536" t="s">
        <v>131</v>
      </c>
      <c r="AK536" t="s">
        <v>125</v>
      </c>
      <c r="AL536">
        <v>4</v>
      </c>
      <c r="AM536" t="s">
        <v>132</v>
      </c>
      <c r="AN536" t="s">
        <v>125</v>
      </c>
      <c r="AO536" t="s">
        <v>1372</v>
      </c>
      <c r="BP536" t="s">
        <v>149</v>
      </c>
      <c r="BR536" t="s">
        <v>135</v>
      </c>
      <c r="BS536">
        <v>2</v>
      </c>
      <c r="BX536" t="s">
        <v>136</v>
      </c>
      <c r="BZ536" t="s">
        <v>137</v>
      </c>
    </row>
    <row r="537" spans="1:78" hidden="1" x14ac:dyDescent="0.2">
      <c r="A537" t="s">
        <v>119</v>
      </c>
      <c r="B537" t="s">
        <v>120</v>
      </c>
      <c r="C537" t="s">
        <v>1373</v>
      </c>
      <c r="D537">
        <v>5</v>
      </c>
      <c r="E537" t="s">
        <v>1374</v>
      </c>
      <c r="F537" t="s">
        <v>1375</v>
      </c>
      <c r="G537" t="s">
        <v>124</v>
      </c>
      <c r="H537" t="s">
        <v>125</v>
      </c>
      <c r="I537">
        <v>0</v>
      </c>
      <c r="J537" t="s">
        <v>126</v>
      </c>
      <c r="K537" t="s">
        <v>125</v>
      </c>
      <c r="L537" t="s">
        <v>1376</v>
      </c>
      <c r="T537" t="s">
        <v>154</v>
      </c>
      <c r="W537" t="s">
        <v>135</v>
      </c>
      <c r="AC537" t="s">
        <v>143</v>
      </c>
      <c r="AE537" t="s">
        <v>144</v>
      </c>
      <c r="AG537">
        <v>4</v>
      </c>
      <c r="AH537" t="s">
        <v>160</v>
      </c>
      <c r="AI537" t="s">
        <v>146</v>
      </c>
      <c r="AJ537" t="s">
        <v>131</v>
      </c>
      <c r="AK537" t="s">
        <v>125</v>
      </c>
      <c r="AL537">
        <v>5</v>
      </c>
      <c r="AM537" t="s">
        <v>132</v>
      </c>
      <c r="AN537" t="s">
        <v>125</v>
      </c>
      <c r="AO537" t="s">
        <v>1377</v>
      </c>
      <c r="BP537" t="s">
        <v>149</v>
      </c>
      <c r="BR537" t="s">
        <v>135</v>
      </c>
      <c r="BS537">
        <v>1</v>
      </c>
      <c r="BX537" t="s">
        <v>136</v>
      </c>
      <c r="BZ537" t="s">
        <v>137</v>
      </c>
    </row>
    <row r="538" spans="1:78" hidden="1" x14ac:dyDescent="0.2">
      <c r="A538" t="s">
        <v>119</v>
      </c>
      <c r="B538" t="s">
        <v>120</v>
      </c>
      <c r="C538" t="s">
        <v>1378</v>
      </c>
      <c r="D538">
        <v>7</v>
      </c>
      <c r="E538" t="s">
        <v>1379</v>
      </c>
      <c r="F538" t="s">
        <v>1379</v>
      </c>
      <c r="G538" t="s">
        <v>124</v>
      </c>
      <c r="H538" t="s">
        <v>125</v>
      </c>
      <c r="I538">
        <v>0</v>
      </c>
      <c r="J538" t="s">
        <v>126</v>
      </c>
      <c r="K538" t="s">
        <v>125</v>
      </c>
      <c r="L538" t="s">
        <v>1380</v>
      </c>
      <c r="AE538" t="s">
        <v>128</v>
      </c>
      <c r="AG538">
        <v>3</v>
      </c>
      <c r="AH538" t="s">
        <v>375</v>
      </c>
      <c r="AI538" t="s">
        <v>130</v>
      </c>
      <c r="AJ538" t="s">
        <v>131</v>
      </c>
      <c r="AK538" t="s">
        <v>125</v>
      </c>
      <c r="AL538">
        <v>7</v>
      </c>
      <c r="AM538" t="s">
        <v>132</v>
      </c>
      <c r="AN538" t="s">
        <v>125</v>
      </c>
      <c r="AO538" t="s">
        <v>1381</v>
      </c>
      <c r="BP538" t="s">
        <v>149</v>
      </c>
      <c r="BR538" t="s">
        <v>135</v>
      </c>
      <c r="BS538">
        <v>2</v>
      </c>
      <c r="BX538" t="s">
        <v>136</v>
      </c>
      <c r="BZ538" t="s">
        <v>137</v>
      </c>
    </row>
    <row r="539" spans="1:78" hidden="1" x14ac:dyDescent="0.2">
      <c r="A539" t="s">
        <v>119</v>
      </c>
      <c r="B539" t="s">
        <v>120</v>
      </c>
      <c r="C539" t="s">
        <v>1382</v>
      </c>
      <c r="D539">
        <v>3</v>
      </c>
      <c r="E539" t="s">
        <v>1383</v>
      </c>
      <c r="F539" t="s">
        <v>1384</v>
      </c>
      <c r="G539" t="s">
        <v>124</v>
      </c>
      <c r="H539" t="s">
        <v>125</v>
      </c>
      <c r="I539">
        <v>0</v>
      </c>
      <c r="J539" t="s">
        <v>126</v>
      </c>
      <c r="K539" t="s">
        <v>125</v>
      </c>
      <c r="L539" t="s">
        <v>1385</v>
      </c>
      <c r="AE539" t="s">
        <v>394</v>
      </c>
      <c r="AG539">
        <v>2</v>
      </c>
      <c r="AH539" t="s">
        <v>323</v>
      </c>
      <c r="AI539" t="s">
        <v>283</v>
      </c>
      <c r="AJ539" t="s">
        <v>131</v>
      </c>
      <c r="AK539" t="s">
        <v>125</v>
      </c>
      <c r="AL539">
        <v>3</v>
      </c>
      <c r="AM539" t="s">
        <v>132</v>
      </c>
      <c r="AN539" t="s">
        <v>125</v>
      </c>
      <c r="AO539" t="s">
        <v>1386</v>
      </c>
      <c r="BP539" t="s">
        <v>149</v>
      </c>
      <c r="BR539" t="s">
        <v>135</v>
      </c>
      <c r="BS539">
        <v>1</v>
      </c>
      <c r="BX539" t="s">
        <v>136</v>
      </c>
      <c r="BZ539" t="s">
        <v>137</v>
      </c>
    </row>
    <row r="540" spans="1:78" x14ac:dyDescent="0.2">
      <c r="A540" t="s">
        <v>119</v>
      </c>
      <c r="B540" t="s">
        <v>120</v>
      </c>
      <c r="C540" t="s">
        <v>1382</v>
      </c>
      <c r="D540">
        <v>8</v>
      </c>
      <c r="E540" t="s">
        <v>145</v>
      </c>
      <c r="F540" t="s">
        <v>146</v>
      </c>
      <c r="G540" t="s">
        <v>124</v>
      </c>
      <c r="H540" t="s">
        <v>125</v>
      </c>
      <c r="I540">
        <v>3</v>
      </c>
      <c r="J540" t="s">
        <v>199</v>
      </c>
      <c r="K540" t="s">
        <v>125</v>
      </c>
      <c r="L540" t="s">
        <v>1387</v>
      </c>
      <c r="U540" t="s">
        <v>149</v>
      </c>
      <c r="W540" t="s">
        <v>135</v>
      </c>
      <c r="X540">
        <v>3</v>
      </c>
      <c r="AC540" t="s">
        <v>136</v>
      </c>
      <c r="AE540" t="s">
        <v>137</v>
      </c>
    </row>
    <row r="541" spans="1:78" hidden="1" x14ac:dyDescent="0.2">
      <c r="A541" t="s">
        <v>119</v>
      </c>
      <c r="B541" t="s">
        <v>120</v>
      </c>
      <c r="C541" t="s">
        <v>1382</v>
      </c>
      <c r="D541">
        <v>11</v>
      </c>
      <c r="E541" t="s">
        <v>1388</v>
      </c>
      <c r="F541" t="s">
        <v>140</v>
      </c>
      <c r="G541" t="s">
        <v>124</v>
      </c>
      <c r="H541" t="s">
        <v>125</v>
      </c>
      <c r="I541">
        <v>8</v>
      </c>
      <c r="J541" t="s">
        <v>264</v>
      </c>
      <c r="K541" t="s">
        <v>125</v>
      </c>
      <c r="L541" t="s">
        <v>1389</v>
      </c>
      <c r="AE541" t="s">
        <v>394</v>
      </c>
      <c r="AG541">
        <v>10</v>
      </c>
      <c r="AH541" t="s">
        <v>323</v>
      </c>
      <c r="AI541" t="s">
        <v>283</v>
      </c>
      <c r="AJ541" t="s">
        <v>131</v>
      </c>
      <c r="AK541" t="s">
        <v>125</v>
      </c>
      <c r="AL541">
        <v>11</v>
      </c>
      <c r="AM541" t="s">
        <v>132</v>
      </c>
      <c r="AN541" t="s">
        <v>125</v>
      </c>
      <c r="AO541" t="s">
        <v>1390</v>
      </c>
      <c r="BP541" t="s">
        <v>149</v>
      </c>
      <c r="BR541" t="s">
        <v>135</v>
      </c>
      <c r="BS541">
        <v>1</v>
      </c>
      <c r="BX541" t="s">
        <v>136</v>
      </c>
      <c r="BZ541" t="s">
        <v>137</v>
      </c>
    </row>
    <row r="542" spans="1:78" x14ac:dyDescent="0.2">
      <c r="A542" t="s">
        <v>119</v>
      </c>
      <c r="B542" t="s">
        <v>120</v>
      </c>
      <c r="C542" t="s">
        <v>1391</v>
      </c>
      <c r="D542">
        <v>3</v>
      </c>
      <c r="E542" t="s">
        <v>1392</v>
      </c>
      <c r="F542" t="s">
        <v>434</v>
      </c>
      <c r="G542" t="s">
        <v>124</v>
      </c>
      <c r="H542" t="s">
        <v>125</v>
      </c>
      <c r="I542">
        <v>6</v>
      </c>
      <c r="J542" t="s">
        <v>268</v>
      </c>
      <c r="K542" t="s">
        <v>125</v>
      </c>
      <c r="L542" t="s">
        <v>1393</v>
      </c>
      <c r="U542" t="s">
        <v>149</v>
      </c>
      <c r="W542" t="s">
        <v>135</v>
      </c>
      <c r="X542">
        <v>3</v>
      </c>
      <c r="AC542" t="s">
        <v>136</v>
      </c>
      <c r="AE542" t="s">
        <v>137</v>
      </c>
    </row>
    <row r="543" spans="1:78" x14ac:dyDescent="0.2">
      <c r="A543" t="s">
        <v>119</v>
      </c>
      <c r="B543" t="s">
        <v>120</v>
      </c>
      <c r="C543" t="s">
        <v>1394</v>
      </c>
      <c r="D543">
        <v>3</v>
      </c>
      <c r="E543" t="s">
        <v>145</v>
      </c>
      <c r="F543" t="s">
        <v>146</v>
      </c>
      <c r="G543" t="s">
        <v>124</v>
      </c>
      <c r="H543" t="s">
        <v>125</v>
      </c>
      <c r="I543">
        <v>0</v>
      </c>
      <c r="J543" t="s">
        <v>126</v>
      </c>
      <c r="K543" t="s">
        <v>125</v>
      </c>
      <c r="L543" t="s">
        <v>1395</v>
      </c>
      <c r="U543" t="s">
        <v>149</v>
      </c>
      <c r="W543" t="s">
        <v>135</v>
      </c>
      <c r="X543">
        <v>3</v>
      </c>
      <c r="AC543" t="s">
        <v>136</v>
      </c>
      <c r="AE543" t="s">
        <v>137</v>
      </c>
    </row>
    <row r="544" spans="1:78" x14ac:dyDescent="0.2">
      <c r="A544" t="s">
        <v>119</v>
      </c>
      <c r="B544" t="s">
        <v>120</v>
      </c>
      <c r="C544" t="s">
        <v>1396</v>
      </c>
      <c r="D544">
        <v>2</v>
      </c>
      <c r="E544" t="s">
        <v>1397</v>
      </c>
      <c r="F544" t="s">
        <v>198</v>
      </c>
      <c r="G544" t="s">
        <v>124</v>
      </c>
      <c r="H544" t="s">
        <v>125</v>
      </c>
      <c r="I544">
        <v>0</v>
      </c>
      <c r="J544" t="s">
        <v>126</v>
      </c>
      <c r="K544" t="s">
        <v>125</v>
      </c>
      <c r="L544" t="s">
        <v>1398</v>
      </c>
      <c r="U544" t="s">
        <v>134</v>
      </c>
      <c r="W544" t="s">
        <v>135</v>
      </c>
      <c r="X544">
        <v>1</v>
      </c>
      <c r="AC544" t="s">
        <v>136</v>
      </c>
      <c r="AE544" t="s">
        <v>137</v>
      </c>
    </row>
    <row r="545" spans="1:78" hidden="1" x14ac:dyDescent="0.2">
      <c r="A545" t="s">
        <v>119</v>
      </c>
      <c r="B545" t="s">
        <v>120</v>
      </c>
      <c r="C545" t="s">
        <v>1396</v>
      </c>
      <c r="D545">
        <v>4</v>
      </c>
      <c r="E545" t="s">
        <v>1399</v>
      </c>
      <c r="F545" t="s">
        <v>1399</v>
      </c>
      <c r="G545" t="s">
        <v>124</v>
      </c>
      <c r="H545" t="s">
        <v>125</v>
      </c>
      <c r="I545">
        <v>2</v>
      </c>
      <c r="J545" t="s">
        <v>268</v>
      </c>
      <c r="K545" t="s">
        <v>125</v>
      </c>
      <c r="L545" t="s">
        <v>1400</v>
      </c>
      <c r="AE545" t="s">
        <v>128</v>
      </c>
    </row>
    <row r="546" spans="1:78" x14ac:dyDescent="0.2">
      <c r="A546" t="s">
        <v>119</v>
      </c>
      <c r="B546" t="s">
        <v>120</v>
      </c>
      <c r="C546" t="s">
        <v>1401</v>
      </c>
      <c r="D546">
        <v>2</v>
      </c>
      <c r="E546" t="s">
        <v>145</v>
      </c>
      <c r="F546" t="s">
        <v>146</v>
      </c>
      <c r="G546" t="s">
        <v>124</v>
      </c>
      <c r="H546" t="s">
        <v>125</v>
      </c>
      <c r="I546">
        <v>0</v>
      </c>
      <c r="J546" t="s">
        <v>126</v>
      </c>
      <c r="K546" t="s">
        <v>125</v>
      </c>
      <c r="L546" t="s">
        <v>1402</v>
      </c>
      <c r="U546" t="s">
        <v>149</v>
      </c>
      <c r="W546" t="s">
        <v>135</v>
      </c>
      <c r="X546">
        <v>3</v>
      </c>
      <c r="AC546" t="s">
        <v>136</v>
      </c>
      <c r="AE546" t="s">
        <v>137</v>
      </c>
    </row>
    <row r="547" spans="1:78" hidden="1" x14ac:dyDescent="0.2">
      <c r="A547" t="s">
        <v>119</v>
      </c>
      <c r="B547" t="s">
        <v>120</v>
      </c>
      <c r="C547" t="s">
        <v>1403</v>
      </c>
      <c r="D547">
        <v>7</v>
      </c>
      <c r="E547" t="s">
        <v>140</v>
      </c>
      <c r="F547" t="s">
        <v>140</v>
      </c>
      <c r="G547" t="s">
        <v>124</v>
      </c>
      <c r="H547" t="s">
        <v>125</v>
      </c>
      <c r="I547">
        <v>0</v>
      </c>
      <c r="J547" t="s">
        <v>126</v>
      </c>
      <c r="K547" t="s">
        <v>125</v>
      </c>
      <c r="L547" t="s">
        <v>1404</v>
      </c>
      <c r="AE547" t="s">
        <v>128</v>
      </c>
      <c r="AG547">
        <v>6</v>
      </c>
      <c r="AH547" t="s">
        <v>1405</v>
      </c>
      <c r="AI547" t="s">
        <v>130</v>
      </c>
      <c r="AJ547" t="s">
        <v>131</v>
      </c>
      <c r="AK547" t="s">
        <v>125</v>
      </c>
      <c r="AL547">
        <v>7</v>
      </c>
      <c r="AM547" t="s">
        <v>132</v>
      </c>
      <c r="AN547" t="s">
        <v>125</v>
      </c>
      <c r="AO547" t="s">
        <v>1406</v>
      </c>
      <c r="BP547" t="s">
        <v>149</v>
      </c>
      <c r="BR547" t="s">
        <v>155</v>
      </c>
      <c r="BS547">
        <v>1</v>
      </c>
      <c r="BX547" t="s">
        <v>136</v>
      </c>
      <c r="BZ547" t="s">
        <v>137</v>
      </c>
    </row>
    <row r="548" spans="1:78" hidden="1" x14ac:dyDescent="0.2">
      <c r="A548" t="s">
        <v>119</v>
      </c>
      <c r="B548" t="s">
        <v>120</v>
      </c>
      <c r="C548" t="s">
        <v>1407</v>
      </c>
      <c r="D548">
        <v>6</v>
      </c>
      <c r="E548" t="s">
        <v>373</v>
      </c>
      <c r="F548" t="s">
        <v>373</v>
      </c>
      <c r="G548" t="s">
        <v>124</v>
      </c>
      <c r="H548" t="s">
        <v>125</v>
      </c>
      <c r="I548">
        <v>0</v>
      </c>
      <c r="J548" t="s">
        <v>126</v>
      </c>
      <c r="K548" t="s">
        <v>125</v>
      </c>
      <c r="L548" t="s">
        <v>1408</v>
      </c>
      <c r="AE548" t="s">
        <v>128</v>
      </c>
    </row>
    <row r="549" spans="1:78" hidden="1" x14ac:dyDescent="0.2">
      <c r="A549" t="s">
        <v>119</v>
      </c>
      <c r="B549" t="s">
        <v>120</v>
      </c>
      <c r="C549" t="s">
        <v>1409</v>
      </c>
      <c r="D549">
        <v>4</v>
      </c>
      <c r="E549" t="s">
        <v>140</v>
      </c>
      <c r="F549" t="s">
        <v>140</v>
      </c>
      <c r="G549" t="s">
        <v>124</v>
      </c>
      <c r="H549" t="s">
        <v>125</v>
      </c>
      <c r="I549">
        <v>6</v>
      </c>
      <c r="J549" t="s">
        <v>268</v>
      </c>
      <c r="K549" t="s">
        <v>125</v>
      </c>
      <c r="L549" t="s">
        <v>1410</v>
      </c>
      <c r="AE549" t="s">
        <v>128</v>
      </c>
      <c r="AG549">
        <v>3</v>
      </c>
      <c r="AH549" t="s">
        <v>801</v>
      </c>
      <c r="AI549" t="s">
        <v>667</v>
      </c>
      <c r="AJ549" t="s">
        <v>131</v>
      </c>
      <c r="AK549" t="s">
        <v>125</v>
      </c>
      <c r="AL549">
        <v>4</v>
      </c>
      <c r="AM549" t="s">
        <v>132</v>
      </c>
      <c r="AN549" t="s">
        <v>125</v>
      </c>
      <c r="AO549" t="s">
        <v>1411</v>
      </c>
      <c r="BP549" t="s">
        <v>149</v>
      </c>
      <c r="BR549" t="s">
        <v>135</v>
      </c>
      <c r="BS549">
        <v>2</v>
      </c>
      <c r="BX549" t="s">
        <v>136</v>
      </c>
      <c r="BZ549" t="s">
        <v>137</v>
      </c>
    </row>
    <row r="550" spans="1:78" x14ac:dyDescent="0.2">
      <c r="A550" t="s">
        <v>119</v>
      </c>
      <c r="B550" t="s">
        <v>120</v>
      </c>
      <c r="C550" t="s">
        <v>1409</v>
      </c>
      <c r="D550">
        <v>6</v>
      </c>
      <c r="E550" t="s">
        <v>1412</v>
      </c>
      <c r="F550" t="s">
        <v>140</v>
      </c>
      <c r="G550" t="s">
        <v>124</v>
      </c>
      <c r="H550" t="s">
        <v>125</v>
      </c>
      <c r="I550">
        <v>0</v>
      </c>
      <c r="J550" t="s">
        <v>126</v>
      </c>
      <c r="K550" t="s">
        <v>125</v>
      </c>
      <c r="L550" t="s">
        <v>1413</v>
      </c>
      <c r="U550" t="s">
        <v>149</v>
      </c>
      <c r="W550" t="s">
        <v>135</v>
      </c>
      <c r="X550">
        <v>2</v>
      </c>
      <c r="AC550" t="s">
        <v>136</v>
      </c>
      <c r="AE550" t="s">
        <v>137</v>
      </c>
    </row>
    <row r="551" spans="1:78" x14ac:dyDescent="0.2">
      <c r="A551" t="s">
        <v>119</v>
      </c>
      <c r="B551" t="s">
        <v>120</v>
      </c>
      <c r="C551" t="s">
        <v>1414</v>
      </c>
      <c r="D551">
        <v>7</v>
      </c>
      <c r="E551" t="s">
        <v>1415</v>
      </c>
      <c r="F551" t="s">
        <v>1416</v>
      </c>
      <c r="G551" t="s">
        <v>124</v>
      </c>
      <c r="H551" t="s">
        <v>125</v>
      </c>
      <c r="I551">
        <v>0</v>
      </c>
      <c r="J551" t="s">
        <v>126</v>
      </c>
      <c r="K551" t="s">
        <v>125</v>
      </c>
      <c r="L551" t="s">
        <v>1417</v>
      </c>
      <c r="U551" t="s">
        <v>149</v>
      </c>
      <c r="W551" t="s">
        <v>135</v>
      </c>
      <c r="X551">
        <v>1</v>
      </c>
      <c r="AC551" t="s">
        <v>136</v>
      </c>
      <c r="AE551" t="s">
        <v>137</v>
      </c>
    </row>
    <row r="552" spans="1:78" x14ac:dyDescent="0.2">
      <c r="A552" t="s">
        <v>119</v>
      </c>
      <c r="B552" t="s">
        <v>120</v>
      </c>
      <c r="C552" t="s">
        <v>1414</v>
      </c>
      <c r="D552">
        <v>12</v>
      </c>
      <c r="E552" t="s">
        <v>392</v>
      </c>
      <c r="F552" t="s">
        <v>373</v>
      </c>
      <c r="G552" t="s">
        <v>124</v>
      </c>
      <c r="H552" t="s">
        <v>125</v>
      </c>
      <c r="I552">
        <v>7</v>
      </c>
      <c r="J552" t="s">
        <v>161</v>
      </c>
      <c r="K552" t="s">
        <v>125</v>
      </c>
      <c r="L552" t="s">
        <v>1418</v>
      </c>
      <c r="U552" t="s">
        <v>149</v>
      </c>
      <c r="W552" t="s">
        <v>135</v>
      </c>
      <c r="X552">
        <v>1</v>
      </c>
      <c r="AC552" t="s">
        <v>136</v>
      </c>
      <c r="AE552" t="s">
        <v>137</v>
      </c>
    </row>
    <row r="553" spans="1:78" hidden="1" x14ac:dyDescent="0.2">
      <c r="A553" t="s">
        <v>119</v>
      </c>
      <c r="B553" t="s">
        <v>120</v>
      </c>
      <c r="C553" t="s">
        <v>1419</v>
      </c>
      <c r="D553">
        <v>4</v>
      </c>
      <c r="E553" t="s">
        <v>614</v>
      </c>
      <c r="F553" t="s">
        <v>205</v>
      </c>
      <c r="G553" t="s">
        <v>124</v>
      </c>
      <c r="H553" t="s">
        <v>125</v>
      </c>
      <c r="I553">
        <v>0</v>
      </c>
      <c r="J553" t="s">
        <v>126</v>
      </c>
      <c r="K553" t="s">
        <v>125</v>
      </c>
      <c r="L553" t="s">
        <v>1420</v>
      </c>
    </row>
    <row r="554" spans="1:78" x14ac:dyDescent="0.2">
      <c r="A554" t="s">
        <v>119</v>
      </c>
      <c r="B554" t="s">
        <v>120</v>
      </c>
      <c r="C554" t="s">
        <v>1419</v>
      </c>
      <c r="D554">
        <v>12</v>
      </c>
      <c r="E554" t="s">
        <v>614</v>
      </c>
      <c r="F554" t="s">
        <v>205</v>
      </c>
      <c r="G554" t="s">
        <v>124</v>
      </c>
      <c r="H554" t="s">
        <v>125</v>
      </c>
      <c r="I554">
        <v>4</v>
      </c>
      <c r="J554" t="s">
        <v>161</v>
      </c>
      <c r="K554" t="s">
        <v>125</v>
      </c>
      <c r="L554" t="s">
        <v>1421</v>
      </c>
      <c r="U554" t="s">
        <v>149</v>
      </c>
      <c r="W554" t="s">
        <v>135</v>
      </c>
      <c r="X554">
        <v>3</v>
      </c>
      <c r="AC554" t="s">
        <v>136</v>
      </c>
      <c r="AE554" t="s">
        <v>137</v>
      </c>
    </row>
    <row r="555" spans="1:78" x14ac:dyDescent="0.2">
      <c r="A555" t="s">
        <v>119</v>
      </c>
      <c r="B555" t="s">
        <v>120</v>
      </c>
      <c r="C555" t="s">
        <v>1422</v>
      </c>
      <c r="D555">
        <v>2</v>
      </c>
      <c r="E555" t="s">
        <v>1423</v>
      </c>
      <c r="F555" t="s">
        <v>1416</v>
      </c>
      <c r="G555" t="s">
        <v>124</v>
      </c>
      <c r="H555" t="s">
        <v>125</v>
      </c>
      <c r="I555">
        <v>0</v>
      </c>
      <c r="J555" t="s">
        <v>126</v>
      </c>
      <c r="K555" t="s">
        <v>125</v>
      </c>
      <c r="L555" t="s">
        <v>1424</v>
      </c>
      <c r="U555" t="s">
        <v>149</v>
      </c>
      <c r="W555" t="s">
        <v>135</v>
      </c>
      <c r="X555">
        <v>2</v>
      </c>
      <c r="AC555" t="s">
        <v>136</v>
      </c>
      <c r="AE555" t="s">
        <v>137</v>
      </c>
    </row>
    <row r="556" spans="1:78" x14ac:dyDescent="0.2">
      <c r="A556" t="s">
        <v>119</v>
      </c>
      <c r="B556" t="s">
        <v>120</v>
      </c>
      <c r="C556" t="s">
        <v>1422</v>
      </c>
      <c r="D556">
        <v>9</v>
      </c>
      <c r="E556" t="s">
        <v>1425</v>
      </c>
      <c r="F556" t="s">
        <v>292</v>
      </c>
      <c r="G556" t="s">
        <v>124</v>
      </c>
      <c r="H556" t="s">
        <v>125</v>
      </c>
      <c r="I556">
        <v>2</v>
      </c>
      <c r="J556" t="s">
        <v>161</v>
      </c>
      <c r="K556" t="s">
        <v>125</v>
      </c>
      <c r="L556" t="s">
        <v>1426</v>
      </c>
      <c r="U556" t="s">
        <v>149</v>
      </c>
      <c r="W556" t="s">
        <v>135</v>
      </c>
      <c r="X556">
        <v>2</v>
      </c>
      <c r="AC556" t="s">
        <v>136</v>
      </c>
      <c r="AE556" t="s">
        <v>137</v>
      </c>
    </row>
    <row r="557" spans="1:78" x14ac:dyDescent="0.2">
      <c r="A557" t="s">
        <v>119</v>
      </c>
      <c r="B557" t="s">
        <v>120</v>
      </c>
      <c r="C557" t="s">
        <v>1422</v>
      </c>
      <c r="D557">
        <v>12</v>
      </c>
      <c r="E557" t="s">
        <v>614</v>
      </c>
      <c r="F557" t="s">
        <v>205</v>
      </c>
      <c r="G557" t="s">
        <v>124</v>
      </c>
      <c r="H557" t="s">
        <v>125</v>
      </c>
      <c r="I557">
        <v>9</v>
      </c>
      <c r="J557" t="s">
        <v>1427</v>
      </c>
      <c r="K557" t="s">
        <v>125</v>
      </c>
      <c r="L557" t="s">
        <v>1428</v>
      </c>
      <c r="U557" t="s">
        <v>149</v>
      </c>
      <c r="W557" t="s">
        <v>135</v>
      </c>
      <c r="X557">
        <v>3</v>
      </c>
      <c r="AC557" t="s">
        <v>136</v>
      </c>
      <c r="AE557" t="s">
        <v>137</v>
      </c>
    </row>
    <row r="558" spans="1:78" x14ac:dyDescent="0.2">
      <c r="A558" t="s">
        <v>119</v>
      </c>
      <c r="B558" t="s">
        <v>120</v>
      </c>
      <c r="C558" t="s">
        <v>1422</v>
      </c>
      <c r="D558">
        <v>19</v>
      </c>
      <c r="E558" t="s">
        <v>370</v>
      </c>
      <c r="F558" t="s">
        <v>140</v>
      </c>
      <c r="G558" t="s">
        <v>124</v>
      </c>
      <c r="H558" t="s">
        <v>125</v>
      </c>
      <c r="I558">
        <v>12</v>
      </c>
      <c r="J558" t="s">
        <v>161</v>
      </c>
      <c r="K558" t="s">
        <v>125</v>
      </c>
      <c r="L558" t="s">
        <v>1429</v>
      </c>
      <c r="U558" t="s">
        <v>149</v>
      </c>
      <c r="W558" t="s">
        <v>135</v>
      </c>
      <c r="X558">
        <v>3</v>
      </c>
      <c r="AC558" t="s">
        <v>136</v>
      </c>
      <c r="AE558" t="s">
        <v>137</v>
      </c>
    </row>
    <row r="559" spans="1:78" x14ac:dyDescent="0.2">
      <c r="A559" t="s">
        <v>119</v>
      </c>
      <c r="B559" t="s">
        <v>120</v>
      </c>
      <c r="C559" t="s">
        <v>1430</v>
      </c>
      <c r="D559">
        <v>8</v>
      </c>
      <c r="E559" t="s">
        <v>370</v>
      </c>
      <c r="F559" t="s">
        <v>140</v>
      </c>
      <c r="G559" t="s">
        <v>124</v>
      </c>
      <c r="H559" t="s">
        <v>125</v>
      </c>
      <c r="I559">
        <v>0</v>
      </c>
      <c r="J559" t="s">
        <v>126</v>
      </c>
      <c r="K559" t="s">
        <v>125</v>
      </c>
      <c r="L559" t="s">
        <v>313</v>
      </c>
      <c r="U559" t="s">
        <v>149</v>
      </c>
      <c r="W559" t="s">
        <v>135</v>
      </c>
      <c r="X559">
        <v>3</v>
      </c>
      <c r="AC559" t="s">
        <v>136</v>
      </c>
      <c r="AE559" t="s">
        <v>137</v>
      </c>
    </row>
    <row r="560" spans="1:78" x14ac:dyDescent="0.2">
      <c r="A560" t="s">
        <v>119</v>
      </c>
      <c r="B560" t="s">
        <v>120</v>
      </c>
      <c r="C560" t="s">
        <v>1431</v>
      </c>
      <c r="D560">
        <v>3</v>
      </c>
      <c r="E560" t="s">
        <v>1432</v>
      </c>
      <c r="F560" t="s">
        <v>1433</v>
      </c>
      <c r="G560" t="s">
        <v>124</v>
      </c>
      <c r="H560" t="s">
        <v>125</v>
      </c>
      <c r="I560">
        <v>1</v>
      </c>
      <c r="J560" t="s">
        <v>268</v>
      </c>
      <c r="K560" t="s">
        <v>125</v>
      </c>
      <c r="L560" t="s">
        <v>1434</v>
      </c>
      <c r="U560" t="s">
        <v>149</v>
      </c>
      <c r="W560" t="s">
        <v>135</v>
      </c>
      <c r="X560">
        <v>3</v>
      </c>
      <c r="AC560" t="s">
        <v>136</v>
      </c>
      <c r="AE560" t="s">
        <v>137</v>
      </c>
    </row>
    <row r="561" spans="1:78" x14ac:dyDescent="0.2">
      <c r="A561" t="s">
        <v>119</v>
      </c>
      <c r="B561" t="s">
        <v>120</v>
      </c>
      <c r="C561" t="s">
        <v>1435</v>
      </c>
      <c r="D561">
        <v>3</v>
      </c>
      <c r="E561" t="s">
        <v>197</v>
      </c>
      <c r="F561" t="s">
        <v>198</v>
      </c>
      <c r="G561" t="s">
        <v>124</v>
      </c>
      <c r="H561" t="s">
        <v>125</v>
      </c>
      <c r="I561">
        <v>0</v>
      </c>
      <c r="J561" t="s">
        <v>126</v>
      </c>
      <c r="K561" t="s">
        <v>125</v>
      </c>
      <c r="L561" t="s">
        <v>1436</v>
      </c>
      <c r="U561" t="s">
        <v>149</v>
      </c>
      <c r="W561" t="s">
        <v>135</v>
      </c>
      <c r="X561">
        <v>1</v>
      </c>
      <c r="AC561" t="s">
        <v>136</v>
      </c>
      <c r="AE561" t="s">
        <v>137</v>
      </c>
    </row>
    <row r="562" spans="1:78" x14ac:dyDescent="0.2">
      <c r="A562" t="s">
        <v>119</v>
      </c>
      <c r="B562" t="s">
        <v>120</v>
      </c>
      <c r="C562" t="s">
        <v>1435</v>
      </c>
      <c r="D562">
        <v>6</v>
      </c>
      <c r="E562" t="s">
        <v>370</v>
      </c>
      <c r="F562" t="s">
        <v>140</v>
      </c>
      <c r="G562" t="s">
        <v>124</v>
      </c>
      <c r="H562" t="s">
        <v>125</v>
      </c>
      <c r="I562">
        <v>3</v>
      </c>
      <c r="J562" t="s">
        <v>268</v>
      </c>
      <c r="K562" t="s">
        <v>125</v>
      </c>
      <c r="L562" t="s">
        <v>1437</v>
      </c>
      <c r="U562" t="s">
        <v>149</v>
      </c>
      <c r="W562" t="s">
        <v>135</v>
      </c>
      <c r="X562">
        <v>3</v>
      </c>
      <c r="AC562" t="s">
        <v>136</v>
      </c>
      <c r="AE562" t="s">
        <v>137</v>
      </c>
    </row>
    <row r="563" spans="1:78" x14ac:dyDescent="0.2">
      <c r="A563" t="s">
        <v>119</v>
      </c>
      <c r="B563" t="s">
        <v>120</v>
      </c>
      <c r="C563" t="s">
        <v>1438</v>
      </c>
      <c r="D563">
        <v>2</v>
      </c>
      <c r="E563" t="s">
        <v>327</v>
      </c>
      <c r="F563" t="s">
        <v>198</v>
      </c>
      <c r="G563" t="s">
        <v>124</v>
      </c>
      <c r="H563" t="s">
        <v>125</v>
      </c>
      <c r="I563">
        <v>0</v>
      </c>
      <c r="J563" t="s">
        <v>126</v>
      </c>
      <c r="K563" t="s">
        <v>125</v>
      </c>
      <c r="L563" t="s">
        <v>1439</v>
      </c>
      <c r="U563" t="s">
        <v>149</v>
      </c>
      <c r="W563" t="s">
        <v>135</v>
      </c>
      <c r="X563">
        <v>3</v>
      </c>
      <c r="AC563" t="s">
        <v>136</v>
      </c>
      <c r="AE563" t="s">
        <v>137</v>
      </c>
    </row>
    <row r="564" spans="1:78" x14ac:dyDescent="0.2">
      <c r="A564" t="s">
        <v>119</v>
      </c>
      <c r="B564" t="s">
        <v>120</v>
      </c>
      <c r="C564" t="s">
        <v>1438</v>
      </c>
      <c r="D564">
        <v>4</v>
      </c>
      <c r="E564" t="s">
        <v>1440</v>
      </c>
      <c r="F564" t="s">
        <v>1441</v>
      </c>
      <c r="G564" t="s">
        <v>124</v>
      </c>
      <c r="H564" t="s">
        <v>125</v>
      </c>
      <c r="I564">
        <v>2</v>
      </c>
      <c r="J564" t="s">
        <v>264</v>
      </c>
      <c r="K564" t="s">
        <v>125</v>
      </c>
      <c r="L564" t="s">
        <v>1442</v>
      </c>
      <c r="U564" t="s">
        <v>149</v>
      </c>
      <c r="W564" t="s">
        <v>135</v>
      </c>
      <c r="X564">
        <v>3</v>
      </c>
      <c r="AC564" t="s">
        <v>136</v>
      </c>
      <c r="AE564" t="s">
        <v>137</v>
      </c>
    </row>
    <row r="565" spans="1:78" x14ac:dyDescent="0.2">
      <c r="A565" t="s">
        <v>119</v>
      </c>
      <c r="B565" t="s">
        <v>120</v>
      </c>
      <c r="C565" t="s">
        <v>1443</v>
      </c>
      <c r="D565">
        <v>6</v>
      </c>
      <c r="E565" t="s">
        <v>1444</v>
      </c>
      <c r="F565" t="s">
        <v>350</v>
      </c>
      <c r="G565" t="s">
        <v>124</v>
      </c>
      <c r="H565" t="s">
        <v>125</v>
      </c>
      <c r="I565">
        <v>2</v>
      </c>
      <c r="J565" t="s">
        <v>170</v>
      </c>
      <c r="K565" t="s">
        <v>125</v>
      </c>
      <c r="L565" t="s">
        <v>1445</v>
      </c>
      <c r="U565" t="s">
        <v>209</v>
      </c>
      <c r="W565" t="s">
        <v>135</v>
      </c>
      <c r="X565">
        <v>2</v>
      </c>
      <c r="AC565" t="s">
        <v>136</v>
      </c>
      <c r="AE565" t="s">
        <v>137</v>
      </c>
      <c r="AG565">
        <v>5</v>
      </c>
      <c r="AH565" t="s">
        <v>1446</v>
      </c>
      <c r="AI565" t="s">
        <v>146</v>
      </c>
      <c r="AJ565" t="s">
        <v>131</v>
      </c>
      <c r="AK565" t="s">
        <v>125</v>
      </c>
      <c r="AL565">
        <v>6</v>
      </c>
      <c r="AM565" t="s">
        <v>132</v>
      </c>
      <c r="AN565" t="s">
        <v>125</v>
      </c>
      <c r="AO565" t="s">
        <v>1447</v>
      </c>
      <c r="BP565" t="s">
        <v>149</v>
      </c>
      <c r="BR565" t="s">
        <v>155</v>
      </c>
      <c r="BS565">
        <v>1</v>
      </c>
      <c r="BX565" t="s">
        <v>136</v>
      </c>
      <c r="BZ565" t="s">
        <v>137</v>
      </c>
    </row>
    <row r="566" spans="1:78" hidden="1" x14ac:dyDescent="0.2">
      <c r="A566" t="s">
        <v>119</v>
      </c>
      <c r="B566" t="s">
        <v>120</v>
      </c>
      <c r="C566" t="s">
        <v>1443</v>
      </c>
      <c r="D566">
        <v>10</v>
      </c>
      <c r="E566" t="s">
        <v>207</v>
      </c>
      <c r="F566" t="s">
        <v>146</v>
      </c>
      <c r="G566" t="s">
        <v>124</v>
      </c>
      <c r="H566" t="s">
        <v>125</v>
      </c>
      <c r="I566">
        <v>0</v>
      </c>
      <c r="J566" t="s">
        <v>126</v>
      </c>
      <c r="K566" t="s">
        <v>125</v>
      </c>
      <c r="L566" t="s">
        <v>1448</v>
      </c>
      <c r="U566" t="s">
        <v>149</v>
      </c>
      <c r="W566" t="s">
        <v>135</v>
      </c>
      <c r="X566">
        <v>3</v>
      </c>
      <c r="AC566" t="s">
        <v>209</v>
      </c>
      <c r="AE566" t="s">
        <v>137</v>
      </c>
    </row>
    <row r="567" spans="1:78" x14ac:dyDescent="0.2">
      <c r="A567" t="s">
        <v>119</v>
      </c>
      <c r="B567" t="s">
        <v>120</v>
      </c>
      <c r="C567" t="s">
        <v>1443</v>
      </c>
      <c r="D567">
        <v>14</v>
      </c>
      <c r="E567" t="s">
        <v>1449</v>
      </c>
      <c r="F567" t="s">
        <v>1450</v>
      </c>
      <c r="G567" t="s">
        <v>124</v>
      </c>
      <c r="H567" t="s">
        <v>125</v>
      </c>
      <c r="I567">
        <v>10</v>
      </c>
      <c r="J567" t="s">
        <v>268</v>
      </c>
      <c r="K567" t="s">
        <v>125</v>
      </c>
      <c r="L567" t="s">
        <v>1451</v>
      </c>
      <c r="U567" t="s">
        <v>149</v>
      </c>
      <c r="W567" t="s">
        <v>135</v>
      </c>
      <c r="X567">
        <v>3</v>
      </c>
      <c r="AC567" t="s">
        <v>136</v>
      </c>
      <c r="AE567" t="s">
        <v>137</v>
      </c>
    </row>
    <row r="568" spans="1:78" hidden="1" x14ac:dyDescent="0.2">
      <c r="A568" t="s">
        <v>119</v>
      </c>
      <c r="B568" t="s">
        <v>120</v>
      </c>
      <c r="C568" t="s">
        <v>1443</v>
      </c>
      <c r="D568">
        <v>17</v>
      </c>
      <c r="E568" t="s">
        <v>207</v>
      </c>
      <c r="F568" t="s">
        <v>146</v>
      </c>
      <c r="G568" t="s">
        <v>124</v>
      </c>
      <c r="H568" t="s">
        <v>125</v>
      </c>
      <c r="I568">
        <v>10</v>
      </c>
      <c r="J568" t="s">
        <v>199</v>
      </c>
      <c r="K568" t="s">
        <v>125</v>
      </c>
      <c r="L568" t="s">
        <v>1452</v>
      </c>
      <c r="U568" t="s">
        <v>149</v>
      </c>
      <c r="W568" t="s">
        <v>135</v>
      </c>
      <c r="X568">
        <v>3</v>
      </c>
      <c r="AC568" t="s">
        <v>209</v>
      </c>
      <c r="AE568" t="s">
        <v>137</v>
      </c>
    </row>
    <row r="569" spans="1:78" hidden="1" x14ac:dyDescent="0.2">
      <c r="A569" t="s">
        <v>119</v>
      </c>
      <c r="B569" t="s">
        <v>120</v>
      </c>
      <c r="C569" t="s">
        <v>1453</v>
      </c>
      <c r="D569">
        <v>4</v>
      </c>
      <c r="E569" t="s">
        <v>207</v>
      </c>
      <c r="F569" t="s">
        <v>146</v>
      </c>
      <c r="G569" t="s">
        <v>124</v>
      </c>
      <c r="H569" t="s">
        <v>125</v>
      </c>
      <c r="I569">
        <v>0</v>
      </c>
      <c r="J569" t="s">
        <v>126</v>
      </c>
      <c r="K569" t="s">
        <v>125</v>
      </c>
      <c r="L569" t="s">
        <v>1454</v>
      </c>
      <c r="U569" t="s">
        <v>149</v>
      </c>
      <c r="W569" t="s">
        <v>135</v>
      </c>
      <c r="X569">
        <v>3</v>
      </c>
      <c r="AC569" t="s">
        <v>209</v>
      </c>
      <c r="AE569" t="s">
        <v>137</v>
      </c>
    </row>
    <row r="570" spans="1:78" x14ac:dyDescent="0.2">
      <c r="A570" t="s">
        <v>119</v>
      </c>
      <c r="B570" t="s">
        <v>120</v>
      </c>
      <c r="C570" t="s">
        <v>1455</v>
      </c>
      <c r="D570">
        <v>2</v>
      </c>
      <c r="E570" t="s">
        <v>841</v>
      </c>
      <c r="F570" t="s">
        <v>123</v>
      </c>
      <c r="G570" t="s">
        <v>124</v>
      </c>
      <c r="H570" t="s">
        <v>125</v>
      </c>
      <c r="I570">
        <v>0</v>
      </c>
      <c r="J570" t="s">
        <v>126</v>
      </c>
      <c r="K570" t="s">
        <v>125</v>
      </c>
      <c r="L570" t="s">
        <v>1456</v>
      </c>
      <c r="U570" t="s">
        <v>309</v>
      </c>
      <c r="W570" t="s">
        <v>135</v>
      </c>
      <c r="X570">
        <v>3</v>
      </c>
      <c r="AC570" t="s">
        <v>136</v>
      </c>
      <c r="AE570" t="s">
        <v>137</v>
      </c>
    </row>
    <row r="571" spans="1:78" x14ac:dyDescent="0.2">
      <c r="A571" t="s">
        <v>119</v>
      </c>
      <c r="B571" t="s">
        <v>120</v>
      </c>
      <c r="C571" t="s">
        <v>1457</v>
      </c>
      <c r="D571">
        <v>4</v>
      </c>
      <c r="E571" t="s">
        <v>1458</v>
      </c>
      <c r="F571" t="s">
        <v>1459</v>
      </c>
      <c r="G571" t="s">
        <v>124</v>
      </c>
      <c r="H571" t="s">
        <v>125</v>
      </c>
      <c r="I571">
        <v>0</v>
      </c>
      <c r="J571" t="s">
        <v>126</v>
      </c>
      <c r="K571" t="s">
        <v>125</v>
      </c>
      <c r="L571" t="s">
        <v>1460</v>
      </c>
      <c r="U571" t="s">
        <v>149</v>
      </c>
      <c r="W571" t="s">
        <v>135</v>
      </c>
      <c r="X571">
        <v>1</v>
      </c>
      <c r="AC571" t="s">
        <v>136</v>
      </c>
      <c r="AE571" t="s">
        <v>137</v>
      </c>
    </row>
    <row r="572" spans="1:78" x14ac:dyDescent="0.2">
      <c r="A572" t="s">
        <v>119</v>
      </c>
      <c r="B572" t="s">
        <v>120</v>
      </c>
      <c r="C572" t="s">
        <v>1461</v>
      </c>
      <c r="D572">
        <v>3</v>
      </c>
      <c r="E572" t="s">
        <v>204</v>
      </c>
      <c r="F572" t="s">
        <v>205</v>
      </c>
      <c r="G572" t="s">
        <v>124</v>
      </c>
      <c r="H572" t="s">
        <v>125</v>
      </c>
      <c r="I572">
        <v>0</v>
      </c>
      <c r="J572" t="s">
        <v>126</v>
      </c>
      <c r="K572" t="s">
        <v>125</v>
      </c>
      <c r="L572" t="s">
        <v>1462</v>
      </c>
      <c r="U572" t="s">
        <v>149</v>
      </c>
      <c r="W572" t="s">
        <v>135</v>
      </c>
      <c r="X572">
        <v>1</v>
      </c>
      <c r="AC572" t="s">
        <v>136</v>
      </c>
      <c r="AE572" t="s">
        <v>137</v>
      </c>
    </row>
    <row r="573" spans="1:78" hidden="1" x14ac:dyDescent="0.2">
      <c r="A573" t="s">
        <v>119</v>
      </c>
      <c r="B573" t="s">
        <v>120</v>
      </c>
      <c r="C573" t="s">
        <v>1463</v>
      </c>
      <c r="D573">
        <v>4</v>
      </c>
      <c r="E573" t="s">
        <v>1464</v>
      </c>
      <c r="F573" t="s">
        <v>1465</v>
      </c>
      <c r="G573" t="s">
        <v>124</v>
      </c>
      <c r="H573" t="s">
        <v>125</v>
      </c>
      <c r="I573">
        <v>0</v>
      </c>
      <c r="J573" t="s">
        <v>126</v>
      </c>
      <c r="K573" t="s">
        <v>125</v>
      </c>
      <c r="L573" t="s">
        <v>1466</v>
      </c>
      <c r="U573" t="s">
        <v>149</v>
      </c>
      <c r="W573" t="s">
        <v>135</v>
      </c>
      <c r="X573">
        <v>1</v>
      </c>
      <c r="AC573" t="s">
        <v>209</v>
      </c>
      <c r="AE573" t="s">
        <v>137</v>
      </c>
    </row>
    <row r="574" spans="1:78" hidden="1" x14ac:dyDescent="0.2">
      <c r="A574" t="s">
        <v>119</v>
      </c>
      <c r="B574" t="s">
        <v>120</v>
      </c>
      <c r="C574" t="s">
        <v>1463</v>
      </c>
      <c r="D574">
        <v>8</v>
      </c>
      <c r="E574" t="s">
        <v>1467</v>
      </c>
      <c r="F574" t="s">
        <v>1468</v>
      </c>
      <c r="G574" t="s">
        <v>124</v>
      </c>
      <c r="H574" t="s">
        <v>125</v>
      </c>
      <c r="I574">
        <v>4</v>
      </c>
      <c r="J574" t="s">
        <v>386</v>
      </c>
      <c r="K574" t="s">
        <v>125</v>
      </c>
      <c r="L574" t="s">
        <v>1469</v>
      </c>
      <c r="T574" t="s">
        <v>154</v>
      </c>
      <c r="W574" t="s">
        <v>135</v>
      </c>
      <c r="AC574" t="s">
        <v>143</v>
      </c>
      <c r="AE574" t="s">
        <v>144</v>
      </c>
      <c r="AG574">
        <v>6</v>
      </c>
      <c r="AH574" t="s">
        <v>1470</v>
      </c>
      <c r="AI574" t="s">
        <v>205</v>
      </c>
      <c r="AJ574" t="s">
        <v>131</v>
      </c>
      <c r="AK574" t="s">
        <v>125</v>
      </c>
      <c r="AL574">
        <v>8</v>
      </c>
      <c r="AM574" t="s">
        <v>132</v>
      </c>
      <c r="AN574" t="s">
        <v>125</v>
      </c>
      <c r="AO574" t="s">
        <v>1471</v>
      </c>
      <c r="BZ574" t="s">
        <v>128</v>
      </c>
    </row>
    <row r="575" spans="1:78" hidden="1" x14ac:dyDescent="0.2">
      <c r="A575" t="s">
        <v>119</v>
      </c>
      <c r="B575" t="s">
        <v>120</v>
      </c>
      <c r="C575" t="s">
        <v>1463</v>
      </c>
      <c r="D575">
        <v>17</v>
      </c>
      <c r="E575" t="s">
        <v>1472</v>
      </c>
      <c r="F575" t="s">
        <v>146</v>
      </c>
      <c r="G575" t="s">
        <v>124</v>
      </c>
      <c r="H575" t="s">
        <v>125</v>
      </c>
      <c r="I575">
        <v>14</v>
      </c>
      <c r="J575" t="s">
        <v>161</v>
      </c>
      <c r="K575" t="s">
        <v>125</v>
      </c>
      <c r="L575" t="s">
        <v>1473</v>
      </c>
      <c r="AE575" t="s">
        <v>128</v>
      </c>
      <c r="AG575">
        <v>16</v>
      </c>
      <c r="AH575" t="s">
        <v>1264</v>
      </c>
      <c r="AI575" t="s">
        <v>130</v>
      </c>
      <c r="AJ575" t="s">
        <v>131</v>
      </c>
      <c r="AK575" t="s">
        <v>125</v>
      </c>
      <c r="AL575">
        <v>17</v>
      </c>
      <c r="AM575" t="s">
        <v>132</v>
      </c>
      <c r="AN575" t="s">
        <v>125</v>
      </c>
      <c r="AO575" t="s">
        <v>1474</v>
      </c>
      <c r="BP575" t="s">
        <v>149</v>
      </c>
      <c r="BR575" t="s">
        <v>135</v>
      </c>
      <c r="BS575">
        <v>3</v>
      </c>
      <c r="BX575" t="s">
        <v>209</v>
      </c>
      <c r="BZ575" t="s">
        <v>137</v>
      </c>
    </row>
    <row r="576" spans="1:78" hidden="1" x14ac:dyDescent="0.2">
      <c r="A576" t="s">
        <v>119</v>
      </c>
      <c r="B576" t="s">
        <v>120</v>
      </c>
      <c r="C576" t="s">
        <v>1463</v>
      </c>
      <c r="D576">
        <v>25</v>
      </c>
      <c r="E576" t="s">
        <v>1001</v>
      </c>
      <c r="F576" t="s">
        <v>1001</v>
      </c>
      <c r="G576" t="s">
        <v>124</v>
      </c>
      <c r="H576" t="s">
        <v>125</v>
      </c>
      <c r="I576">
        <v>17</v>
      </c>
      <c r="J576" t="s">
        <v>161</v>
      </c>
      <c r="K576" t="s">
        <v>125</v>
      </c>
      <c r="L576" t="s">
        <v>1475</v>
      </c>
      <c r="AE576" t="s">
        <v>128</v>
      </c>
      <c r="AG576">
        <v>24</v>
      </c>
      <c r="AH576" t="s">
        <v>1476</v>
      </c>
      <c r="AI576" t="s">
        <v>572</v>
      </c>
      <c r="AJ576" t="s">
        <v>131</v>
      </c>
      <c r="AK576" t="s">
        <v>125</v>
      </c>
      <c r="AL576">
        <v>25</v>
      </c>
      <c r="AM576" t="s">
        <v>132</v>
      </c>
      <c r="AN576" t="s">
        <v>125</v>
      </c>
      <c r="AO576" t="s">
        <v>1477</v>
      </c>
      <c r="BP576" t="s">
        <v>149</v>
      </c>
      <c r="BR576" t="s">
        <v>135</v>
      </c>
      <c r="BS576">
        <v>3</v>
      </c>
      <c r="BX576" t="s">
        <v>209</v>
      </c>
      <c r="BZ576" t="s">
        <v>137</v>
      </c>
    </row>
    <row r="577" spans="1:78" hidden="1" x14ac:dyDescent="0.2">
      <c r="A577" t="s">
        <v>119</v>
      </c>
      <c r="B577" t="s">
        <v>120</v>
      </c>
      <c r="C577" t="s">
        <v>1463</v>
      </c>
      <c r="D577">
        <v>28</v>
      </c>
      <c r="E577" t="s">
        <v>1478</v>
      </c>
      <c r="F577" t="s">
        <v>1478</v>
      </c>
      <c r="G577" t="s">
        <v>124</v>
      </c>
      <c r="H577" t="s">
        <v>125</v>
      </c>
      <c r="I577">
        <v>25</v>
      </c>
      <c r="J577" t="s">
        <v>161</v>
      </c>
      <c r="K577" t="s">
        <v>125</v>
      </c>
      <c r="L577" t="s">
        <v>1479</v>
      </c>
      <c r="AE577" t="s">
        <v>128</v>
      </c>
      <c r="AG577">
        <v>27</v>
      </c>
      <c r="AH577" t="s">
        <v>666</v>
      </c>
      <c r="AI577" t="s">
        <v>667</v>
      </c>
      <c r="AJ577" t="s">
        <v>131</v>
      </c>
      <c r="AK577" t="s">
        <v>125</v>
      </c>
      <c r="AL577">
        <v>28</v>
      </c>
      <c r="AM577" t="s">
        <v>132</v>
      </c>
      <c r="AN577" t="s">
        <v>125</v>
      </c>
      <c r="AO577" t="s">
        <v>1480</v>
      </c>
      <c r="BP577" t="s">
        <v>149</v>
      </c>
      <c r="BR577" t="s">
        <v>135</v>
      </c>
      <c r="BS577">
        <v>1</v>
      </c>
      <c r="BX577" t="s">
        <v>209</v>
      </c>
      <c r="BZ577" t="s">
        <v>137</v>
      </c>
    </row>
    <row r="578" spans="1:78" hidden="1" x14ac:dyDescent="0.2">
      <c r="A578" t="s">
        <v>119</v>
      </c>
      <c r="B578" t="s">
        <v>120</v>
      </c>
      <c r="C578" t="s">
        <v>1481</v>
      </c>
      <c r="D578">
        <v>6</v>
      </c>
      <c r="E578" t="s">
        <v>1482</v>
      </c>
      <c r="F578" t="s">
        <v>1483</v>
      </c>
      <c r="G578" t="s">
        <v>124</v>
      </c>
      <c r="H578" t="s">
        <v>125</v>
      </c>
      <c r="I578">
        <v>0</v>
      </c>
      <c r="J578" t="s">
        <v>126</v>
      </c>
      <c r="K578" t="s">
        <v>125</v>
      </c>
      <c r="L578" t="s">
        <v>1484</v>
      </c>
      <c r="T578" t="s">
        <v>154</v>
      </c>
      <c r="W578" t="s">
        <v>135</v>
      </c>
      <c r="AC578" t="s">
        <v>143</v>
      </c>
      <c r="AE578" t="s">
        <v>144</v>
      </c>
      <c r="AG578">
        <v>5</v>
      </c>
      <c r="AH578" t="s">
        <v>204</v>
      </c>
      <c r="AI578" t="s">
        <v>205</v>
      </c>
      <c r="AJ578" t="s">
        <v>131</v>
      </c>
      <c r="AK578" t="s">
        <v>125</v>
      </c>
      <c r="AL578">
        <v>6</v>
      </c>
      <c r="AM578" t="s">
        <v>132</v>
      </c>
      <c r="AN578" t="s">
        <v>125</v>
      </c>
      <c r="AO578" t="s">
        <v>1485</v>
      </c>
      <c r="BP578" t="s">
        <v>149</v>
      </c>
      <c r="BR578" t="s">
        <v>135</v>
      </c>
      <c r="BS578">
        <v>1</v>
      </c>
      <c r="BX578" t="s">
        <v>136</v>
      </c>
      <c r="BZ578" t="s">
        <v>137</v>
      </c>
    </row>
    <row r="579" spans="1:78" x14ac:dyDescent="0.2">
      <c r="A579" t="s">
        <v>119</v>
      </c>
      <c r="B579" t="s">
        <v>120</v>
      </c>
      <c r="C579" t="s">
        <v>1481</v>
      </c>
      <c r="D579">
        <v>8</v>
      </c>
      <c r="E579" t="s">
        <v>1486</v>
      </c>
      <c r="F579" t="s">
        <v>202</v>
      </c>
      <c r="G579" t="s">
        <v>124</v>
      </c>
      <c r="H579" t="s">
        <v>125</v>
      </c>
      <c r="I579">
        <v>6</v>
      </c>
      <c r="J579" t="s">
        <v>199</v>
      </c>
      <c r="K579" t="s">
        <v>125</v>
      </c>
      <c r="L579" t="s">
        <v>1487</v>
      </c>
      <c r="U579" t="s">
        <v>149</v>
      </c>
      <c r="W579" t="s">
        <v>135</v>
      </c>
      <c r="X579">
        <v>3</v>
      </c>
      <c r="AC579" t="s">
        <v>136</v>
      </c>
      <c r="AE579" t="s">
        <v>137</v>
      </c>
    </row>
    <row r="580" spans="1:78" hidden="1" x14ac:dyDescent="0.2">
      <c r="A580" t="s">
        <v>119</v>
      </c>
      <c r="B580" t="s">
        <v>120</v>
      </c>
      <c r="C580" t="s">
        <v>1481</v>
      </c>
      <c r="D580">
        <v>21</v>
      </c>
      <c r="E580" t="s">
        <v>1488</v>
      </c>
      <c r="F580" t="s">
        <v>1478</v>
      </c>
      <c r="G580" t="s">
        <v>124</v>
      </c>
      <c r="H580" t="s">
        <v>125</v>
      </c>
      <c r="I580">
        <v>6</v>
      </c>
      <c r="J580" t="s">
        <v>161</v>
      </c>
      <c r="K580" t="s">
        <v>125</v>
      </c>
      <c r="L580" t="s">
        <v>1489</v>
      </c>
      <c r="T580" t="s">
        <v>154</v>
      </c>
      <c r="W580" t="s">
        <v>135</v>
      </c>
      <c r="AC580" t="s">
        <v>143</v>
      </c>
      <c r="AE580" t="s">
        <v>144</v>
      </c>
      <c r="AG580">
        <v>19</v>
      </c>
      <c r="AH580" t="s">
        <v>421</v>
      </c>
      <c r="AI580" t="s">
        <v>205</v>
      </c>
      <c r="AJ580" t="s">
        <v>131</v>
      </c>
      <c r="AK580" t="s">
        <v>125</v>
      </c>
      <c r="AL580">
        <v>21</v>
      </c>
      <c r="AM580" t="s">
        <v>132</v>
      </c>
      <c r="AN580" t="s">
        <v>125</v>
      </c>
      <c r="AO580" t="s">
        <v>1490</v>
      </c>
      <c r="BP580" t="s">
        <v>149</v>
      </c>
      <c r="BR580" t="s">
        <v>135</v>
      </c>
      <c r="BS580">
        <v>1</v>
      </c>
      <c r="BX580" t="s">
        <v>209</v>
      </c>
      <c r="BZ580" t="s">
        <v>137</v>
      </c>
    </row>
    <row r="581" spans="1:78" hidden="1" x14ac:dyDescent="0.2">
      <c r="A581" t="s">
        <v>119</v>
      </c>
      <c r="B581" t="s">
        <v>120</v>
      </c>
      <c r="C581" t="s">
        <v>1491</v>
      </c>
      <c r="D581">
        <v>2</v>
      </c>
      <c r="E581" t="s">
        <v>1492</v>
      </c>
      <c r="F581" t="s">
        <v>632</v>
      </c>
      <c r="G581" t="s">
        <v>124</v>
      </c>
      <c r="H581" t="s">
        <v>125</v>
      </c>
      <c r="I581">
        <v>0</v>
      </c>
      <c r="J581" t="s">
        <v>126</v>
      </c>
      <c r="K581" t="s">
        <v>125</v>
      </c>
      <c r="L581" t="s">
        <v>1493</v>
      </c>
      <c r="U581" t="s">
        <v>149</v>
      </c>
      <c r="W581" t="s">
        <v>135</v>
      </c>
      <c r="X581">
        <v>3</v>
      </c>
      <c r="AC581" t="s">
        <v>209</v>
      </c>
      <c r="AE581" t="s">
        <v>137</v>
      </c>
    </row>
    <row r="582" spans="1:78" x14ac:dyDescent="0.2">
      <c r="A582" t="s">
        <v>119</v>
      </c>
      <c r="B582" t="s">
        <v>120</v>
      </c>
      <c r="C582" t="s">
        <v>1491</v>
      </c>
      <c r="D582">
        <v>8</v>
      </c>
      <c r="E582" t="s">
        <v>1494</v>
      </c>
      <c r="F582" t="s">
        <v>1495</v>
      </c>
      <c r="G582" t="s">
        <v>124</v>
      </c>
      <c r="H582" t="s">
        <v>125</v>
      </c>
      <c r="I582">
        <v>5</v>
      </c>
      <c r="J582" t="s">
        <v>170</v>
      </c>
      <c r="K582" t="s">
        <v>125</v>
      </c>
      <c r="L582" t="s">
        <v>1496</v>
      </c>
      <c r="U582" t="s">
        <v>149</v>
      </c>
      <c r="W582" t="s">
        <v>135</v>
      </c>
      <c r="X582">
        <v>1</v>
      </c>
      <c r="AC582" t="s">
        <v>136</v>
      </c>
      <c r="AE582" t="s">
        <v>137</v>
      </c>
    </row>
    <row r="583" spans="1:78" x14ac:dyDescent="0.2">
      <c r="A583" t="s">
        <v>119</v>
      </c>
      <c r="B583" t="s">
        <v>120</v>
      </c>
      <c r="C583" t="s">
        <v>1491</v>
      </c>
      <c r="D583">
        <v>13</v>
      </c>
      <c r="E583" t="s">
        <v>1497</v>
      </c>
      <c r="F583" t="s">
        <v>1498</v>
      </c>
      <c r="G583" t="s">
        <v>124</v>
      </c>
      <c r="H583" t="s">
        <v>125</v>
      </c>
      <c r="I583">
        <v>4</v>
      </c>
      <c r="J583" t="s">
        <v>161</v>
      </c>
      <c r="K583" t="s">
        <v>125</v>
      </c>
      <c r="L583" t="s">
        <v>1499</v>
      </c>
      <c r="U583" t="s">
        <v>149</v>
      </c>
      <c r="W583" t="s">
        <v>135</v>
      </c>
      <c r="X583">
        <v>3</v>
      </c>
      <c r="AC583" t="s">
        <v>136</v>
      </c>
      <c r="AE583" t="s">
        <v>137</v>
      </c>
    </row>
    <row r="584" spans="1:78" x14ac:dyDescent="0.2">
      <c r="A584" t="s">
        <v>119</v>
      </c>
      <c r="B584" t="s">
        <v>120</v>
      </c>
      <c r="C584" t="s">
        <v>1500</v>
      </c>
      <c r="D584">
        <v>4</v>
      </c>
      <c r="E584" t="s">
        <v>920</v>
      </c>
      <c r="F584" t="s">
        <v>194</v>
      </c>
      <c r="G584" t="s">
        <v>124</v>
      </c>
      <c r="H584" t="s">
        <v>125</v>
      </c>
      <c r="I584">
        <v>0</v>
      </c>
      <c r="J584" t="s">
        <v>126</v>
      </c>
      <c r="K584" t="s">
        <v>125</v>
      </c>
      <c r="L584" t="s">
        <v>408</v>
      </c>
      <c r="U584" t="s">
        <v>149</v>
      </c>
      <c r="W584" t="s">
        <v>135</v>
      </c>
      <c r="X584">
        <v>2</v>
      </c>
      <c r="AC584" t="s">
        <v>136</v>
      </c>
      <c r="AE584" t="s">
        <v>137</v>
      </c>
    </row>
    <row r="585" spans="1:78" hidden="1" x14ac:dyDescent="0.2">
      <c r="A585" t="s">
        <v>119</v>
      </c>
      <c r="B585" t="s">
        <v>120</v>
      </c>
      <c r="C585" t="s">
        <v>1500</v>
      </c>
      <c r="D585">
        <v>8</v>
      </c>
      <c r="E585" t="s">
        <v>1459</v>
      </c>
      <c r="F585" t="s">
        <v>1459</v>
      </c>
      <c r="G585" t="s">
        <v>124</v>
      </c>
      <c r="H585" t="s">
        <v>125</v>
      </c>
      <c r="I585">
        <v>4</v>
      </c>
      <c r="J585" t="s">
        <v>294</v>
      </c>
      <c r="K585" t="s">
        <v>125</v>
      </c>
      <c r="L585" t="s">
        <v>1501</v>
      </c>
      <c r="AE585" t="s">
        <v>128</v>
      </c>
    </row>
    <row r="586" spans="1:78" hidden="1" x14ac:dyDescent="0.2">
      <c r="A586" t="s">
        <v>119</v>
      </c>
      <c r="B586" t="s">
        <v>120</v>
      </c>
      <c r="C586" t="s">
        <v>1502</v>
      </c>
      <c r="D586">
        <v>5</v>
      </c>
      <c r="E586" t="s">
        <v>146</v>
      </c>
      <c r="F586" t="s">
        <v>146</v>
      </c>
      <c r="G586" t="s">
        <v>124</v>
      </c>
      <c r="H586" t="s">
        <v>125</v>
      </c>
      <c r="I586">
        <v>0</v>
      </c>
      <c r="J586" t="s">
        <v>126</v>
      </c>
      <c r="K586" t="s">
        <v>125</v>
      </c>
      <c r="L586" t="s">
        <v>1503</v>
      </c>
      <c r="AE586" t="s">
        <v>128</v>
      </c>
      <c r="AG586">
        <v>4</v>
      </c>
      <c r="AH586" t="s">
        <v>1504</v>
      </c>
      <c r="AI586" t="s">
        <v>130</v>
      </c>
      <c r="AJ586" t="s">
        <v>131</v>
      </c>
      <c r="AK586" t="s">
        <v>125</v>
      </c>
      <c r="AL586">
        <v>5</v>
      </c>
      <c r="AM586" t="s">
        <v>132</v>
      </c>
      <c r="AN586" t="s">
        <v>125</v>
      </c>
      <c r="AO586" t="s">
        <v>1505</v>
      </c>
      <c r="BP586" t="s">
        <v>149</v>
      </c>
      <c r="BR586" t="s">
        <v>155</v>
      </c>
      <c r="BS586">
        <v>3</v>
      </c>
      <c r="BX586" t="s">
        <v>136</v>
      </c>
      <c r="BZ586" t="s">
        <v>137</v>
      </c>
    </row>
    <row r="587" spans="1:78" x14ac:dyDescent="0.2">
      <c r="A587" t="s">
        <v>119</v>
      </c>
      <c r="B587" t="s">
        <v>120</v>
      </c>
      <c r="C587" t="s">
        <v>1506</v>
      </c>
      <c r="D587">
        <v>4</v>
      </c>
      <c r="E587" t="s">
        <v>591</v>
      </c>
      <c r="F587" t="s">
        <v>592</v>
      </c>
      <c r="G587" t="s">
        <v>124</v>
      </c>
      <c r="H587" t="s">
        <v>125</v>
      </c>
      <c r="I587">
        <v>2</v>
      </c>
      <c r="J587" t="s">
        <v>170</v>
      </c>
      <c r="K587" t="s">
        <v>125</v>
      </c>
      <c r="L587" t="s">
        <v>1507</v>
      </c>
      <c r="U587" t="s">
        <v>149</v>
      </c>
      <c r="W587" t="s">
        <v>135</v>
      </c>
      <c r="X587">
        <v>3</v>
      </c>
      <c r="AC587" t="s">
        <v>136</v>
      </c>
      <c r="AE587" t="s">
        <v>137</v>
      </c>
    </row>
    <row r="588" spans="1:78" hidden="1" x14ac:dyDescent="0.2">
      <c r="A588" t="s">
        <v>119</v>
      </c>
      <c r="B588" t="s">
        <v>120</v>
      </c>
      <c r="C588" t="s">
        <v>1508</v>
      </c>
      <c r="D588">
        <v>6</v>
      </c>
      <c r="E588" t="s">
        <v>1488</v>
      </c>
      <c r="F588" t="s">
        <v>1478</v>
      </c>
      <c r="G588" t="s">
        <v>124</v>
      </c>
      <c r="H588" t="s">
        <v>125</v>
      </c>
      <c r="I588">
        <v>0</v>
      </c>
      <c r="J588" t="s">
        <v>126</v>
      </c>
      <c r="K588" t="s">
        <v>125</v>
      </c>
      <c r="L588" t="s">
        <v>1509</v>
      </c>
      <c r="T588" t="s">
        <v>154</v>
      </c>
      <c r="W588" t="s">
        <v>135</v>
      </c>
      <c r="AC588" t="s">
        <v>143</v>
      </c>
      <c r="AE588" t="s">
        <v>144</v>
      </c>
      <c r="AG588">
        <v>5</v>
      </c>
      <c r="AH588" t="s">
        <v>204</v>
      </c>
      <c r="AI588" t="s">
        <v>205</v>
      </c>
      <c r="AJ588" t="s">
        <v>131</v>
      </c>
      <c r="AK588" t="s">
        <v>125</v>
      </c>
      <c r="AL588">
        <v>6</v>
      </c>
      <c r="AM588" t="s">
        <v>132</v>
      </c>
      <c r="AN588" t="s">
        <v>125</v>
      </c>
      <c r="AO588" t="s">
        <v>1510</v>
      </c>
      <c r="BP588" t="s">
        <v>149</v>
      </c>
      <c r="BR588" t="s">
        <v>135</v>
      </c>
      <c r="BS588">
        <v>1</v>
      </c>
      <c r="BX588" t="s">
        <v>136</v>
      </c>
      <c r="BZ588" t="s">
        <v>137</v>
      </c>
    </row>
    <row r="589" spans="1:78" hidden="1" x14ac:dyDescent="0.2">
      <c r="A589" t="s">
        <v>119</v>
      </c>
      <c r="B589" t="s">
        <v>120</v>
      </c>
      <c r="C589" t="s">
        <v>1511</v>
      </c>
      <c r="D589">
        <v>4</v>
      </c>
      <c r="E589" t="s">
        <v>140</v>
      </c>
      <c r="F589" t="s">
        <v>140</v>
      </c>
      <c r="G589" t="s">
        <v>124</v>
      </c>
      <c r="H589" t="s">
        <v>125</v>
      </c>
      <c r="I589">
        <v>0</v>
      </c>
      <c r="J589" t="s">
        <v>126</v>
      </c>
      <c r="K589" t="s">
        <v>125</v>
      </c>
      <c r="L589" t="s">
        <v>1512</v>
      </c>
      <c r="AE589" t="s">
        <v>128</v>
      </c>
      <c r="AG589">
        <v>3</v>
      </c>
      <c r="AH589" t="s">
        <v>375</v>
      </c>
      <c r="AI589" t="s">
        <v>130</v>
      </c>
      <c r="AJ589" t="s">
        <v>131</v>
      </c>
      <c r="AK589" t="s">
        <v>125</v>
      </c>
      <c r="AL589">
        <v>4</v>
      </c>
      <c r="AM589" t="s">
        <v>132</v>
      </c>
      <c r="AN589" t="s">
        <v>125</v>
      </c>
      <c r="AO589" t="s">
        <v>1513</v>
      </c>
      <c r="BP589" t="s">
        <v>149</v>
      </c>
      <c r="BR589" t="s">
        <v>135</v>
      </c>
      <c r="BS589">
        <v>2</v>
      </c>
      <c r="BX589" t="s">
        <v>136</v>
      </c>
      <c r="BZ589" t="s">
        <v>137</v>
      </c>
    </row>
    <row r="590" spans="1:78" hidden="1" x14ac:dyDescent="0.2">
      <c r="A590" t="s">
        <v>119</v>
      </c>
      <c r="B590" t="s">
        <v>120</v>
      </c>
      <c r="C590" t="s">
        <v>1511</v>
      </c>
      <c r="D590">
        <v>8</v>
      </c>
      <c r="E590" t="s">
        <v>861</v>
      </c>
      <c r="F590" t="s">
        <v>140</v>
      </c>
      <c r="G590" t="s">
        <v>124</v>
      </c>
      <c r="H590" t="s">
        <v>125</v>
      </c>
      <c r="I590">
        <v>4</v>
      </c>
      <c r="J590" t="s">
        <v>161</v>
      </c>
      <c r="K590" t="s">
        <v>125</v>
      </c>
      <c r="L590" t="s">
        <v>1514</v>
      </c>
      <c r="AE590" t="s">
        <v>128</v>
      </c>
      <c r="AG590">
        <v>7</v>
      </c>
      <c r="AH590" t="s">
        <v>1515</v>
      </c>
      <c r="AI590" t="s">
        <v>572</v>
      </c>
      <c r="AJ590" t="s">
        <v>131</v>
      </c>
      <c r="AK590" t="s">
        <v>125</v>
      </c>
      <c r="AL590">
        <v>8</v>
      </c>
      <c r="AM590" t="s">
        <v>132</v>
      </c>
      <c r="AN590" t="s">
        <v>125</v>
      </c>
      <c r="AO590" t="s">
        <v>1516</v>
      </c>
      <c r="BP590" t="s">
        <v>149</v>
      </c>
      <c r="BR590" t="s">
        <v>135</v>
      </c>
      <c r="BS590">
        <v>2</v>
      </c>
      <c r="BX590" t="s">
        <v>136</v>
      </c>
      <c r="BZ590" t="s">
        <v>137</v>
      </c>
    </row>
    <row r="591" spans="1:78" hidden="1" x14ac:dyDescent="0.2">
      <c r="A591" t="s">
        <v>119</v>
      </c>
      <c r="B591" t="s">
        <v>120</v>
      </c>
      <c r="C591" t="s">
        <v>1517</v>
      </c>
      <c r="D591">
        <v>2</v>
      </c>
      <c r="E591" t="s">
        <v>283</v>
      </c>
      <c r="F591" t="s">
        <v>283</v>
      </c>
      <c r="G591" t="s">
        <v>124</v>
      </c>
      <c r="H591" t="s">
        <v>125</v>
      </c>
      <c r="I591">
        <v>0</v>
      </c>
      <c r="J591" t="s">
        <v>126</v>
      </c>
      <c r="K591" t="s">
        <v>125</v>
      </c>
      <c r="L591" t="s">
        <v>1518</v>
      </c>
      <c r="AE591" t="s">
        <v>128</v>
      </c>
      <c r="AG591">
        <v>1</v>
      </c>
      <c r="AH591" t="s">
        <v>1519</v>
      </c>
      <c r="AI591" t="s">
        <v>667</v>
      </c>
      <c r="AJ591" t="s">
        <v>131</v>
      </c>
      <c r="AK591" t="s">
        <v>125</v>
      </c>
      <c r="AL591">
        <v>2</v>
      </c>
      <c r="AM591" t="s">
        <v>132</v>
      </c>
      <c r="AN591" t="s">
        <v>125</v>
      </c>
      <c r="AO591" t="s">
        <v>1520</v>
      </c>
      <c r="BP591" t="s">
        <v>149</v>
      </c>
      <c r="BR591" t="s">
        <v>155</v>
      </c>
      <c r="BS591">
        <v>2</v>
      </c>
      <c r="BX591" t="s">
        <v>136</v>
      </c>
      <c r="BZ591" t="s">
        <v>137</v>
      </c>
    </row>
    <row r="592" spans="1:78" x14ac:dyDescent="0.2">
      <c r="A592" t="s">
        <v>119</v>
      </c>
      <c r="B592" t="s">
        <v>120</v>
      </c>
      <c r="C592" t="s">
        <v>1521</v>
      </c>
      <c r="D592">
        <v>2</v>
      </c>
      <c r="E592" t="s">
        <v>1412</v>
      </c>
      <c r="F592" t="s">
        <v>140</v>
      </c>
      <c r="G592" t="s">
        <v>124</v>
      </c>
      <c r="H592" t="s">
        <v>125</v>
      </c>
      <c r="I592">
        <v>0</v>
      </c>
      <c r="J592" t="s">
        <v>126</v>
      </c>
      <c r="K592" t="s">
        <v>125</v>
      </c>
      <c r="L592" t="s">
        <v>1522</v>
      </c>
      <c r="U592" t="s">
        <v>149</v>
      </c>
      <c r="W592" t="s">
        <v>135</v>
      </c>
      <c r="X592">
        <v>2</v>
      </c>
      <c r="AC592" t="s">
        <v>136</v>
      </c>
      <c r="AE592" t="s">
        <v>137</v>
      </c>
    </row>
    <row r="593" spans="1:78" hidden="1" x14ac:dyDescent="0.2">
      <c r="A593" t="s">
        <v>119</v>
      </c>
      <c r="B593" t="s">
        <v>120</v>
      </c>
      <c r="C593" t="s">
        <v>1523</v>
      </c>
      <c r="D593">
        <v>1</v>
      </c>
      <c r="E593" t="s">
        <v>123</v>
      </c>
      <c r="F593" t="s">
        <v>123</v>
      </c>
      <c r="G593" t="s">
        <v>124</v>
      </c>
      <c r="H593" t="s">
        <v>125</v>
      </c>
      <c r="I593">
        <v>8</v>
      </c>
      <c r="J593" t="s">
        <v>367</v>
      </c>
      <c r="K593" t="s">
        <v>125</v>
      </c>
      <c r="L593" t="s">
        <v>1524</v>
      </c>
      <c r="AE593" t="s">
        <v>128</v>
      </c>
    </row>
    <row r="594" spans="1:78" hidden="1" x14ac:dyDescent="0.2">
      <c r="A594" t="s">
        <v>119</v>
      </c>
      <c r="B594" t="s">
        <v>120</v>
      </c>
      <c r="C594" t="s">
        <v>1523</v>
      </c>
      <c r="D594">
        <v>18</v>
      </c>
      <c r="E594" t="s">
        <v>261</v>
      </c>
      <c r="F594" t="s">
        <v>261</v>
      </c>
      <c r="G594" t="s">
        <v>124</v>
      </c>
      <c r="H594" t="s">
        <v>125</v>
      </c>
      <c r="I594">
        <v>15</v>
      </c>
      <c r="J594" t="s">
        <v>182</v>
      </c>
      <c r="K594" t="s">
        <v>125</v>
      </c>
      <c r="L594" t="s">
        <v>1525</v>
      </c>
      <c r="AE594" t="s">
        <v>128</v>
      </c>
      <c r="AG594">
        <v>17</v>
      </c>
      <c r="AH594" t="s">
        <v>1526</v>
      </c>
      <c r="AI594" t="s">
        <v>667</v>
      </c>
      <c r="AJ594" t="s">
        <v>131</v>
      </c>
      <c r="AK594" t="s">
        <v>125</v>
      </c>
      <c r="AL594">
        <v>18</v>
      </c>
      <c r="AM594" t="s">
        <v>132</v>
      </c>
      <c r="AN594" t="s">
        <v>125</v>
      </c>
      <c r="AO594" t="s">
        <v>1527</v>
      </c>
      <c r="BP594" t="s">
        <v>149</v>
      </c>
      <c r="BR594" t="s">
        <v>135</v>
      </c>
      <c r="BS594">
        <v>1</v>
      </c>
      <c r="BX594" t="s">
        <v>136</v>
      </c>
      <c r="BZ594" t="s">
        <v>137</v>
      </c>
    </row>
    <row r="595" spans="1:78" x14ac:dyDescent="0.2">
      <c r="A595" t="s">
        <v>119</v>
      </c>
      <c r="B595" t="s">
        <v>120</v>
      </c>
      <c r="C595" t="s">
        <v>1528</v>
      </c>
      <c r="D595">
        <v>3</v>
      </c>
      <c r="E595" t="s">
        <v>145</v>
      </c>
      <c r="F595" t="s">
        <v>146</v>
      </c>
      <c r="G595" t="s">
        <v>124</v>
      </c>
      <c r="H595" t="s">
        <v>125</v>
      </c>
      <c r="I595">
        <v>0</v>
      </c>
      <c r="J595" t="s">
        <v>126</v>
      </c>
      <c r="K595" t="s">
        <v>125</v>
      </c>
      <c r="L595" t="s">
        <v>1529</v>
      </c>
      <c r="U595" t="s">
        <v>149</v>
      </c>
      <c r="W595" t="s">
        <v>135</v>
      </c>
      <c r="X595">
        <v>3</v>
      </c>
      <c r="AC595" t="s">
        <v>136</v>
      </c>
      <c r="AE595" t="s">
        <v>137</v>
      </c>
    </row>
    <row r="596" spans="1:78" x14ac:dyDescent="0.2">
      <c r="A596" t="s">
        <v>119</v>
      </c>
      <c r="B596" t="s">
        <v>120</v>
      </c>
      <c r="C596" t="s">
        <v>1528</v>
      </c>
      <c r="D596">
        <v>7</v>
      </c>
      <c r="E596" t="s">
        <v>1530</v>
      </c>
      <c r="F596" t="s">
        <v>1465</v>
      </c>
      <c r="G596" t="s">
        <v>124</v>
      </c>
      <c r="H596" t="s">
        <v>125</v>
      </c>
      <c r="I596">
        <v>4</v>
      </c>
      <c r="J596" t="s">
        <v>386</v>
      </c>
      <c r="K596" t="s">
        <v>125</v>
      </c>
      <c r="L596" t="s">
        <v>1531</v>
      </c>
      <c r="U596" t="s">
        <v>149</v>
      </c>
      <c r="W596" t="s">
        <v>135</v>
      </c>
      <c r="X596">
        <v>3</v>
      </c>
      <c r="AC596" t="s">
        <v>136</v>
      </c>
      <c r="AE596" t="s">
        <v>137</v>
      </c>
    </row>
    <row r="597" spans="1:78" x14ac:dyDescent="0.2">
      <c r="A597" t="s">
        <v>119</v>
      </c>
      <c r="B597" t="s">
        <v>120</v>
      </c>
      <c r="C597" t="s">
        <v>1528</v>
      </c>
      <c r="D597">
        <v>10</v>
      </c>
      <c r="E597" t="s">
        <v>1532</v>
      </c>
      <c r="F597" t="s">
        <v>1533</v>
      </c>
      <c r="G597" t="s">
        <v>124</v>
      </c>
      <c r="H597" t="s">
        <v>125</v>
      </c>
      <c r="I597">
        <v>7</v>
      </c>
      <c r="J597" t="s">
        <v>161</v>
      </c>
      <c r="K597" t="s">
        <v>125</v>
      </c>
      <c r="L597" t="s">
        <v>1534</v>
      </c>
      <c r="U597" t="s">
        <v>149</v>
      </c>
      <c r="W597" t="s">
        <v>135</v>
      </c>
      <c r="X597">
        <v>3</v>
      </c>
      <c r="AC597" t="s">
        <v>136</v>
      </c>
      <c r="AE597" t="s">
        <v>137</v>
      </c>
    </row>
    <row r="598" spans="1:78" x14ac:dyDescent="0.2">
      <c r="A598" t="s">
        <v>119</v>
      </c>
      <c r="B598" t="s">
        <v>120</v>
      </c>
      <c r="C598" t="s">
        <v>1528</v>
      </c>
      <c r="D598">
        <v>15</v>
      </c>
      <c r="E598" t="s">
        <v>1486</v>
      </c>
      <c r="F598" t="s">
        <v>202</v>
      </c>
      <c r="G598" t="s">
        <v>124</v>
      </c>
      <c r="H598" t="s">
        <v>125</v>
      </c>
      <c r="I598">
        <v>10</v>
      </c>
      <c r="J598" t="s">
        <v>161</v>
      </c>
      <c r="K598" t="s">
        <v>125</v>
      </c>
      <c r="L598" t="s">
        <v>1535</v>
      </c>
      <c r="U598" t="s">
        <v>149</v>
      </c>
      <c r="W598" t="s">
        <v>135</v>
      </c>
      <c r="X598">
        <v>3</v>
      </c>
      <c r="AC598" t="s">
        <v>136</v>
      </c>
      <c r="AE598" t="s">
        <v>137</v>
      </c>
    </row>
    <row r="599" spans="1:78" x14ac:dyDescent="0.2">
      <c r="A599" t="s">
        <v>119</v>
      </c>
      <c r="B599" t="s">
        <v>120</v>
      </c>
      <c r="C599" t="s">
        <v>1536</v>
      </c>
      <c r="D599">
        <v>3</v>
      </c>
      <c r="E599" t="s">
        <v>1537</v>
      </c>
      <c r="F599" t="s">
        <v>1538</v>
      </c>
      <c r="G599" t="s">
        <v>124</v>
      </c>
      <c r="H599" t="s">
        <v>125</v>
      </c>
      <c r="I599">
        <v>0</v>
      </c>
      <c r="J599" t="s">
        <v>126</v>
      </c>
      <c r="K599" t="s">
        <v>125</v>
      </c>
      <c r="L599" t="s">
        <v>1539</v>
      </c>
      <c r="U599" t="s">
        <v>209</v>
      </c>
      <c r="W599" t="s">
        <v>135</v>
      </c>
      <c r="X599">
        <v>2</v>
      </c>
      <c r="AC599" t="s">
        <v>136</v>
      </c>
      <c r="AE599" t="s">
        <v>137</v>
      </c>
    </row>
    <row r="600" spans="1:78" x14ac:dyDescent="0.2">
      <c r="A600" t="s">
        <v>119</v>
      </c>
      <c r="B600" t="s">
        <v>120</v>
      </c>
      <c r="C600" t="s">
        <v>1536</v>
      </c>
      <c r="D600">
        <v>7</v>
      </c>
      <c r="E600" t="s">
        <v>1486</v>
      </c>
      <c r="F600" t="s">
        <v>202</v>
      </c>
      <c r="G600" t="s">
        <v>124</v>
      </c>
      <c r="H600" t="s">
        <v>125</v>
      </c>
      <c r="I600">
        <v>11</v>
      </c>
      <c r="J600" t="s">
        <v>210</v>
      </c>
      <c r="K600" t="s">
        <v>125</v>
      </c>
      <c r="L600" t="s">
        <v>1540</v>
      </c>
      <c r="U600" t="s">
        <v>149</v>
      </c>
      <c r="W600" t="s">
        <v>135</v>
      </c>
      <c r="X600">
        <v>3</v>
      </c>
      <c r="AC600" t="s">
        <v>136</v>
      </c>
      <c r="AE600" t="s">
        <v>137</v>
      </c>
    </row>
    <row r="601" spans="1:78" x14ac:dyDescent="0.2">
      <c r="A601" t="s">
        <v>119</v>
      </c>
      <c r="B601" t="s">
        <v>120</v>
      </c>
      <c r="C601" t="s">
        <v>1536</v>
      </c>
      <c r="D601">
        <v>11</v>
      </c>
      <c r="E601" t="s">
        <v>472</v>
      </c>
      <c r="F601" t="s">
        <v>202</v>
      </c>
      <c r="G601" t="s">
        <v>124</v>
      </c>
      <c r="H601" t="s">
        <v>125</v>
      </c>
      <c r="I601">
        <v>3</v>
      </c>
      <c r="J601" t="s">
        <v>161</v>
      </c>
      <c r="K601" t="s">
        <v>125</v>
      </c>
      <c r="L601" t="s">
        <v>1541</v>
      </c>
      <c r="U601" t="s">
        <v>209</v>
      </c>
      <c r="W601" t="s">
        <v>135</v>
      </c>
      <c r="X601">
        <v>2</v>
      </c>
      <c r="AC601" t="s">
        <v>136</v>
      </c>
      <c r="AE601" t="s">
        <v>137</v>
      </c>
    </row>
    <row r="602" spans="1:78" x14ac:dyDescent="0.2">
      <c r="A602" t="s">
        <v>119</v>
      </c>
      <c r="B602" t="s">
        <v>120</v>
      </c>
      <c r="C602" t="s">
        <v>1536</v>
      </c>
      <c r="D602">
        <v>17</v>
      </c>
      <c r="E602" t="s">
        <v>197</v>
      </c>
      <c r="F602" t="s">
        <v>198</v>
      </c>
      <c r="G602" t="s">
        <v>124</v>
      </c>
      <c r="H602" t="s">
        <v>125</v>
      </c>
      <c r="I602">
        <v>11</v>
      </c>
      <c r="J602" t="s">
        <v>199</v>
      </c>
      <c r="K602" t="s">
        <v>125</v>
      </c>
      <c r="L602" t="s">
        <v>1542</v>
      </c>
      <c r="U602" t="s">
        <v>149</v>
      </c>
      <c r="W602" t="s">
        <v>135</v>
      </c>
      <c r="X602">
        <v>1</v>
      </c>
      <c r="AC602" t="s">
        <v>136</v>
      </c>
      <c r="AE602" t="s">
        <v>137</v>
      </c>
      <c r="AG602">
        <v>19</v>
      </c>
      <c r="AH602" t="s">
        <v>496</v>
      </c>
      <c r="AI602" t="s">
        <v>205</v>
      </c>
      <c r="AJ602" t="s">
        <v>131</v>
      </c>
      <c r="AK602" t="s">
        <v>125</v>
      </c>
      <c r="AL602">
        <v>17</v>
      </c>
      <c r="AM602" t="s">
        <v>268</v>
      </c>
      <c r="AN602" t="s">
        <v>125</v>
      </c>
      <c r="AO602" t="s">
        <v>1543</v>
      </c>
      <c r="BP602" t="s">
        <v>149</v>
      </c>
      <c r="BR602" t="s">
        <v>135</v>
      </c>
      <c r="BS602">
        <v>2</v>
      </c>
      <c r="BX602" t="s">
        <v>136</v>
      </c>
      <c r="BZ602" t="s">
        <v>137</v>
      </c>
    </row>
    <row r="603" spans="1:78" x14ac:dyDescent="0.2">
      <c r="A603" t="s">
        <v>119</v>
      </c>
      <c r="B603" t="s">
        <v>120</v>
      </c>
      <c r="C603" t="s">
        <v>1536</v>
      </c>
      <c r="D603">
        <v>24</v>
      </c>
      <c r="E603" t="s">
        <v>160</v>
      </c>
      <c r="F603" t="s">
        <v>146</v>
      </c>
      <c r="G603" t="s">
        <v>124</v>
      </c>
      <c r="H603" t="s">
        <v>125</v>
      </c>
      <c r="I603">
        <v>11</v>
      </c>
      <c r="J603" t="s">
        <v>161</v>
      </c>
      <c r="K603" t="s">
        <v>125</v>
      </c>
      <c r="L603" t="s">
        <v>500</v>
      </c>
      <c r="U603" t="s">
        <v>149</v>
      </c>
      <c r="W603" t="s">
        <v>155</v>
      </c>
      <c r="X603">
        <v>3</v>
      </c>
      <c r="AC603" t="s">
        <v>136</v>
      </c>
      <c r="AE603" t="s">
        <v>137</v>
      </c>
    </row>
    <row r="604" spans="1:78" x14ac:dyDescent="0.2">
      <c r="A604" t="s">
        <v>119</v>
      </c>
      <c r="B604" t="s">
        <v>120</v>
      </c>
      <c r="C604" t="s">
        <v>1536</v>
      </c>
      <c r="D604">
        <v>30</v>
      </c>
      <c r="E604" t="s">
        <v>1544</v>
      </c>
      <c r="F604" t="s">
        <v>569</v>
      </c>
      <c r="G604" t="s">
        <v>124</v>
      </c>
      <c r="H604" t="s">
        <v>125</v>
      </c>
      <c r="I604">
        <v>27</v>
      </c>
      <c r="J604" t="s">
        <v>170</v>
      </c>
      <c r="K604" t="s">
        <v>125</v>
      </c>
      <c r="L604" t="s">
        <v>1545</v>
      </c>
      <c r="U604" t="s">
        <v>209</v>
      </c>
      <c r="W604" t="s">
        <v>135</v>
      </c>
      <c r="X604">
        <v>3</v>
      </c>
      <c r="AC604" t="s">
        <v>136</v>
      </c>
      <c r="AE604" t="s">
        <v>137</v>
      </c>
    </row>
    <row r="605" spans="1:78" hidden="1" x14ac:dyDescent="0.2">
      <c r="A605" t="s">
        <v>119</v>
      </c>
      <c r="B605" t="s">
        <v>120</v>
      </c>
      <c r="C605" t="s">
        <v>1536</v>
      </c>
      <c r="D605">
        <v>32</v>
      </c>
      <c r="E605" t="s">
        <v>1546</v>
      </c>
      <c r="F605" t="s">
        <v>1546</v>
      </c>
      <c r="G605" t="s">
        <v>124</v>
      </c>
      <c r="H605" t="s">
        <v>125</v>
      </c>
      <c r="I605">
        <v>30</v>
      </c>
      <c r="J605" t="s">
        <v>294</v>
      </c>
      <c r="K605" t="s">
        <v>125</v>
      </c>
      <c r="L605" t="s">
        <v>1547</v>
      </c>
      <c r="AE605" t="s">
        <v>128</v>
      </c>
    </row>
    <row r="606" spans="1:78" hidden="1" x14ac:dyDescent="0.2">
      <c r="A606" t="s">
        <v>119</v>
      </c>
      <c r="B606" t="s">
        <v>120</v>
      </c>
      <c r="C606" t="s">
        <v>1536</v>
      </c>
      <c r="D606">
        <v>35</v>
      </c>
      <c r="E606" t="s">
        <v>1548</v>
      </c>
      <c r="F606" t="s">
        <v>1399</v>
      </c>
      <c r="G606" t="s">
        <v>124</v>
      </c>
      <c r="H606" t="s">
        <v>125</v>
      </c>
      <c r="I606">
        <v>34</v>
      </c>
      <c r="J606" t="s">
        <v>386</v>
      </c>
      <c r="K606" t="s">
        <v>125</v>
      </c>
      <c r="L606" t="s">
        <v>1549</v>
      </c>
      <c r="T606" t="s">
        <v>154</v>
      </c>
      <c r="W606" t="s">
        <v>135</v>
      </c>
      <c r="AC606" t="s">
        <v>143</v>
      </c>
      <c r="AE606" t="s">
        <v>144</v>
      </c>
    </row>
    <row r="607" spans="1:78" x14ac:dyDescent="0.2">
      <c r="A607" t="s">
        <v>119</v>
      </c>
      <c r="B607" t="s">
        <v>120</v>
      </c>
      <c r="C607" t="s">
        <v>1536</v>
      </c>
      <c r="D607">
        <v>42</v>
      </c>
      <c r="E607" t="s">
        <v>1550</v>
      </c>
      <c r="F607" t="s">
        <v>1551</v>
      </c>
      <c r="G607" t="s">
        <v>124</v>
      </c>
      <c r="H607" t="s">
        <v>125</v>
      </c>
      <c r="I607">
        <v>32</v>
      </c>
      <c r="J607" t="s">
        <v>161</v>
      </c>
      <c r="K607" t="s">
        <v>125</v>
      </c>
      <c r="L607" t="s">
        <v>1552</v>
      </c>
      <c r="U607" t="s">
        <v>149</v>
      </c>
      <c r="W607" t="s">
        <v>135</v>
      </c>
      <c r="X607">
        <v>3</v>
      </c>
      <c r="AC607" t="s">
        <v>136</v>
      </c>
      <c r="AE607" t="s">
        <v>137</v>
      </c>
    </row>
    <row r="608" spans="1:78" hidden="1" x14ac:dyDescent="0.2">
      <c r="A608" t="s">
        <v>119</v>
      </c>
      <c r="B608" t="s">
        <v>120</v>
      </c>
      <c r="C608" t="s">
        <v>1553</v>
      </c>
      <c r="D608">
        <v>8</v>
      </c>
      <c r="E608" t="s">
        <v>407</v>
      </c>
      <c r="F608" t="s">
        <v>140</v>
      </c>
      <c r="G608" t="s">
        <v>124</v>
      </c>
      <c r="H608" t="s">
        <v>125</v>
      </c>
      <c r="I608">
        <v>5</v>
      </c>
      <c r="J608" t="s">
        <v>170</v>
      </c>
      <c r="K608" t="s">
        <v>125</v>
      </c>
      <c r="L608" t="s">
        <v>510</v>
      </c>
      <c r="T608" t="s">
        <v>154</v>
      </c>
      <c r="W608" t="s">
        <v>135</v>
      </c>
      <c r="AC608" t="s">
        <v>143</v>
      </c>
      <c r="AE608" t="s">
        <v>144</v>
      </c>
      <c r="AG608">
        <v>7</v>
      </c>
      <c r="AH608" t="s">
        <v>204</v>
      </c>
      <c r="AI608" t="s">
        <v>205</v>
      </c>
      <c r="AJ608" t="s">
        <v>131</v>
      </c>
      <c r="AK608" t="s">
        <v>125</v>
      </c>
      <c r="AL608">
        <v>8</v>
      </c>
      <c r="AM608" t="s">
        <v>132</v>
      </c>
      <c r="AN608" t="s">
        <v>125</v>
      </c>
      <c r="AO608" t="s">
        <v>1554</v>
      </c>
      <c r="BP608" t="s">
        <v>149</v>
      </c>
      <c r="BR608" t="s">
        <v>135</v>
      </c>
      <c r="BS608">
        <v>1</v>
      </c>
      <c r="BX608" t="s">
        <v>136</v>
      </c>
      <c r="BZ608" t="s">
        <v>137</v>
      </c>
    </row>
    <row r="609" spans="1:78" hidden="1" x14ac:dyDescent="0.2">
      <c r="A609" t="s">
        <v>119</v>
      </c>
      <c r="B609" t="s">
        <v>120</v>
      </c>
      <c r="C609" t="s">
        <v>1553</v>
      </c>
      <c r="D609">
        <v>13</v>
      </c>
      <c r="E609" t="s">
        <v>1555</v>
      </c>
      <c r="F609" t="s">
        <v>1555</v>
      </c>
      <c r="G609" t="s">
        <v>124</v>
      </c>
      <c r="H609" t="s">
        <v>125</v>
      </c>
      <c r="I609">
        <v>10</v>
      </c>
      <c r="J609" t="s">
        <v>264</v>
      </c>
      <c r="K609" t="s">
        <v>125</v>
      </c>
      <c r="L609" t="s">
        <v>1556</v>
      </c>
      <c r="AE609" t="s">
        <v>128</v>
      </c>
      <c r="AG609">
        <v>12</v>
      </c>
      <c r="AH609" t="s">
        <v>1339</v>
      </c>
      <c r="AI609" t="s">
        <v>130</v>
      </c>
      <c r="AJ609" t="s">
        <v>131</v>
      </c>
      <c r="AK609" t="s">
        <v>125</v>
      </c>
      <c r="AL609">
        <v>13</v>
      </c>
      <c r="AM609" t="s">
        <v>132</v>
      </c>
      <c r="AN609" t="s">
        <v>125</v>
      </c>
      <c r="AO609" t="s">
        <v>1557</v>
      </c>
      <c r="BP609" t="s">
        <v>149</v>
      </c>
      <c r="BR609" t="s">
        <v>135</v>
      </c>
      <c r="BS609">
        <v>1</v>
      </c>
      <c r="BX609" t="s">
        <v>136</v>
      </c>
      <c r="BZ609" t="s">
        <v>137</v>
      </c>
    </row>
    <row r="610" spans="1:78" x14ac:dyDescent="0.2">
      <c r="A610" t="s">
        <v>119</v>
      </c>
      <c r="B610" t="s">
        <v>120</v>
      </c>
      <c r="C610" t="s">
        <v>1553</v>
      </c>
      <c r="D610">
        <v>18</v>
      </c>
      <c r="E610" t="s">
        <v>1558</v>
      </c>
      <c r="F610" t="s">
        <v>123</v>
      </c>
      <c r="G610" t="s">
        <v>124</v>
      </c>
      <c r="H610" t="s">
        <v>125</v>
      </c>
      <c r="I610">
        <v>21</v>
      </c>
      <c r="J610" t="s">
        <v>268</v>
      </c>
      <c r="K610" t="s">
        <v>125</v>
      </c>
      <c r="L610" t="s">
        <v>1559</v>
      </c>
      <c r="U610" t="s">
        <v>149</v>
      </c>
      <c r="W610" t="s">
        <v>155</v>
      </c>
      <c r="X610">
        <v>3</v>
      </c>
      <c r="AC610" t="s">
        <v>136</v>
      </c>
      <c r="AE610" t="s">
        <v>137</v>
      </c>
    </row>
    <row r="611" spans="1:78" hidden="1" x14ac:dyDescent="0.2">
      <c r="A611" t="s">
        <v>119</v>
      </c>
      <c r="B611" t="s">
        <v>120</v>
      </c>
      <c r="C611" t="s">
        <v>1553</v>
      </c>
      <c r="D611">
        <v>21</v>
      </c>
      <c r="E611" t="s">
        <v>194</v>
      </c>
      <c r="F611" t="s">
        <v>194</v>
      </c>
      <c r="G611" t="s">
        <v>124</v>
      </c>
      <c r="H611" t="s">
        <v>125</v>
      </c>
      <c r="I611">
        <v>13</v>
      </c>
      <c r="J611" t="s">
        <v>199</v>
      </c>
      <c r="K611" t="s">
        <v>125</v>
      </c>
      <c r="L611" t="s">
        <v>1560</v>
      </c>
      <c r="AE611" t="s">
        <v>128</v>
      </c>
      <c r="AG611">
        <v>20</v>
      </c>
      <c r="AH611" t="s">
        <v>375</v>
      </c>
      <c r="AI611" t="s">
        <v>130</v>
      </c>
      <c r="AJ611" t="s">
        <v>131</v>
      </c>
      <c r="AK611" t="s">
        <v>125</v>
      </c>
      <c r="AL611">
        <v>21</v>
      </c>
      <c r="AM611" t="s">
        <v>132</v>
      </c>
      <c r="AN611" t="s">
        <v>125</v>
      </c>
      <c r="AO611" t="s">
        <v>1561</v>
      </c>
      <c r="BP611" t="s">
        <v>149</v>
      </c>
      <c r="BR611" t="s">
        <v>135</v>
      </c>
      <c r="BS611">
        <v>2</v>
      </c>
      <c r="BX611" t="s">
        <v>136</v>
      </c>
      <c r="BZ611" t="s">
        <v>137</v>
      </c>
    </row>
    <row r="612" spans="1:78" x14ac:dyDescent="0.2">
      <c r="A612" t="s">
        <v>119</v>
      </c>
      <c r="B612" t="s">
        <v>120</v>
      </c>
      <c r="C612" t="s">
        <v>1553</v>
      </c>
      <c r="D612">
        <v>31</v>
      </c>
      <c r="E612" t="s">
        <v>1562</v>
      </c>
      <c r="F612" t="s">
        <v>1563</v>
      </c>
      <c r="G612" t="s">
        <v>124</v>
      </c>
      <c r="H612" t="s">
        <v>125</v>
      </c>
      <c r="I612">
        <v>28</v>
      </c>
      <c r="J612" t="s">
        <v>170</v>
      </c>
      <c r="K612" t="s">
        <v>125</v>
      </c>
      <c r="L612" t="s">
        <v>1564</v>
      </c>
      <c r="U612" t="s">
        <v>149</v>
      </c>
      <c r="W612" t="s">
        <v>155</v>
      </c>
      <c r="X612">
        <v>3</v>
      </c>
      <c r="AC612" t="s">
        <v>136</v>
      </c>
      <c r="AE612" t="s">
        <v>137</v>
      </c>
    </row>
    <row r="613" spans="1:78" x14ac:dyDescent="0.2">
      <c r="A613" t="s">
        <v>119</v>
      </c>
      <c r="B613" t="s">
        <v>120</v>
      </c>
      <c r="C613" t="s">
        <v>1565</v>
      </c>
      <c r="D613">
        <v>3</v>
      </c>
      <c r="E613" t="s">
        <v>323</v>
      </c>
      <c r="F613" t="s">
        <v>283</v>
      </c>
      <c r="G613" t="s">
        <v>124</v>
      </c>
      <c r="H613" t="s">
        <v>125</v>
      </c>
      <c r="I613">
        <v>0</v>
      </c>
      <c r="J613" t="s">
        <v>126</v>
      </c>
      <c r="K613" t="s">
        <v>125</v>
      </c>
      <c r="L613" t="s">
        <v>1566</v>
      </c>
      <c r="U613" t="s">
        <v>149</v>
      </c>
      <c r="W613" t="s">
        <v>135</v>
      </c>
      <c r="X613">
        <v>1</v>
      </c>
      <c r="AC613" t="s">
        <v>136</v>
      </c>
      <c r="AE613" t="s">
        <v>137</v>
      </c>
    </row>
    <row r="614" spans="1:78" hidden="1" x14ac:dyDescent="0.2">
      <c r="A614" t="s">
        <v>119</v>
      </c>
      <c r="B614" t="s">
        <v>120</v>
      </c>
      <c r="C614" t="s">
        <v>1567</v>
      </c>
      <c r="D614">
        <v>4</v>
      </c>
      <c r="E614" t="s">
        <v>140</v>
      </c>
      <c r="F614" t="s">
        <v>140</v>
      </c>
      <c r="G614" t="s">
        <v>124</v>
      </c>
      <c r="H614" t="s">
        <v>125</v>
      </c>
      <c r="I614">
        <v>0</v>
      </c>
      <c r="J614" t="s">
        <v>126</v>
      </c>
      <c r="K614" t="s">
        <v>125</v>
      </c>
      <c r="L614" t="s">
        <v>1568</v>
      </c>
      <c r="AE614" t="s">
        <v>128</v>
      </c>
      <c r="AG614">
        <v>3</v>
      </c>
      <c r="AH614" t="s">
        <v>1569</v>
      </c>
      <c r="AI614" t="s">
        <v>572</v>
      </c>
      <c r="AJ614" t="s">
        <v>131</v>
      </c>
      <c r="AK614" t="s">
        <v>125</v>
      </c>
      <c r="AL614">
        <v>4</v>
      </c>
      <c r="AM614" t="s">
        <v>132</v>
      </c>
      <c r="AN614" t="s">
        <v>125</v>
      </c>
      <c r="AO614" t="s">
        <v>1570</v>
      </c>
      <c r="BP614" t="s">
        <v>134</v>
      </c>
      <c r="BR614" t="s">
        <v>135</v>
      </c>
      <c r="BS614">
        <v>2</v>
      </c>
      <c r="BX614" t="s">
        <v>136</v>
      </c>
      <c r="BZ614" t="s">
        <v>137</v>
      </c>
    </row>
    <row r="615" spans="1:78" x14ac:dyDescent="0.2">
      <c r="A615" t="s">
        <v>119</v>
      </c>
      <c r="B615" t="s">
        <v>120</v>
      </c>
      <c r="C615" t="s">
        <v>1567</v>
      </c>
      <c r="D615">
        <v>9</v>
      </c>
      <c r="E615" t="s">
        <v>370</v>
      </c>
      <c r="F615" t="s">
        <v>140</v>
      </c>
      <c r="G615" t="s">
        <v>124</v>
      </c>
      <c r="H615" t="s">
        <v>125</v>
      </c>
      <c r="I615">
        <v>7</v>
      </c>
      <c r="J615" t="s">
        <v>170</v>
      </c>
      <c r="K615" t="s">
        <v>125</v>
      </c>
      <c r="L615" t="s">
        <v>1571</v>
      </c>
      <c r="U615" t="s">
        <v>149</v>
      </c>
      <c r="W615" t="s">
        <v>135</v>
      </c>
      <c r="X615">
        <v>3</v>
      </c>
      <c r="AC615" t="s">
        <v>136</v>
      </c>
      <c r="AE615" t="s">
        <v>137</v>
      </c>
    </row>
    <row r="616" spans="1:78" hidden="1" x14ac:dyDescent="0.2">
      <c r="A616" t="s">
        <v>119</v>
      </c>
      <c r="B616" t="s">
        <v>120</v>
      </c>
      <c r="C616" t="s">
        <v>1572</v>
      </c>
      <c r="D616">
        <v>2</v>
      </c>
      <c r="E616" t="s">
        <v>1573</v>
      </c>
      <c r="F616" t="s">
        <v>202</v>
      </c>
      <c r="G616" t="s">
        <v>124</v>
      </c>
      <c r="H616" t="s">
        <v>125</v>
      </c>
      <c r="I616">
        <v>3</v>
      </c>
      <c r="J616" t="s">
        <v>210</v>
      </c>
      <c r="K616" t="s">
        <v>125</v>
      </c>
      <c r="L616" t="s">
        <v>1574</v>
      </c>
      <c r="AE616" t="s">
        <v>394</v>
      </c>
    </row>
    <row r="617" spans="1:78" hidden="1" x14ac:dyDescent="0.2">
      <c r="A617" t="s">
        <v>119</v>
      </c>
      <c r="B617" t="s">
        <v>120</v>
      </c>
      <c r="C617" t="s">
        <v>1572</v>
      </c>
      <c r="D617">
        <v>3</v>
      </c>
      <c r="E617" t="s">
        <v>1573</v>
      </c>
      <c r="F617" t="s">
        <v>202</v>
      </c>
      <c r="G617" t="s">
        <v>124</v>
      </c>
      <c r="H617" t="s">
        <v>125</v>
      </c>
      <c r="I617">
        <v>0</v>
      </c>
      <c r="J617" t="s">
        <v>126</v>
      </c>
      <c r="K617" t="s">
        <v>125</v>
      </c>
      <c r="L617" t="s">
        <v>1575</v>
      </c>
      <c r="AE617" t="s">
        <v>394</v>
      </c>
    </row>
    <row r="618" spans="1:78" x14ac:dyDescent="0.2">
      <c r="A618" t="s">
        <v>119</v>
      </c>
      <c r="B618" t="s">
        <v>120</v>
      </c>
      <c r="C618" t="s">
        <v>1576</v>
      </c>
      <c r="D618">
        <v>3</v>
      </c>
      <c r="E618" t="s">
        <v>1412</v>
      </c>
      <c r="F618" t="s">
        <v>140</v>
      </c>
      <c r="G618" t="s">
        <v>124</v>
      </c>
      <c r="H618" t="s">
        <v>125</v>
      </c>
      <c r="I618">
        <v>6</v>
      </c>
      <c r="J618" t="s">
        <v>210</v>
      </c>
      <c r="K618" t="s">
        <v>125</v>
      </c>
      <c r="L618" t="s">
        <v>1577</v>
      </c>
      <c r="U618" t="s">
        <v>149</v>
      </c>
      <c r="W618" t="s">
        <v>135</v>
      </c>
      <c r="X618">
        <v>2</v>
      </c>
      <c r="AC618" t="s">
        <v>136</v>
      </c>
      <c r="AE618" t="s">
        <v>137</v>
      </c>
    </row>
    <row r="619" spans="1:78" x14ac:dyDescent="0.2">
      <c r="A619" t="s">
        <v>119</v>
      </c>
      <c r="B619" t="s">
        <v>120</v>
      </c>
      <c r="C619" t="s">
        <v>1576</v>
      </c>
      <c r="D619">
        <v>6</v>
      </c>
      <c r="E619" t="s">
        <v>1412</v>
      </c>
      <c r="F619" t="s">
        <v>140</v>
      </c>
      <c r="G619" t="s">
        <v>124</v>
      </c>
      <c r="H619" t="s">
        <v>125</v>
      </c>
      <c r="I619">
        <v>0</v>
      </c>
      <c r="J619" t="s">
        <v>126</v>
      </c>
      <c r="K619" t="s">
        <v>125</v>
      </c>
      <c r="L619" t="s">
        <v>1578</v>
      </c>
      <c r="U619" t="s">
        <v>149</v>
      </c>
      <c r="W619" t="s">
        <v>135</v>
      </c>
      <c r="X619">
        <v>2</v>
      </c>
      <c r="AC619" t="s">
        <v>136</v>
      </c>
      <c r="AE619" t="s">
        <v>137</v>
      </c>
    </row>
    <row r="620" spans="1:78" x14ac:dyDescent="0.2">
      <c r="A620" t="s">
        <v>119</v>
      </c>
      <c r="B620" t="s">
        <v>120</v>
      </c>
      <c r="C620" t="s">
        <v>1579</v>
      </c>
      <c r="D620">
        <v>17</v>
      </c>
      <c r="E620" t="s">
        <v>1580</v>
      </c>
      <c r="F620" t="s">
        <v>449</v>
      </c>
      <c r="G620" t="s">
        <v>124</v>
      </c>
      <c r="H620" t="s">
        <v>125</v>
      </c>
      <c r="I620">
        <v>15</v>
      </c>
      <c r="J620" t="s">
        <v>170</v>
      </c>
      <c r="K620" t="s">
        <v>125</v>
      </c>
      <c r="L620" t="s">
        <v>1581</v>
      </c>
      <c r="U620" t="s">
        <v>149</v>
      </c>
      <c r="W620" t="s">
        <v>135</v>
      </c>
      <c r="X620">
        <v>1</v>
      </c>
      <c r="AC620" t="s">
        <v>136</v>
      </c>
      <c r="AE620" t="s">
        <v>137</v>
      </c>
    </row>
    <row r="621" spans="1:78" hidden="1" x14ac:dyDescent="0.2">
      <c r="A621" t="s">
        <v>119</v>
      </c>
      <c r="B621" t="s">
        <v>120</v>
      </c>
      <c r="C621" t="s">
        <v>1579</v>
      </c>
      <c r="D621">
        <v>20</v>
      </c>
      <c r="E621" t="s">
        <v>448</v>
      </c>
      <c r="F621" t="s">
        <v>449</v>
      </c>
      <c r="G621" t="s">
        <v>124</v>
      </c>
      <c r="H621" t="s">
        <v>125</v>
      </c>
      <c r="I621">
        <v>8</v>
      </c>
      <c r="J621" t="s">
        <v>161</v>
      </c>
      <c r="K621" t="s">
        <v>125</v>
      </c>
      <c r="L621" t="s">
        <v>1582</v>
      </c>
      <c r="T621" t="s">
        <v>154</v>
      </c>
      <c r="W621" t="s">
        <v>135</v>
      </c>
      <c r="AC621" t="s">
        <v>143</v>
      </c>
      <c r="AE621" t="s">
        <v>144</v>
      </c>
      <c r="AG621">
        <v>19</v>
      </c>
      <c r="AH621" t="s">
        <v>145</v>
      </c>
      <c r="AI621" t="s">
        <v>146</v>
      </c>
      <c r="AJ621" t="s">
        <v>131</v>
      </c>
      <c r="AK621" t="s">
        <v>125</v>
      </c>
      <c r="AL621">
        <v>20</v>
      </c>
      <c r="AM621" t="s">
        <v>132</v>
      </c>
      <c r="AN621" t="s">
        <v>125</v>
      </c>
      <c r="AO621" t="s">
        <v>1583</v>
      </c>
      <c r="BP621" t="s">
        <v>149</v>
      </c>
      <c r="BR621" t="s">
        <v>135</v>
      </c>
      <c r="BS621">
        <v>3</v>
      </c>
      <c r="BX621" t="s">
        <v>136</v>
      </c>
      <c r="BZ621" t="s">
        <v>137</v>
      </c>
    </row>
    <row r="622" spans="1:78" x14ac:dyDescent="0.2">
      <c r="A622" t="s">
        <v>119</v>
      </c>
      <c r="B622" t="s">
        <v>120</v>
      </c>
      <c r="C622" t="s">
        <v>1584</v>
      </c>
      <c r="D622">
        <v>6</v>
      </c>
      <c r="E622" t="s">
        <v>496</v>
      </c>
      <c r="F622" t="s">
        <v>205</v>
      </c>
      <c r="G622" t="s">
        <v>124</v>
      </c>
      <c r="H622" t="s">
        <v>125</v>
      </c>
      <c r="I622">
        <v>0</v>
      </c>
      <c r="J622" t="s">
        <v>126</v>
      </c>
      <c r="K622" t="s">
        <v>125</v>
      </c>
      <c r="L622" t="s">
        <v>1585</v>
      </c>
      <c r="U622" t="s">
        <v>149</v>
      </c>
      <c r="W622" t="s">
        <v>135</v>
      </c>
      <c r="X622">
        <v>2</v>
      </c>
      <c r="AC622" t="s">
        <v>136</v>
      </c>
      <c r="AE622" t="s">
        <v>137</v>
      </c>
    </row>
    <row r="623" spans="1:78" x14ac:dyDescent="0.2">
      <c r="A623" t="s">
        <v>119</v>
      </c>
      <c r="B623" t="s">
        <v>120</v>
      </c>
      <c r="C623" t="s">
        <v>1584</v>
      </c>
      <c r="D623">
        <v>15</v>
      </c>
      <c r="E623" t="s">
        <v>145</v>
      </c>
      <c r="F623" t="s">
        <v>146</v>
      </c>
      <c r="G623" t="s">
        <v>124</v>
      </c>
      <c r="H623" t="s">
        <v>125</v>
      </c>
      <c r="I623">
        <v>6</v>
      </c>
      <c r="J623" t="s">
        <v>161</v>
      </c>
      <c r="K623" t="s">
        <v>125</v>
      </c>
      <c r="L623" t="s">
        <v>1586</v>
      </c>
      <c r="U623" t="s">
        <v>149</v>
      </c>
      <c r="W623" t="s">
        <v>135</v>
      </c>
      <c r="X623">
        <v>3</v>
      </c>
      <c r="AC623" t="s">
        <v>136</v>
      </c>
      <c r="AE623" t="s">
        <v>137</v>
      </c>
    </row>
    <row r="624" spans="1:78" hidden="1" x14ac:dyDescent="0.2">
      <c r="A624" t="s">
        <v>119</v>
      </c>
      <c r="B624" t="s">
        <v>120</v>
      </c>
      <c r="C624" t="s">
        <v>1584</v>
      </c>
      <c r="D624">
        <v>33</v>
      </c>
      <c r="E624" t="s">
        <v>202</v>
      </c>
      <c r="F624" t="s">
        <v>202</v>
      </c>
      <c r="G624" t="s">
        <v>124</v>
      </c>
      <c r="H624" t="s">
        <v>125</v>
      </c>
      <c r="I624">
        <v>15</v>
      </c>
      <c r="J624" t="s">
        <v>264</v>
      </c>
      <c r="K624" t="s">
        <v>125</v>
      </c>
      <c r="L624" t="s">
        <v>1587</v>
      </c>
      <c r="AE624" t="s">
        <v>128</v>
      </c>
      <c r="AG624">
        <v>27</v>
      </c>
      <c r="AH624" t="s">
        <v>375</v>
      </c>
      <c r="AI624" t="s">
        <v>130</v>
      </c>
      <c r="AJ624" t="s">
        <v>131</v>
      </c>
      <c r="AK624" t="s">
        <v>125</v>
      </c>
      <c r="AL624">
        <v>33</v>
      </c>
      <c r="AM624" t="s">
        <v>210</v>
      </c>
      <c r="AN624" t="s">
        <v>125</v>
      </c>
      <c r="AO624" t="s">
        <v>1588</v>
      </c>
      <c r="BP624" t="s">
        <v>149</v>
      </c>
      <c r="BR624" t="s">
        <v>135</v>
      </c>
      <c r="BS624">
        <v>2</v>
      </c>
      <c r="BX624" t="s">
        <v>136</v>
      </c>
      <c r="BZ624" t="s">
        <v>137</v>
      </c>
    </row>
    <row r="625" spans="1:78" hidden="1" x14ac:dyDescent="0.2">
      <c r="A625" t="s">
        <v>119</v>
      </c>
      <c r="B625" t="s">
        <v>120</v>
      </c>
      <c r="C625" t="s">
        <v>1584</v>
      </c>
      <c r="D625">
        <v>38</v>
      </c>
      <c r="E625" t="s">
        <v>861</v>
      </c>
      <c r="F625" t="s">
        <v>140</v>
      </c>
      <c r="G625" t="s">
        <v>124</v>
      </c>
      <c r="H625" t="s">
        <v>125</v>
      </c>
      <c r="I625">
        <v>35</v>
      </c>
      <c r="J625" t="s">
        <v>199</v>
      </c>
      <c r="K625" t="s">
        <v>125</v>
      </c>
      <c r="L625" t="s">
        <v>1589</v>
      </c>
      <c r="AE625" t="s">
        <v>128</v>
      </c>
    </row>
    <row r="626" spans="1:78" hidden="1" x14ac:dyDescent="0.2">
      <c r="A626" t="s">
        <v>119</v>
      </c>
      <c r="B626" t="s">
        <v>120</v>
      </c>
      <c r="C626" t="s">
        <v>1584</v>
      </c>
      <c r="D626">
        <v>40</v>
      </c>
      <c r="E626" t="s">
        <v>1590</v>
      </c>
      <c r="F626" t="s">
        <v>1590</v>
      </c>
      <c r="G626" t="s">
        <v>124</v>
      </c>
      <c r="H626" t="s">
        <v>125</v>
      </c>
      <c r="I626">
        <v>38</v>
      </c>
      <c r="J626" t="s">
        <v>264</v>
      </c>
      <c r="K626" t="s">
        <v>125</v>
      </c>
      <c r="L626" t="s">
        <v>1591</v>
      </c>
      <c r="AE626" t="s">
        <v>128</v>
      </c>
    </row>
    <row r="627" spans="1:78" hidden="1" x14ac:dyDescent="0.2">
      <c r="A627" t="s">
        <v>119</v>
      </c>
      <c r="B627" t="s">
        <v>120</v>
      </c>
      <c r="C627" t="s">
        <v>1584</v>
      </c>
      <c r="D627">
        <v>42</v>
      </c>
      <c r="E627" t="s">
        <v>861</v>
      </c>
      <c r="F627" t="s">
        <v>140</v>
      </c>
      <c r="G627" t="s">
        <v>124</v>
      </c>
      <c r="H627" t="s">
        <v>125</v>
      </c>
      <c r="I627">
        <v>38</v>
      </c>
      <c r="J627" t="s">
        <v>161</v>
      </c>
      <c r="K627" t="s">
        <v>125</v>
      </c>
      <c r="L627" t="s">
        <v>1592</v>
      </c>
      <c r="AE627" t="s">
        <v>128</v>
      </c>
    </row>
    <row r="628" spans="1:78" hidden="1" x14ac:dyDescent="0.2">
      <c r="A628" t="s">
        <v>119</v>
      </c>
      <c r="B628" t="s">
        <v>120</v>
      </c>
      <c r="C628" t="s">
        <v>1584</v>
      </c>
      <c r="D628">
        <v>44</v>
      </c>
      <c r="E628" t="s">
        <v>1593</v>
      </c>
      <c r="F628" t="s">
        <v>1593</v>
      </c>
      <c r="G628" t="s">
        <v>124</v>
      </c>
      <c r="H628" t="s">
        <v>125</v>
      </c>
      <c r="I628">
        <v>42</v>
      </c>
      <c r="J628" t="s">
        <v>264</v>
      </c>
      <c r="K628" t="s">
        <v>125</v>
      </c>
      <c r="L628" t="s">
        <v>1594</v>
      </c>
      <c r="AE628" t="s">
        <v>128</v>
      </c>
    </row>
    <row r="629" spans="1:78" hidden="1" x14ac:dyDescent="0.2">
      <c r="A629" t="s">
        <v>119</v>
      </c>
      <c r="B629" t="s">
        <v>120</v>
      </c>
      <c r="C629" t="s">
        <v>1584</v>
      </c>
      <c r="D629">
        <v>46</v>
      </c>
      <c r="E629" t="s">
        <v>494</v>
      </c>
      <c r="F629" t="s">
        <v>494</v>
      </c>
      <c r="G629" t="s">
        <v>124</v>
      </c>
      <c r="H629" t="s">
        <v>125</v>
      </c>
      <c r="I629">
        <v>38</v>
      </c>
      <c r="J629" t="s">
        <v>161</v>
      </c>
      <c r="K629" t="s">
        <v>125</v>
      </c>
      <c r="L629" t="s">
        <v>578</v>
      </c>
      <c r="AE629" t="s">
        <v>128</v>
      </c>
    </row>
    <row r="630" spans="1:78" hidden="1" x14ac:dyDescent="0.2">
      <c r="A630" t="s">
        <v>119</v>
      </c>
      <c r="B630" t="s">
        <v>120</v>
      </c>
      <c r="C630" t="s">
        <v>1595</v>
      </c>
      <c r="D630">
        <v>3</v>
      </c>
      <c r="E630" t="s">
        <v>1596</v>
      </c>
      <c r="F630" t="s">
        <v>1597</v>
      </c>
      <c r="G630" t="s">
        <v>124</v>
      </c>
      <c r="H630" t="s">
        <v>125</v>
      </c>
      <c r="I630">
        <v>7</v>
      </c>
      <c r="J630" t="s">
        <v>367</v>
      </c>
      <c r="K630" t="s">
        <v>125</v>
      </c>
      <c r="L630" t="s">
        <v>1598</v>
      </c>
      <c r="AE630" t="s">
        <v>128</v>
      </c>
    </row>
    <row r="631" spans="1:78" hidden="1" x14ac:dyDescent="0.2">
      <c r="A631" t="s">
        <v>119</v>
      </c>
      <c r="B631" t="s">
        <v>120</v>
      </c>
      <c r="C631" t="s">
        <v>1595</v>
      </c>
      <c r="D631">
        <v>9</v>
      </c>
      <c r="E631" t="s">
        <v>1596</v>
      </c>
      <c r="F631" t="s">
        <v>1597</v>
      </c>
      <c r="G631" t="s">
        <v>124</v>
      </c>
      <c r="H631" t="s">
        <v>125</v>
      </c>
      <c r="I631">
        <v>13</v>
      </c>
      <c r="J631" t="s">
        <v>367</v>
      </c>
      <c r="K631" t="s">
        <v>125</v>
      </c>
      <c r="L631" t="s">
        <v>1599</v>
      </c>
      <c r="AE631" t="s">
        <v>128</v>
      </c>
    </row>
    <row r="632" spans="1:78" x14ac:dyDescent="0.2">
      <c r="A632" t="s">
        <v>119</v>
      </c>
      <c r="B632" t="s">
        <v>120</v>
      </c>
      <c r="C632" t="s">
        <v>1595</v>
      </c>
      <c r="D632">
        <v>15</v>
      </c>
      <c r="E632" t="s">
        <v>791</v>
      </c>
      <c r="F632" t="s">
        <v>494</v>
      </c>
      <c r="G632" t="s">
        <v>124</v>
      </c>
      <c r="H632" t="s">
        <v>125</v>
      </c>
      <c r="I632">
        <v>13</v>
      </c>
      <c r="J632" t="s">
        <v>268</v>
      </c>
      <c r="K632" t="s">
        <v>125</v>
      </c>
      <c r="L632" t="s">
        <v>1600</v>
      </c>
      <c r="U632" t="s">
        <v>149</v>
      </c>
      <c r="W632" t="s">
        <v>135</v>
      </c>
      <c r="X632">
        <v>3</v>
      </c>
      <c r="AC632" t="s">
        <v>136</v>
      </c>
      <c r="AE632" t="s">
        <v>137</v>
      </c>
    </row>
    <row r="633" spans="1:78" hidden="1" x14ac:dyDescent="0.2">
      <c r="A633" t="s">
        <v>119</v>
      </c>
      <c r="B633" t="s">
        <v>120</v>
      </c>
      <c r="C633" t="s">
        <v>1595</v>
      </c>
      <c r="D633">
        <v>23</v>
      </c>
      <c r="E633" t="s">
        <v>494</v>
      </c>
      <c r="F633" t="s">
        <v>494</v>
      </c>
      <c r="G633" t="s">
        <v>124</v>
      </c>
      <c r="H633" t="s">
        <v>125</v>
      </c>
      <c r="I633">
        <v>15</v>
      </c>
      <c r="J633" t="s">
        <v>199</v>
      </c>
      <c r="K633" t="s">
        <v>125</v>
      </c>
      <c r="L633" t="s">
        <v>1601</v>
      </c>
      <c r="AE633" t="s">
        <v>128</v>
      </c>
      <c r="AG633">
        <v>22</v>
      </c>
      <c r="AH633" t="s">
        <v>375</v>
      </c>
      <c r="AI633" t="s">
        <v>130</v>
      </c>
      <c r="AJ633" t="s">
        <v>131</v>
      </c>
      <c r="AK633" t="s">
        <v>125</v>
      </c>
      <c r="AL633">
        <v>23</v>
      </c>
      <c r="AM633" t="s">
        <v>132</v>
      </c>
      <c r="AN633" t="s">
        <v>125</v>
      </c>
      <c r="AO633" t="s">
        <v>1602</v>
      </c>
      <c r="BP633" t="s">
        <v>149</v>
      </c>
      <c r="BR633" t="s">
        <v>135</v>
      </c>
      <c r="BS633">
        <v>2</v>
      </c>
      <c r="BX633" t="s">
        <v>136</v>
      </c>
      <c r="BZ633" t="s">
        <v>137</v>
      </c>
    </row>
    <row r="634" spans="1:78" x14ac:dyDescent="0.2">
      <c r="A634" t="s">
        <v>119</v>
      </c>
      <c r="B634" t="s">
        <v>120</v>
      </c>
      <c r="C634" t="s">
        <v>1603</v>
      </c>
      <c r="D634">
        <v>6</v>
      </c>
      <c r="E634" t="s">
        <v>496</v>
      </c>
      <c r="F634" t="s">
        <v>205</v>
      </c>
      <c r="G634" t="s">
        <v>124</v>
      </c>
      <c r="H634" t="s">
        <v>125</v>
      </c>
      <c r="I634">
        <v>0</v>
      </c>
      <c r="J634" t="s">
        <v>126</v>
      </c>
      <c r="K634" t="s">
        <v>125</v>
      </c>
      <c r="L634" t="s">
        <v>1604</v>
      </c>
      <c r="U634" t="s">
        <v>149</v>
      </c>
      <c r="W634" t="s">
        <v>135</v>
      </c>
      <c r="X634">
        <v>2</v>
      </c>
      <c r="AC634" t="s">
        <v>136</v>
      </c>
      <c r="AE634" t="s">
        <v>137</v>
      </c>
    </row>
    <row r="635" spans="1:78" hidden="1" x14ac:dyDescent="0.2">
      <c r="A635" t="s">
        <v>119</v>
      </c>
      <c r="B635" t="s">
        <v>120</v>
      </c>
      <c r="C635" t="s">
        <v>1603</v>
      </c>
      <c r="D635">
        <v>11</v>
      </c>
      <c r="E635" t="s">
        <v>1605</v>
      </c>
      <c r="F635" t="s">
        <v>1606</v>
      </c>
      <c r="G635" t="s">
        <v>124</v>
      </c>
      <c r="H635" t="s">
        <v>125</v>
      </c>
      <c r="I635">
        <v>10</v>
      </c>
      <c r="J635" t="s">
        <v>199</v>
      </c>
      <c r="K635" t="s">
        <v>125</v>
      </c>
      <c r="L635" t="s">
        <v>1607</v>
      </c>
      <c r="U635" t="s">
        <v>149</v>
      </c>
      <c r="W635" t="s">
        <v>135</v>
      </c>
      <c r="X635">
        <v>1</v>
      </c>
      <c r="AC635" t="s">
        <v>209</v>
      </c>
      <c r="AE635" t="s">
        <v>137</v>
      </c>
    </row>
    <row r="636" spans="1:78" x14ac:dyDescent="0.2">
      <c r="A636" t="s">
        <v>119</v>
      </c>
      <c r="B636" t="s">
        <v>120</v>
      </c>
      <c r="C636" t="s">
        <v>1608</v>
      </c>
      <c r="D636">
        <v>3</v>
      </c>
      <c r="E636" t="s">
        <v>145</v>
      </c>
      <c r="F636" t="s">
        <v>146</v>
      </c>
      <c r="G636" t="s">
        <v>124</v>
      </c>
      <c r="H636" t="s">
        <v>125</v>
      </c>
      <c r="I636">
        <v>0</v>
      </c>
      <c r="J636" t="s">
        <v>126</v>
      </c>
      <c r="K636" t="s">
        <v>125</v>
      </c>
      <c r="L636" t="s">
        <v>1609</v>
      </c>
      <c r="U636" t="s">
        <v>149</v>
      </c>
      <c r="W636" t="s">
        <v>135</v>
      </c>
      <c r="X636">
        <v>3</v>
      </c>
      <c r="AC636" t="s">
        <v>136</v>
      </c>
      <c r="AE636" t="s">
        <v>137</v>
      </c>
    </row>
    <row r="637" spans="1:78" x14ac:dyDescent="0.2">
      <c r="A637" t="s">
        <v>119</v>
      </c>
      <c r="B637" t="s">
        <v>120</v>
      </c>
      <c r="C637" t="s">
        <v>1608</v>
      </c>
      <c r="D637">
        <v>9</v>
      </c>
      <c r="E637" t="s">
        <v>1610</v>
      </c>
      <c r="F637" t="s">
        <v>1611</v>
      </c>
      <c r="G637" t="s">
        <v>124</v>
      </c>
      <c r="H637" t="s">
        <v>125</v>
      </c>
      <c r="I637">
        <v>3</v>
      </c>
      <c r="J637" t="s">
        <v>264</v>
      </c>
      <c r="K637" t="s">
        <v>125</v>
      </c>
      <c r="L637" t="s">
        <v>1612</v>
      </c>
      <c r="U637" t="s">
        <v>149</v>
      </c>
      <c r="W637" t="s">
        <v>155</v>
      </c>
      <c r="X637">
        <v>3</v>
      </c>
      <c r="AC637" t="s">
        <v>136</v>
      </c>
      <c r="AE637" t="s">
        <v>137</v>
      </c>
    </row>
    <row r="638" spans="1:78" x14ac:dyDescent="0.2">
      <c r="A638" t="s">
        <v>119</v>
      </c>
      <c r="B638" t="s">
        <v>120</v>
      </c>
      <c r="C638" t="s">
        <v>1613</v>
      </c>
      <c r="D638">
        <v>3</v>
      </c>
      <c r="E638" t="s">
        <v>343</v>
      </c>
      <c r="F638" t="s">
        <v>311</v>
      </c>
      <c r="G638" t="s">
        <v>124</v>
      </c>
      <c r="H638" t="s">
        <v>125</v>
      </c>
      <c r="I638">
        <v>0</v>
      </c>
      <c r="J638" t="s">
        <v>126</v>
      </c>
      <c r="K638" t="s">
        <v>125</v>
      </c>
      <c r="L638" t="s">
        <v>1614</v>
      </c>
      <c r="U638" t="s">
        <v>149</v>
      </c>
      <c r="W638" t="s">
        <v>135</v>
      </c>
      <c r="X638">
        <v>1</v>
      </c>
      <c r="AC638" t="s">
        <v>136</v>
      </c>
      <c r="AE638" t="s">
        <v>137</v>
      </c>
    </row>
    <row r="639" spans="1:78" x14ac:dyDescent="0.2">
      <c r="A639" t="s">
        <v>119</v>
      </c>
      <c r="B639" t="s">
        <v>120</v>
      </c>
      <c r="C639" t="s">
        <v>1613</v>
      </c>
      <c r="D639">
        <v>13</v>
      </c>
      <c r="E639" t="s">
        <v>197</v>
      </c>
      <c r="F639" t="s">
        <v>198</v>
      </c>
      <c r="G639" t="s">
        <v>124</v>
      </c>
      <c r="H639" t="s">
        <v>125</v>
      </c>
      <c r="I639">
        <v>3</v>
      </c>
      <c r="J639" t="s">
        <v>161</v>
      </c>
      <c r="K639" t="s">
        <v>125</v>
      </c>
      <c r="L639" t="s">
        <v>1615</v>
      </c>
      <c r="U639" t="s">
        <v>149</v>
      </c>
      <c r="W639" t="s">
        <v>135</v>
      </c>
      <c r="X639">
        <v>1</v>
      </c>
      <c r="AC639" t="s">
        <v>136</v>
      </c>
      <c r="AE639" t="s">
        <v>137</v>
      </c>
    </row>
    <row r="640" spans="1:78" hidden="1" x14ac:dyDescent="0.2">
      <c r="A640" t="s">
        <v>119</v>
      </c>
      <c r="B640" t="s">
        <v>120</v>
      </c>
      <c r="C640" t="s">
        <v>1616</v>
      </c>
      <c r="D640">
        <v>2</v>
      </c>
      <c r="E640" t="s">
        <v>1617</v>
      </c>
      <c r="F640" t="s">
        <v>1617</v>
      </c>
      <c r="G640" t="s">
        <v>124</v>
      </c>
      <c r="H640" t="s">
        <v>125</v>
      </c>
      <c r="I640">
        <v>0</v>
      </c>
      <c r="J640" t="s">
        <v>126</v>
      </c>
      <c r="K640" t="s">
        <v>125</v>
      </c>
      <c r="L640" t="s">
        <v>1618</v>
      </c>
      <c r="AE640" t="s">
        <v>128</v>
      </c>
    </row>
    <row r="641" spans="1:98" x14ac:dyDescent="0.2">
      <c r="A641" t="s">
        <v>119</v>
      </c>
      <c r="B641" t="s">
        <v>120</v>
      </c>
      <c r="C641" t="s">
        <v>1619</v>
      </c>
      <c r="D641">
        <v>9</v>
      </c>
      <c r="E641" t="s">
        <v>145</v>
      </c>
      <c r="F641" t="s">
        <v>146</v>
      </c>
      <c r="G641" t="s">
        <v>124</v>
      </c>
      <c r="H641" t="s">
        <v>125</v>
      </c>
      <c r="I641">
        <v>0</v>
      </c>
      <c r="J641" t="s">
        <v>126</v>
      </c>
      <c r="K641" t="s">
        <v>125</v>
      </c>
      <c r="L641" t="s">
        <v>1620</v>
      </c>
      <c r="U641" t="s">
        <v>149</v>
      </c>
      <c r="W641" t="s">
        <v>135</v>
      </c>
      <c r="X641">
        <v>3</v>
      </c>
      <c r="AC641" t="s">
        <v>136</v>
      </c>
      <c r="AE641" t="s">
        <v>137</v>
      </c>
    </row>
    <row r="642" spans="1:98" hidden="1" x14ac:dyDescent="0.2">
      <c r="A642" t="s">
        <v>119</v>
      </c>
      <c r="B642" t="s">
        <v>120</v>
      </c>
      <c r="C642" t="s">
        <v>1619</v>
      </c>
      <c r="D642">
        <v>16</v>
      </c>
      <c r="E642" t="s">
        <v>1617</v>
      </c>
      <c r="F642" t="s">
        <v>1617</v>
      </c>
      <c r="G642" t="s">
        <v>124</v>
      </c>
      <c r="H642" t="s">
        <v>125</v>
      </c>
      <c r="I642">
        <v>11</v>
      </c>
      <c r="J642" t="s">
        <v>161</v>
      </c>
      <c r="K642" t="s">
        <v>125</v>
      </c>
      <c r="L642" t="s">
        <v>637</v>
      </c>
      <c r="AE642" t="s">
        <v>128</v>
      </c>
      <c r="AG642">
        <v>15</v>
      </c>
      <c r="AH642" t="s">
        <v>1515</v>
      </c>
      <c r="AI642" t="s">
        <v>572</v>
      </c>
      <c r="AJ642" t="s">
        <v>131</v>
      </c>
      <c r="AK642" t="s">
        <v>125</v>
      </c>
      <c r="AL642">
        <v>16</v>
      </c>
      <c r="AM642" t="s">
        <v>132</v>
      </c>
      <c r="AN642" t="s">
        <v>125</v>
      </c>
      <c r="AO642" t="s">
        <v>1621</v>
      </c>
      <c r="BP642" t="s">
        <v>149</v>
      </c>
      <c r="BR642" t="s">
        <v>135</v>
      </c>
      <c r="BS642">
        <v>2</v>
      </c>
      <c r="BX642" t="s">
        <v>136</v>
      </c>
      <c r="BZ642" t="s">
        <v>137</v>
      </c>
    </row>
    <row r="643" spans="1:98" hidden="1" x14ac:dyDescent="0.2">
      <c r="A643" t="s">
        <v>119</v>
      </c>
      <c r="B643" t="s">
        <v>120</v>
      </c>
      <c r="C643" t="s">
        <v>1619</v>
      </c>
      <c r="D643">
        <v>26</v>
      </c>
      <c r="E643" t="s">
        <v>1617</v>
      </c>
      <c r="F643" t="s">
        <v>1617</v>
      </c>
      <c r="G643" t="s">
        <v>124</v>
      </c>
      <c r="H643" t="s">
        <v>125</v>
      </c>
      <c r="I643">
        <v>16</v>
      </c>
      <c r="J643" t="s">
        <v>199</v>
      </c>
      <c r="K643" t="s">
        <v>125</v>
      </c>
      <c r="L643" t="s">
        <v>1622</v>
      </c>
      <c r="AE643" t="s">
        <v>128</v>
      </c>
      <c r="AG643">
        <v>25</v>
      </c>
      <c r="AH643" t="s">
        <v>1515</v>
      </c>
      <c r="AI643" t="s">
        <v>572</v>
      </c>
      <c r="AJ643" t="s">
        <v>131</v>
      </c>
      <c r="AK643" t="s">
        <v>125</v>
      </c>
      <c r="AL643">
        <v>26</v>
      </c>
      <c r="AM643" t="s">
        <v>132</v>
      </c>
      <c r="AN643" t="s">
        <v>125</v>
      </c>
      <c r="AO643" t="s">
        <v>1623</v>
      </c>
      <c r="BP643" t="s">
        <v>149</v>
      </c>
      <c r="BR643" t="s">
        <v>135</v>
      </c>
      <c r="BS643">
        <v>2</v>
      </c>
      <c r="BX643" t="s">
        <v>136</v>
      </c>
      <c r="BZ643" t="s">
        <v>137</v>
      </c>
    </row>
    <row r="644" spans="1:98" x14ac:dyDescent="0.2">
      <c r="A644" t="s">
        <v>119</v>
      </c>
      <c r="B644" t="s">
        <v>120</v>
      </c>
      <c r="C644" t="s">
        <v>1624</v>
      </c>
      <c r="D644">
        <v>18</v>
      </c>
      <c r="E644" t="s">
        <v>1625</v>
      </c>
      <c r="F644" t="s">
        <v>261</v>
      </c>
      <c r="G644" t="s">
        <v>124</v>
      </c>
      <c r="H644" t="s">
        <v>125</v>
      </c>
      <c r="I644">
        <v>0</v>
      </c>
      <c r="J644" t="s">
        <v>126</v>
      </c>
      <c r="K644" t="s">
        <v>125</v>
      </c>
      <c r="L644" t="s">
        <v>1626</v>
      </c>
      <c r="U644" t="s">
        <v>149</v>
      </c>
      <c r="W644" t="s">
        <v>155</v>
      </c>
      <c r="X644">
        <v>3</v>
      </c>
      <c r="AC644" t="s">
        <v>136</v>
      </c>
      <c r="AE644" t="s">
        <v>137</v>
      </c>
    </row>
    <row r="645" spans="1:98" hidden="1" x14ac:dyDescent="0.2">
      <c r="A645" t="s">
        <v>119</v>
      </c>
      <c r="B645" t="s">
        <v>120</v>
      </c>
      <c r="C645" t="s">
        <v>1624</v>
      </c>
      <c r="D645">
        <v>34</v>
      </c>
      <c r="E645" t="s">
        <v>1627</v>
      </c>
      <c r="F645" t="s">
        <v>261</v>
      </c>
      <c r="G645" t="s">
        <v>124</v>
      </c>
      <c r="H645" t="s">
        <v>125</v>
      </c>
      <c r="I645">
        <v>37</v>
      </c>
      <c r="J645" t="s">
        <v>268</v>
      </c>
      <c r="K645" t="s">
        <v>125</v>
      </c>
      <c r="L645" t="s">
        <v>1628</v>
      </c>
      <c r="U645" t="s">
        <v>309</v>
      </c>
      <c r="W645" t="s">
        <v>135</v>
      </c>
      <c r="X645">
        <v>1</v>
      </c>
      <c r="AC645" t="s">
        <v>209</v>
      </c>
      <c r="AE645" t="s">
        <v>137</v>
      </c>
    </row>
    <row r="646" spans="1:98" x14ac:dyDescent="0.2">
      <c r="A646" t="s">
        <v>119</v>
      </c>
      <c r="B646" t="s">
        <v>120</v>
      </c>
      <c r="C646" t="s">
        <v>1624</v>
      </c>
      <c r="D646">
        <v>37</v>
      </c>
      <c r="E646" t="s">
        <v>145</v>
      </c>
      <c r="F646" t="s">
        <v>146</v>
      </c>
      <c r="G646" t="s">
        <v>124</v>
      </c>
      <c r="H646" t="s">
        <v>125</v>
      </c>
      <c r="I646">
        <v>28</v>
      </c>
      <c r="J646" t="s">
        <v>161</v>
      </c>
      <c r="K646" t="s">
        <v>125</v>
      </c>
      <c r="L646" t="s">
        <v>1629</v>
      </c>
      <c r="U646" t="s">
        <v>149</v>
      </c>
      <c r="W646" t="s">
        <v>135</v>
      </c>
      <c r="X646">
        <v>3</v>
      </c>
      <c r="AC646" t="s">
        <v>136</v>
      </c>
      <c r="AE646" t="s">
        <v>137</v>
      </c>
    </row>
    <row r="647" spans="1:98" x14ac:dyDescent="0.2">
      <c r="A647" t="s">
        <v>119</v>
      </c>
      <c r="B647" t="s">
        <v>120</v>
      </c>
      <c r="C647" t="s">
        <v>1624</v>
      </c>
      <c r="D647">
        <v>43</v>
      </c>
      <c r="E647" t="s">
        <v>1550</v>
      </c>
      <c r="F647" t="s">
        <v>1551</v>
      </c>
      <c r="G647" t="s">
        <v>124</v>
      </c>
      <c r="H647" t="s">
        <v>125</v>
      </c>
      <c r="I647">
        <v>39</v>
      </c>
      <c r="J647" t="s">
        <v>170</v>
      </c>
      <c r="K647" t="s">
        <v>125</v>
      </c>
      <c r="L647" t="s">
        <v>1630</v>
      </c>
      <c r="U647" t="s">
        <v>149</v>
      </c>
      <c r="W647" t="s">
        <v>135</v>
      </c>
      <c r="X647">
        <v>3</v>
      </c>
      <c r="AC647" t="s">
        <v>136</v>
      </c>
      <c r="AE647" t="s">
        <v>137</v>
      </c>
    </row>
    <row r="648" spans="1:98" hidden="1" x14ac:dyDescent="0.2">
      <c r="A648" t="s">
        <v>119</v>
      </c>
      <c r="B648" t="s">
        <v>120</v>
      </c>
      <c r="C648" t="s">
        <v>1631</v>
      </c>
      <c r="D648">
        <v>1</v>
      </c>
      <c r="E648" t="s">
        <v>1632</v>
      </c>
      <c r="F648" t="s">
        <v>1633</v>
      </c>
      <c r="G648" t="s">
        <v>124</v>
      </c>
      <c r="H648" t="s">
        <v>125</v>
      </c>
      <c r="I648">
        <v>0</v>
      </c>
      <c r="J648" t="s">
        <v>126</v>
      </c>
      <c r="K648" t="s">
        <v>125</v>
      </c>
      <c r="L648" t="s">
        <v>1634</v>
      </c>
    </row>
    <row r="649" spans="1:98" hidden="1" x14ac:dyDescent="0.2">
      <c r="A649" t="s">
        <v>119</v>
      </c>
      <c r="B649" t="s">
        <v>120</v>
      </c>
      <c r="C649" t="s">
        <v>1635</v>
      </c>
      <c r="D649">
        <v>7</v>
      </c>
      <c r="E649" t="s">
        <v>1636</v>
      </c>
      <c r="F649" t="s">
        <v>1637</v>
      </c>
      <c r="G649" t="s">
        <v>124</v>
      </c>
      <c r="H649" t="s">
        <v>125</v>
      </c>
      <c r="I649">
        <v>5</v>
      </c>
      <c r="J649" t="s">
        <v>199</v>
      </c>
      <c r="K649" t="s">
        <v>125</v>
      </c>
      <c r="L649" t="s">
        <v>1638</v>
      </c>
      <c r="U649" t="s">
        <v>149</v>
      </c>
      <c r="W649" t="s">
        <v>135</v>
      </c>
      <c r="X649">
        <v>1</v>
      </c>
      <c r="AC649" t="s">
        <v>209</v>
      </c>
      <c r="AE649" t="s">
        <v>137</v>
      </c>
      <c r="AG649">
        <v>11</v>
      </c>
      <c r="AH649" t="s">
        <v>140</v>
      </c>
      <c r="AI649" t="s">
        <v>140</v>
      </c>
      <c r="AJ649" t="s">
        <v>131</v>
      </c>
      <c r="AK649" t="s">
        <v>125</v>
      </c>
      <c r="AL649">
        <v>7</v>
      </c>
      <c r="AM649" t="s">
        <v>264</v>
      </c>
      <c r="AN649" t="s">
        <v>125</v>
      </c>
      <c r="AO649" t="s">
        <v>1639</v>
      </c>
      <c r="AP649">
        <v>10</v>
      </c>
      <c r="AQ649" t="s">
        <v>1640</v>
      </c>
      <c r="AR649" t="s">
        <v>667</v>
      </c>
      <c r="AS649" t="s">
        <v>131</v>
      </c>
      <c r="AT649" t="s">
        <v>125</v>
      </c>
      <c r="AU649">
        <v>11</v>
      </c>
      <c r="AV649" t="s">
        <v>132</v>
      </c>
      <c r="AW649" t="s">
        <v>125</v>
      </c>
      <c r="AX649" t="s">
        <v>1641</v>
      </c>
      <c r="BZ649" t="s">
        <v>128</v>
      </c>
      <c r="CJ649" t="s">
        <v>309</v>
      </c>
      <c r="CL649" t="s">
        <v>155</v>
      </c>
      <c r="CM649">
        <v>3</v>
      </c>
      <c r="CR649" t="s">
        <v>209</v>
      </c>
      <c r="CT649" t="s">
        <v>137</v>
      </c>
    </row>
    <row r="650" spans="1:98" hidden="1" x14ac:dyDescent="0.2">
      <c r="A650" t="s">
        <v>119</v>
      </c>
      <c r="B650" t="s">
        <v>120</v>
      </c>
      <c r="C650" t="s">
        <v>1635</v>
      </c>
      <c r="D650">
        <v>12</v>
      </c>
      <c r="E650" t="s">
        <v>1642</v>
      </c>
      <c r="F650" t="s">
        <v>1642</v>
      </c>
      <c r="G650" t="s">
        <v>124</v>
      </c>
      <c r="H650" t="s">
        <v>125</v>
      </c>
      <c r="I650">
        <v>11</v>
      </c>
      <c r="J650" t="s">
        <v>264</v>
      </c>
      <c r="K650" t="s">
        <v>125</v>
      </c>
      <c r="L650" t="s">
        <v>1643</v>
      </c>
      <c r="AE650" t="s">
        <v>128</v>
      </c>
    </row>
    <row r="651" spans="1:98" hidden="1" x14ac:dyDescent="0.2">
      <c r="A651" t="s">
        <v>119</v>
      </c>
      <c r="B651" t="s">
        <v>120</v>
      </c>
      <c r="C651" t="s">
        <v>1644</v>
      </c>
      <c r="D651">
        <v>2</v>
      </c>
      <c r="E651" t="s">
        <v>1642</v>
      </c>
      <c r="F651" t="s">
        <v>1642</v>
      </c>
      <c r="G651" t="s">
        <v>124</v>
      </c>
      <c r="H651" t="s">
        <v>125</v>
      </c>
      <c r="I651">
        <v>0</v>
      </c>
      <c r="J651" t="s">
        <v>126</v>
      </c>
      <c r="K651" t="s">
        <v>125</v>
      </c>
      <c r="L651" t="s">
        <v>1645</v>
      </c>
      <c r="AE651" t="s">
        <v>128</v>
      </c>
    </row>
    <row r="652" spans="1:98" x14ac:dyDescent="0.2">
      <c r="A652" t="s">
        <v>119</v>
      </c>
      <c r="B652" t="s">
        <v>120</v>
      </c>
      <c r="C652" t="s">
        <v>1644</v>
      </c>
      <c r="D652">
        <v>5</v>
      </c>
      <c r="E652" t="s">
        <v>1646</v>
      </c>
      <c r="F652" t="s">
        <v>1647</v>
      </c>
      <c r="G652" t="s">
        <v>124</v>
      </c>
      <c r="H652" t="s">
        <v>125</v>
      </c>
      <c r="I652">
        <v>2</v>
      </c>
      <c r="J652" t="s">
        <v>182</v>
      </c>
      <c r="K652" t="s">
        <v>125</v>
      </c>
      <c r="L652" t="s">
        <v>1648</v>
      </c>
      <c r="U652" t="s">
        <v>149</v>
      </c>
      <c r="W652" t="s">
        <v>135</v>
      </c>
      <c r="X652">
        <v>1</v>
      </c>
      <c r="AC652" t="s">
        <v>136</v>
      </c>
      <c r="AE652" t="s">
        <v>137</v>
      </c>
    </row>
    <row r="653" spans="1:98" hidden="1" x14ac:dyDescent="0.2">
      <c r="A653" t="s">
        <v>119</v>
      </c>
      <c r="B653" t="s">
        <v>120</v>
      </c>
      <c r="C653" t="s">
        <v>1649</v>
      </c>
      <c r="D653">
        <v>3</v>
      </c>
      <c r="E653" t="s">
        <v>1650</v>
      </c>
      <c r="F653" t="s">
        <v>1651</v>
      </c>
      <c r="G653" t="s">
        <v>124</v>
      </c>
      <c r="H653" t="s">
        <v>125</v>
      </c>
      <c r="I653">
        <v>0</v>
      </c>
      <c r="J653" t="s">
        <v>126</v>
      </c>
      <c r="K653" t="s">
        <v>125</v>
      </c>
      <c r="L653" t="s">
        <v>1652</v>
      </c>
      <c r="U653" t="s">
        <v>149</v>
      </c>
      <c r="W653" t="s">
        <v>135</v>
      </c>
      <c r="X653">
        <v>3</v>
      </c>
      <c r="AC653" t="s">
        <v>903</v>
      </c>
      <c r="AE653" t="s">
        <v>137</v>
      </c>
    </row>
    <row r="654" spans="1:98" x14ac:dyDescent="0.2">
      <c r="A654" t="s">
        <v>119</v>
      </c>
      <c r="B654" t="s">
        <v>120</v>
      </c>
      <c r="C654" t="s">
        <v>1653</v>
      </c>
      <c r="D654">
        <v>3</v>
      </c>
      <c r="E654" t="s">
        <v>343</v>
      </c>
      <c r="F654" t="s">
        <v>311</v>
      </c>
      <c r="G654" t="s">
        <v>124</v>
      </c>
      <c r="H654" t="s">
        <v>125</v>
      </c>
      <c r="I654">
        <v>2</v>
      </c>
      <c r="J654" t="s">
        <v>199</v>
      </c>
      <c r="K654" t="s">
        <v>125</v>
      </c>
      <c r="L654" t="s">
        <v>1654</v>
      </c>
      <c r="U654" t="s">
        <v>149</v>
      </c>
      <c r="W654" t="s">
        <v>135</v>
      </c>
      <c r="X654">
        <v>1</v>
      </c>
      <c r="AC654" t="s">
        <v>136</v>
      </c>
      <c r="AE654" t="s">
        <v>137</v>
      </c>
    </row>
    <row r="655" spans="1:98" x14ac:dyDescent="0.2">
      <c r="A655" t="s">
        <v>119</v>
      </c>
      <c r="B655" t="s">
        <v>120</v>
      </c>
      <c r="C655" t="s">
        <v>1655</v>
      </c>
      <c r="D655">
        <v>3</v>
      </c>
      <c r="E655" t="s">
        <v>920</v>
      </c>
      <c r="F655" t="s">
        <v>194</v>
      </c>
      <c r="G655" t="s">
        <v>124</v>
      </c>
      <c r="H655" t="s">
        <v>125</v>
      </c>
      <c r="I655">
        <v>9</v>
      </c>
      <c r="J655" t="s">
        <v>268</v>
      </c>
      <c r="K655" t="s">
        <v>125</v>
      </c>
      <c r="L655" t="s">
        <v>1656</v>
      </c>
      <c r="U655" t="s">
        <v>149</v>
      </c>
      <c r="W655" t="s">
        <v>135</v>
      </c>
      <c r="X655">
        <v>2</v>
      </c>
      <c r="AC655" t="s">
        <v>136</v>
      </c>
      <c r="AE655" t="s">
        <v>137</v>
      </c>
    </row>
    <row r="656" spans="1:98" hidden="1" x14ac:dyDescent="0.2">
      <c r="A656" t="s">
        <v>119</v>
      </c>
      <c r="B656" t="s">
        <v>120</v>
      </c>
      <c r="C656" t="s">
        <v>1657</v>
      </c>
      <c r="D656">
        <v>4</v>
      </c>
      <c r="E656" t="s">
        <v>1658</v>
      </c>
      <c r="F656" t="s">
        <v>1659</v>
      </c>
      <c r="G656" t="s">
        <v>124</v>
      </c>
      <c r="H656" t="s">
        <v>125</v>
      </c>
      <c r="I656">
        <v>0</v>
      </c>
      <c r="J656" t="s">
        <v>126</v>
      </c>
      <c r="K656" t="s">
        <v>125</v>
      </c>
      <c r="L656" t="s">
        <v>1660</v>
      </c>
    </row>
    <row r="657" spans="1:78" hidden="1" x14ac:dyDescent="0.2">
      <c r="A657" t="s">
        <v>119</v>
      </c>
      <c r="B657" t="s">
        <v>120</v>
      </c>
      <c r="C657" t="s">
        <v>1657</v>
      </c>
      <c r="D657">
        <v>7</v>
      </c>
      <c r="E657" t="s">
        <v>1658</v>
      </c>
      <c r="F657" t="s">
        <v>1659</v>
      </c>
      <c r="G657" t="s">
        <v>124</v>
      </c>
      <c r="H657" t="s">
        <v>125</v>
      </c>
      <c r="I657">
        <v>4</v>
      </c>
      <c r="J657" t="s">
        <v>199</v>
      </c>
      <c r="K657" t="s">
        <v>125</v>
      </c>
      <c r="L657" t="s">
        <v>1661</v>
      </c>
    </row>
    <row r="658" spans="1:78" hidden="1" x14ac:dyDescent="0.2">
      <c r="A658" t="s">
        <v>119</v>
      </c>
      <c r="B658" t="s">
        <v>120</v>
      </c>
      <c r="C658" t="s">
        <v>1657</v>
      </c>
      <c r="D658">
        <v>14</v>
      </c>
      <c r="E658" t="s">
        <v>1658</v>
      </c>
      <c r="F658" t="s">
        <v>1659</v>
      </c>
      <c r="G658" t="s">
        <v>124</v>
      </c>
      <c r="H658" t="s">
        <v>125</v>
      </c>
      <c r="I658">
        <v>4</v>
      </c>
      <c r="J658" t="s">
        <v>199</v>
      </c>
      <c r="K658" t="s">
        <v>125</v>
      </c>
      <c r="L658" t="s">
        <v>1662</v>
      </c>
    </row>
    <row r="659" spans="1:78" hidden="1" x14ac:dyDescent="0.2">
      <c r="A659" t="s">
        <v>119</v>
      </c>
      <c r="B659" t="s">
        <v>120</v>
      </c>
      <c r="C659" t="s">
        <v>1663</v>
      </c>
      <c r="D659">
        <v>4</v>
      </c>
      <c r="E659" t="s">
        <v>691</v>
      </c>
      <c r="F659" t="s">
        <v>261</v>
      </c>
      <c r="G659" t="s">
        <v>124</v>
      </c>
      <c r="H659" t="s">
        <v>125</v>
      </c>
      <c r="I659">
        <v>0</v>
      </c>
      <c r="J659" t="s">
        <v>126</v>
      </c>
      <c r="K659" t="s">
        <v>125</v>
      </c>
      <c r="L659" t="s">
        <v>1664</v>
      </c>
      <c r="T659" t="s">
        <v>154</v>
      </c>
      <c r="W659" t="s">
        <v>135</v>
      </c>
      <c r="AC659" t="s">
        <v>143</v>
      </c>
      <c r="AE659" t="s">
        <v>144</v>
      </c>
      <c r="AG659">
        <v>3</v>
      </c>
      <c r="AH659" t="s">
        <v>614</v>
      </c>
      <c r="AI659" t="s">
        <v>205</v>
      </c>
      <c r="AJ659" t="s">
        <v>131</v>
      </c>
      <c r="AK659" t="s">
        <v>125</v>
      </c>
      <c r="AL659">
        <v>4</v>
      </c>
      <c r="AM659" t="s">
        <v>132</v>
      </c>
      <c r="AN659" t="s">
        <v>125</v>
      </c>
      <c r="AO659" t="s">
        <v>1665</v>
      </c>
      <c r="BP659" t="s">
        <v>149</v>
      </c>
      <c r="BR659" t="s">
        <v>135</v>
      </c>
      <c r="BS659">
        <v>3</v>
      </c>
      <c r="BX659" t="s">
        <v>136</v>
      </c>
      <c r="BZ659" t="s">
        <v>137</v>
      </c>
    </row>
    <row r="660" spans="1:78" hidden="1" x14ac:dyDescent="0.2">
      <c r="A660" t="s">
        <v>119</v>
      </c>
      <c r="B660" t="s">
        <v>120</v>
      </c>
      <c r="C660" t="s">
        <v>1666</v>
      </c>
      <c r="D660">
        <v>3</v>
      </c>
      <c r="E660" t="s">
        <v>1667</v>
      </c>
      <c r="F660" t="s">
        <v>205</v>
      </c>
      <c r="G660" t="s">
        <v>124</v>
      </c>
      <c r="H660" t="s">
        <v>125</v>
      </c>
      <c r="I660">
        <v>0</v>
      </c>
      <c r="J660" t="s">
        <v>126</v>
      </c>
      <c r="K660" t="s">
        <v>125</v>
      </c>
      <c r="L660" t="s">
        <v>1668</v>
      </c>
      <c r="U660" t="s">
        <v>149</v>
      </c>
      <c r="W660" t="s">
        <v>135</v>
      </c>
      <c r="X660">
        <v>3</v>
      </c>
      <c r="AC660" t="s">
        <v>903</v>
      </c>
      <c r="AE660" t="s">
        <v>137</v>
      </c>
    </row>
    <row r="661" spans="1:78" hidden="1" x14ac:dyDescent="0.2">
      <c r="A661" t="s">
        <v>119</v>
      </c>
      <c r="B661" t="s">
        <v>120</v>
      </c>
      <c r="C661" t="s">
        <v>1666</v>
      </c>
      <c r="D661">
        <v>7</v>
      </c>
      <c r="E661" t="s">
        <v>602</v>
      </c>
      <c r="F661" t="s">
        <v>602</v>
      </c>
      <c r="G661" t="s">
        <v>124</v>
      </c>
      <c r="H661" t="s">
        <v>125</v>
      </c>
      <c r="I661">
        <v>3</v>
      </c>
      <c r="J661" t="s">
        <v>294</v>
      </c>
      <c r="K661" t="s">
        <v>125</v>
      </c>
      <c r="L661" t="s">
        <v>1669</v>
      </c>
      <c r="AE661" t="s">
        <v>128</v>
      </c>
    </row>
    <row r="662" spans="1:78" hidden="1" x14ac:dyDescent="0.2">
      <c r="A662" t="s">
        <v>119</v>
      </c>
      <c r="B662" t="s">
        <v>120</v>
      </c>
      <c r="C662" t="s">
        <v>1670</v>
      </c>
      <c r="D662">
        <v>4</v>
      </c>
      <c r="E662" t="s">
        <v>691</v>
      </c>
      <c r="F662" t="s">
        <v>261</v>
      </c>
      <c r="G662" t="s">
        <v>124</v>
      </c>
      <c r="H662" t="s">
        <v>125</v>
      </c>
      <c r="I662">
        <v>0</v>
      </c>
      <c r="J662" t="s">
        <v>126</v>
      </c>
      <c r="K662" t="s">
        <v>125</v>
      </c>
      <c r="L662" t="s">
        <v>1671</v>
      </c>
      <c r="T662" t="s">
        <v>154</v>
      </c>
      <c r="W662" t="s">
        <v>135</v>
      </c>
      <c r="AC662" t="s">
        <v>143</v>
      </c>
      <c r="AE662" t="s">
        <v>144</v>
      </c>
      <c r="AG662">
        <v>3</v>
      </c>
      <c r="AH662" t="s">
        <v>614</v>
      </c>
      <c r="AI662" t="s">
        <v>205</v>
      </c>
      <c r="AJ662" t="s">
        <v>131</v>
      </c>
      <c r="AK662" t="s">
        <v>125</v>
      </c>
      <c r="AL662">
        <v>4</v>
      </c>
      <c r="AM662" t="s">
        <v>132</v>
      </c>
      <c r="AN662" t="s">
        <v>125</v>
      </c>
      <c r="AO662" t="s">
        <v>1672</v>
      </c>
      <c r="BP662" t="s">
        <v>149</v>
      </c>
      <c r="BR662" t="s">
        <v>135</v>
      </c>
      <c r="BS662">
        <v>3</v>
      </c>
      <c r="BX662" t="s">
        <v>136</v>
      </c>
      <c r="BZ662" t="s">
        <v>137</v>
      </c>
    </row>
    <row r="663" spans="1:78" x14ac:dyDescent="0.2">
      <c r="A663" t="s">
        <v>119</v>
      </c>
      <c r="B663" t="s">
        <v>120</v>
      </c>
      <c r="C663" t="s">
        <v>1673</v>
      </c>
      <c r="D663">
        <v>2</v>
      </c>
      <c r="E663" t="s">
        <v>1674</v>
      </c>
      <c r="F663" t="s">
        <v>261</v>
      </c>
      <c r="G663" t="s">
        <v>124</v>
      </c>
      <c r="H663" t="s">
        <v>125</v>
      </c>
      <c r="I663">
        <v>0</v>
      </c>
      <c r="J663" t="s">
        <v>126</v>
      </c>
      <c r="K663" t="s">
        <v>125</v>
      </c>
      <c r="L663" t="s">
        <v>1675</v>
      </c>
      <c r="U663" t="s">
        <v>149</v>
      </c>
      <c r="W663" t="s">
        <v>135</v>
      </c>
      <c r="X663">
        <v>1</v>
      </c>
      <c r="AC663" t="s">
        <v>136</v>
      </c>
      <c r="AE663" t="s">
        <v>137</v>
      </c>
    </row>
    <row r="664" spans="1:78" hidden="1" x14ac:dyDescent="0.2">
      <c r="A664" t="s">
        <v>119</v>
      </c>
      <c r="B664" t="s">
        <v>120</v>
      </c>
      <c r="C664" t="s">
        <v>1676</v>
      </c>
      <c r="D664">
        <v>3</v>
      </c>
      <c r="E664" t="s">
        <v>140</v>
      </c>
      <c r="F664" t="s">
        <v>140</v>
      </c>
      <c r="G664" t="s">
        <v>124</v>
      </c>
      <c r="H664" t="s">
        <v>125</v>
      </c>
      <c r="I664">
        <v>0</v>
      </c>
      <c r="J664" t="s">
        <v>126</v>
      </c>
      <c r="K664" t="s">
        <v>125</v>
      </c>
      <c r="L664" t="s">
        <v>1677</v>
      </c>
      <c r="AE664" t="s">
        <v>128</v>
      </c>
      <c r="AG664">
        <v>2</v>
      </c>
      <c r="AH664" t="s">
        <v>801</v>
      </c>
      <c r="AI664" t="s">
        <v>667</v>
      </c>
      <c r="AJ664" t="s">
        <v>131</v>
      </c>
      <c r="AK664" t="s">
        <v>125</v>
      </c>
      <c r="AL664">
        <v>3</v>
      </c>
      <c r="AM664" t="s">
        <v>132</v>
      </c>
      <c r="AN664" t="s">
        <v>125</v>
      </c>
      <c r="AO664" t="s">
        <v>1678</v>
      </c>
      <c r="BP664" t="s">
        <v>149</v>
      </c>
      <c r="BR664" t="s">
        <v>135</v>
      </c>
      <c r="BS664">
        <v>2</v>
      </c>
      <c r="BX664" t="s">
        <v>136</v>
      </c>
      <c r="BZ664" t="s">
        <v>137</v>
      </c>
    </row>
    <row r="665" spans="1:78" hidden="1" x14ac:dyDescent="0.2">
      <c r="A665" t="s">
        <v>119</v>
      </c>
      <c r="B665" t="s">
        <v>120</v>
      </c>
      <c r="C665" t="s">
        <v>1679</v>
      </c>
      <c r="D665">
        <v>3</v>
      </c>
      <c r="E665" t="s">
        <v>691</v>
      </c>
      <c r="F665" t="s">
        <v>261</v>
      </c>
      <c r="G665" t="s">
        <v>124</v>
      </c>
      <c r="H665" t="s">
        <v>125</v>
      </c>
      <c r="I665">
        <v>0</v>
      </c>
      <c r="J665" t="s">
        <v>126</v>
      </c>
      <c r="K665" t="s">
        <v>125</v>
      </c>
      <c r="L665" t="s">
        <v>1680</v>
      </c>
      <c r="T665" t="s">
        <v>154</v>
      </c>
      <c r="W665" t="s">
        <v>135</v>
      </c>
      <c r="AC665" t="s">
        <v>143</v>
      </c>
      <c r="AE665" t="s">
        <v>144</v>
      </c>
      <c r="AG665">
        <v>2</v>
      </c>
      <c r="AH665" t="s">
        <v>204</v>
      </c>
      <c r="AI665" t="s">
        <v>205</v>
      </c>
      <c r="AJ665" t="s">
        <v>131</v>
      </c>
      <c r="AK665" t="s">
        <v>125</v>
      </c>
      <c r="AL665">
        <v>3</v>
      </c>
      <c r="AM665" t="s">
        <v>132</v>
      </c>
      <c r="AN665" t="s">
        <v>125</v>
      </c>
      <c r="AO665" t="s">
        <v>1681</v>
      </c>
      <c r="BP665" t="s">
        <v>149</v>
      </c>
      <c r="BR665" t="s">
        <v>135</v>
      </c>
      <c r="BS665">
        <v>1</v>
      </c>
      <c r="BX665" t="s">
        <v>136</v>
      </c>
      <c r="BZ665" t="s">
        <v>137</v>
      </c>
    </row>
    <row r="666" spans="1:78" hidden="1" x14ac:dyDescent="0.2">
      <c r="A666" t="s">
        <v>119</v>
      </c>
      <c r="B666" t="s">
        <v>120</v>
      </c>
      <c r="C666" t="s">
        <v>1682</v>
      </c>
      <c r="D666">
        <v>5</v>
      </c>
      <c r="E666" t="s">
        <v>631</v>
      </c>
      <c r="F666" t="s">
        <v>632</v>
      </c>
      <c r="G666" t="s">
        <v>124</v>
      </c>
      <c r="H666" t="s">
        <v>125</v>
      </c>
      <c r="I666">
        <v>0</v>
      </c>
      <c r="J666" t="s">
        <v>126</v>
      </c>
      <c r="K666" t="s">
        <v>125</v>
      </c>
      <c r="L666" t="s">
        <v>1683</v>
      </c>
      <c r="T666" t="s">
        <v>154</v>
      </c>
      <c r="W666" t="s">
        <v>135</v>
      </c>
      <c r="AC666" t="s">
        <v>143</v>
      </c>
      <c r="AE666" t="s">
        <v>144</v>
      </c>
      <c r="AG666">
        <v>4</v>
      </c>
      <c r="AH666" t="s">
        <v>204</v>
      </c>
      <c r="AI666" t="s">
        <v>205</v>
      </c>
      <c r="AJ666" t="s">
        <v>131</v>
      </c>
      <c r="AK666" t="s">
        <v>125</v>
      </c>
      <c r="AL666">
        <v>5</v>
      </c>
      <c r="AM666" t="s">
        <v>132</v>
      </c>
      <c r="AN666" t="s">
        <v>125</v>
      </c>
      <c r="AO666" t="s">
        <v>1684</v>
      </c>
      <c r="BP666" t="s">
        <v>149</v>
      </c>
      <c r="BR666" t="s">
        <v>135</v>
      </c>
      <c r="BS666">
        <v>1</v>
      </c>
      <c r="BX666" t="s">
        <v>136</v>
      </c>
      <c r="BZ666" t="s">
        <v>137</v>
      </c>
    </row>
    <row r="667" spans="1:78" hidden="1" x14ac:dyDescent="0.2">
      <c r="A667" t="s">
        <v>119</v>
      </c>
      <c r="B667" t="s">
        <v>120</v>
      </c>
      <c r="C667" t="s">
        <v>1685</v>
      </c>
      <c r="D667">
        <v>2</v>
      </c>
      <c r="E667" t="s">
        <v>1686</v>
      </c>
      <c r="F667" t="s">
        <v>1686</v>
      </c>
      <c r="G667" t="s">
        <v>124</v>
      </c>
      <c r="H667" t="s">
        <v>125</v>
      </c>
      <c r="I667">
        <v>0</v>
      </c>
      <c r="J667" t="s">
        <v>126</v>
      </c>
      <c r="K667" t="s">
        <v>125</v>
      </c>
      <c r="L667" t="s">
        <v>1687</v>
      </c>
      <c r="AE667" t="s">
        <v>128</v>
      </c>
      <c r="AG667">
        <v>1</v>
      </c>
      <c r="AH667" t="s">
        <v>1405</v>
      </c>
      <c r="AI667" t="s">
        <v>130</v>
      </c>
      <c r="AJ667" t="s">
        <v>131</v>
      </c>
      <c r="AK667" t="s">
        <v>125</v>
      </c>
      <c r="AL667">
        <v>2</v>
      </c>
      <c r="AM667" t="s">
        <v>132</v>
      </c>
      <c r="AN667" t="s">
        <v>125</v>
      </c>
      <c r="AO667" t="s">
        <v>1688</v>
      </c>
      <c r="BP667" t="s">
        <v>149</v>
      </c>
      <c r="BR667" t="s">
        <v>155</v>
      </c>
      <c r="BS667">
        <v>1</v>
      </c>
      <c r="BX667" t="s">
        <v>136</v>
      </c>
      <c r="BZ667" t="s">
        <v>137</v>
      </c>
    </row>
    <row r="668" spans="1:78" hidden="1" x14ac:dyDescent="0.2">
      <c r="A668" t="s">
        <v>119</v>
      </c>
      <c r="B668" t="s">
        <v>120</v>
      </c>
      <c r="C668" t="s">
        <v>1689</v>
      </c>
      <c r="D668">
        <v>7</v>
      </c>
      <c r="E668" t="s">
        <v>691</v>
      </c>
      <c r="F668" t="s">
        <v>261</v>
      </c>
      <c r="G668" t="s">
        <v>124</v>
      </c>
      <c r="H668" t="s">
        <v>125</v>
      </c>
      <c r="I668">
        <v>10</v>
      </c>
      <c r="J668" t="s">
        <v>268</v>
      </c>
      <c r="K668" t="s">
        <v>125</v>
      </c>
      <c r="L668" t="s">
        <v>1690</v>
      </c>
      <c r="T668" t="s">
        <v>154</v>
      </c>
      <c r="W668" t="s">
        <v>135</v>
      </c>
      <c r="AC668" t="s">
        <v>143</v>
      </c>
      <c r="AE668" t="s">
        <v>144</v>
      </c>
      <c r="AG668">
        <v>6</v>
      </c>
      <c r="AH668" t="s">
        <v>204</v>
      </c>
      <c r="AI668" t="s">
        <v>205</v>
      </c>
      <c r="AJ668" t="s">
        <v>131</v>
      </c>
      <c r="AK668" t="s">
        <v>125</v>
      </c>
      <c r="AL668">
        <v>7</v>
      </c>
      <c r="AM668" t="s">
        <v>132</v>
      </c>
      <c r="AN668" t="s">
        <v>125</v>
      </c>
      <c r="AO668" t="s">
        <v>1691</v>
      </c>
      <c r="BP668" t="s">
        <v>149</v>
      </c>
      <c r="BR668" t="s">
        <v>135</v>
      </c>
      <c r="BS668">
        <v>1</v>
      </c>
      <c r="BX668" t="s">
        <v>136</v>
      </c>
      <c r="BZ668" t="s">
        <v>137</v>
      </c>
    </row>
    <row r="669" spans="1:78" hidden="1" x14ac:dyDescent="0.2">
      <c r="A669" t="s">
        <v>119</v>
      </c>
      <c r="B669" t="s">
        <v>120</v>
      </c>
      <c r="C669" t="s">
        <v>1689</v>
      </c>
      <c r="D669">
        <v>10</v>
      </c>
      <c r="E669" t="s">
        <v>691</v>
      </c>
      <c r="F669" t="s">
        <v>261</v>
      </c>
      <c r="G669" t="s">
        <v>124</v>
      </c>
      <c r="H669" t="s">
        <v>125</v>
      </c>
      <c r="I669">
        <v>0</v>
      </c>
      <c r="J669" t="s">
        <v>126</v>
      </c>
      <c r="K669" t="s">
        <v>125</v>
      </c>
      <c r="L669" t="s">
        <v>1692</v>
      </c>
      <c r="T669" t="s">
        <v>154</v>
      </c>
      <c r="W669" t="s">
        <v>135</v>
      </c>
      <c r="AC669" t="s">
        <v>143</v>
      </c>
      <c r="AE669" t="s">
        <v>144</v>
      </c>
      <c r="AG669">
        <v>9</v>
      </c>
      <c r="AH669" t="s">
        <v>204</v>
      </c>
      <c r="AI669" t="s">
        <v>205</v>
      </c>
      <c r="AJ669" t="s">
        <v>131</v>
      </c>
      <c r="AK669" t="s">
        <v>125</v>
      </c>
      <c r="AL669">
        <v>10</v>
      </c>
      <c r="AM669" t="s">
        <v>132</v>
      </c>
      <c r="AN669" t="s">
        <v>125</v>
      </c>
      <c r="AO669" t="s">
        <v>1693</v>
      </c>
      <c r="BP669" t="s">
        <v>149</v>
      </c>
      <c r="BR669" t="s">
        <v>135</v>
      </c>
      <c r="BS669">
        <v>1</v>
      </c>
      <c r="BX669" t="s">
        <v>136</v>
      </c>
      <c r="BZ669" t="s">
        <v>137</v>
      </c>
    </row>
    <row r="670" spans="1:78" hidden="1" x14ac:dyDescent="0.2">
      <c r="A670" t="s">
        <v>119</v>
      </c>
      <c r="B670" t="s">
        <v>120</v>
      </c>
      <c r="C670" t="s">
        <v>1689</v>
      </c>
      <c r="D670">
        <v>14</v>
      </c>
      <c r="E670" t="s">
        <v>261</v>
      </c>
      <c r="F670" t="s">
        <v>261</v>
      </c>
      <c r="G670" t="s">
        <v>124</v>
      </c>
      <c r="H670" t="s">
        <v>125</v>
      </c>
      <c r="I670">
        <v>10</v>
      </c>
      <c r="J670" t="s">
        <v>1249</v>
      </c>
      <c r="K670" t="s">
        <v>125</v>
      </c>
      <c r="L670" t="s">
        <v>1694</v>
      </c>
      <c r="AE670" t="s">
        <v>128</v>
      </c>
      <c r="AG670">
        <v>13</v>
      </c>
      <c r="AH670" t="s">
        <v>1339</v>
      </c>
      <c r="AI670" t="s">
        <v>130</v>
      </c>
      <c r="AJ670" t="s">
        <v>131</v>
      </c>
      <c r="AK670" t="s">
        <v>125</v>
      </c>
      <c r="AL670">
        <v>14</v>
      </c>
      <c r="AM670" t="s">
        <v>132</v>
      </c>
      <c r="AN670" t="s">
        <v>125</v>
      </c>
      <c r="AO670" t="s">
        <v>1695</v>
      </c>
      <c r="BP670" t="s">
        <v>149</v>
      </c>
      <c r="BR670" t="s">
        <v>135</v>
      </c>
      <c r="BS670">
        <v>1</v>
      </c>
      <c r="BX670" t="s">
        <v>136</v>
      </c>
      <c r="BZ670" t="s">
        <v>137</v>
      </c>
    </row>
    <row r="671" spans="1:78" hidden="1" x14ac:dyDescent="0.2">
      <c r="A671" t="s">
        <v>119</v>
      </c>
      <c r="B671" t="s">
        <v>120</v>
      </c>
      <c r="C671" t="s">
        <v>1689</v>
      </c>
      <c r="D671">
        <v>19</v>
      </c>
      <c r="E671" t="s">
        <v>1696</v>
      </c>
      <c r="F671" t="s">
        <v>194</v>
      </c>
      <c r="G671" t="s">
        <v>124</v>
      </c>
      <c r="H671" t="s">
        <v>125</v>
      </c>
      <c r="I671">
        <v>14</v>
      </c>
      <c r="J671" t="s">
        <v>161</v>
      </c>
      <c r="K671" t="s">
        <v>125</v>
      </c>
      <c r="L671" t="s">
        <v>1697</v>
      </c>
      <c r="AE671" t="s">
        <v>128</v>
      </c>
      <c r="AG671">
        <v>18</v>
      </c>
      <c r="AH671" t="s">
        <v>375</v>
      </c>
      <c r="AI671" t="s">
        <v>130</v>
      </c>
      <c r="AJ671" t="s">
        <v>131</v>
      </c>
      <c r="AK671" t="s">
        <v>125</v>
      </c>
      <c r="AL671">
        <v>19</v>
      </c>
      <c r="AM671" t="s">
        <v>132</v>
      </c>
      <c r="AN671" t="s">
        <v>125</v>
      </c>
      <c r="AO671" t="s">
        <v>1698</v>
      </c>
      <c r="BP671" t="s">
        <v>149</v>
      </c>
      <c r="BR671" t="s">
        <v>135</v>
      </c>
      <c r="BS671">
        <v>2</v>
      </c>
      <c r="BX671" t="s">
        <v>136</v>
      </c>
      <c r="BZ671" t="s">
        <v>137</v>
      </c>
    </row>
    <row r="672" spans="1:78" hidden="1" x14ac:dyDescent="0.2">
      <c r="A672" t="s">
        <v>119</v>
      </c>
      <c r="B672" t="s">
        <v>120</v>
      </c>
      <c r="C672" t="s">
        <v>1689</v>
      </c>
      <c r="D672">
        <v>22</v>
      </c>
      <c r="E672" t="s">
        <v>1495</v>
      </c>
      <c r="F672" t="s">
        <v>1495</v>
      </c>
      <c r="G672" t="s">
        <v>124</v>
      </c>
      <c r="H672" t="s">
        <v>125</v>
      </c>
      <c r="I672">
        <v>19</v>
      </c>
      <c r="J672" t="s">
        <v>294</v>
      </c>
      <c r="K672" t="s">
        <v>125</v>
      </c>
      <c r="L672" t="s">
        <v>1699</v>
      </c>
      <c r="AE672" t="s">
        <v>128</v>
      </c>
    </row>
    <row r="673" spans="1:78" x14ac:dyDescent="0.2">
      <c r="A673" t="s">
        <v>119</v>
      </c>
      <c r="B673" t="s">
        <v>120</v>
      </c>
      <c r="C673" t="s">
        <v>1689</v>
      </c>
      <c r="D673">
        <v>27</v>
      </c>
      <c r="E673" t="s">
        <v>1674</v>
      </c>
      <c r="F673" t="s">
        <v>261</v>
      </c>
      <c r="G673" t="s">
        <v>124</v>
      </c>
      <c r="H673" t="s">
        <v>125</v>
      </c>
      <c r="I673">
        <v>19</v>
      </c>
      <c r="J673" t="s">
        <v>268</v>
      </c>
      <c r="K673" t="s">
        <v>125</v>
      </c>
      <c r="L673" t="s">
        <v>1700</v>
      </c>
      <c r="U673" t="s">
        <v>149</v>
      </c>
      <c r="W673" t="s">
        <v>135</v>
      </c>
      <c r="X673">
        <v>1</v>
      </c>
      <c r="AC673" t="s">
        <v>136</v>
      </c>
      <c r="AE673" t="s">
        <v>137</v>
      </c>
    </row>
    <row r="674" spans="1:78" hidden="1" x14ac:dyDescent="0.2">
      <c r="A674" t="s">
        <v>119</v>
      </c>
      <c r="B674" t="s">
        <v>120</v>
      </c>
      <c r="C674" t="s">
        <v>1701</v>
      </c>
      <c r="D674">
        <v>4</v>
      </c>
      <c r="E674" t="s">
        <v>1702</v>
      </c>
      <c r="F674" t="s">
        <v>194</v>
      </c>
      <c r="G674" t="s">
        <v>124</v>
      </c>
      <c r="H674" t="s">
        <v>125</v>
      </c>
      <c r="I674">
        <v>0</v>
      </c>
      <c r="J674" t="s">
        <v>126</v>
      </c>
      <c r="K674" t="s">
        <v>125</v>
      </c>
      <c r="L674" t="s">
        <v>1703</v>
      </c>
      <c r="T674" t="s">
        <v>142</v>
      </c>
      <c r="W674" t="s">
        <v>135</v>
      </c>
      <c r="AC674" t="s">
        <v>143</v>
      </c>
      <c r="AE674" t="s">
        <v>144</v>
      </c>
      <c r="AG674">
        <v>3</v>
      </c>
      <c r="AH674" t="s">
        <v>145</v>
      </c>
      <c r="AI674" t="s">
        <v>146</v>
      </c>
      <c r="AJ674" t="s">
        <v>131</v>
      </c>
      <c r="AK674" t="s">
        <v>125</v>
      </c>
      <c r="AL674">
        <v>4</v>
      </c>
      <c r="AM674" t="s">
        <v>132</v>
      </c>
      <c r="AN674" t="s">
        <v>125</v>
      </c>
      <c r="AO674" t="s">
        <v>1704</v>
      </c>
      <c r="BP674" t="s">
        <v>149</v>
      </c>
      <c r="BR674" t="s">
        <v>135</v>
      </c>
      <c r="BS674">
        <v>3</v>
      </c>
      <c r="BX674" t="s">
        <v>136</v>
      </c>
      <c r="BZ674" t="s">
        <v>137</v>
      </c>
    </row>
    <row r="675" spans="1:78" hidden="1" x14ac:dyDescent="0.2">
      <c r="A675" t="s">
        <v>119</v>
      </c>
      <c r="B675" t="s">
        <v>120</v>
      </c>
      <c r="C675" t="s">
        <v>1701</v>
      </c>
      <c r="D675">
        <v>6</v>
      </c>
      <c r="E675" t="s">
        <v>1705</v>
      </c>
      <c r="F675" t="s">
        <v>1495</v>
      </c>
      <c r="G675" t="s">
        <v>124</v>
      </c>
      <c r="H675" t="s">
        <v>125</v>
      </c>
      <c r="I675">
        <v>4</v>
      </c>
      <c r="J675" t="s">
        <v>268</v>
      </c>
      <c r="K675" t="s">
        <v>125</v>
      </c>
      <c r="L675" t="s">
        <v>792</v>
      </c>
      <c r="T675" t="s">
        <v>142</v>
      </c>
      <c r="W675" t="s">
        <v>135</v>
      </c>
      <c r="AC675" t="s">
        <v>143</v>
      </c>
      <c r="AE675" t="s">
        <v>144</v>
      </c>
    </row>
    <row r="676" spans="1:78" x14ac:dyDescent="0.2">
      <c r="A676" t="s">
        <v>119</v>
      </c>
      <c r="B676" t="s">
        <v>120</v>
      </c>
      <c r="C676" t="s">
        <v>1701</v>
      </c>
      <c r="D676">
        <v>17</v>
      </c>
      <c r="E676" t="s">
        <v>614</v>
      </c>
      <c r="F676" t="s">
        <v>205</v>
      </c>
      <c r="G676" t="s">
        <v>124</v>
      </c>
      <c r="H676" t="s">
        <v>125</v>
      </c>
      <c r="I676">
        <v>14</v>
      </c>
      <c r="J676" t="s">
        <v>170</v>
      </c>
      <c r="K676" t="s">
        <v>125</v>
      </c>
      <c r="L676" t="s">
        <v>1706</v>
      </c>
      <c r="U676" t="s">
        <v>149</v>
      </c>
      <c r="W676" t="s">
        <v>135</v>
      </c>
      <c r="X676">
        <v>3</v>
      </c>
      <c r="AC676" t="s">
        <v>136</v>
      </c>
      <c r="AE676" t="s">
        <v>137</v>
      </c>
    </row>
    <row r="677" spans="1:78" x14ac:dyDescent="0.2">
      <c r="A677" t="s">
        <v>119</v>
      </c>
      <c r="B677" t="s">
        <v>120</v>
      </c>
      <c r="C677" t="s">
        <v>1707</v>
      </c>
      <c r="D677">
        <v>8</v>
      </c>
      <c r="E677" t="s">
        <v>1708</v>
      </c>
      <c r="F677" t="s">
        <v>773</v>
      </c>
      <c r="G677" t="s">
        <v>124</v>
      </c>
      <c r="H677" t="s">
        <v>125</v>
      </c>
      <c r="I677">
        <v>0</v>
      </c>
      <c r="J677" t="s">
        <v>126</v>
      </c>
      <c r="K677" t="s">
        <v>125</v>
      </c>
      <c r="L677" t="s">
        <v>1709</v>
      </c>
      <c r="U677" t="s">
        <v>149</v>
      </c>
      <c r="W677" t="s">
        <v>135</v>
      </c>
      <c r="X677">
        <v>3</v>
      </c>
      <c r="AC677" t="s">
        <v>136</v>
      </c>
      <c r="AE677" t="s">
        <v>137</v>
      </c>
    </row>
    <row r="678" spans="1:78" hidden="1" x14ac:dyDescent="0.2">
      <c r="A678" t="s">
        <v>119</v>
      </c>
      <c r="B678" t="s">
        <v>120</v>
      </c>
      <c r="C678" t="s">
        <v>1710</v>
      </c>
      <c r="D678">
        <v>4</v>
      </c>
      <c r="E678" t="s">
        <v>407</v>
      </c>
      <c r="F678" t="s">
        <v>140</v>
      </c>
      <c r="G678" t="s">
        <v>124</v>
      </c>
      <c r="H678" t="s">
        <v>125</v>
      </c>
      <c r="I678">
        <v>0</v>
      </c>
      <c r="J678" t="s">
        <v>126</v>
      </c>
      <c r="K678" t="s">
        <v>125</v>
      </c>
      <c r="L678" t="s">
        <v>1711</v>
      </c>
      <c r="T678" t="s">
        <v>154</v>
      </c>
      <c r="W678" t="s">
        <v>135</v>
      </c>
      <c r="AC678" t="s">
        <v>143</v>
      </c>
      <c r="AE678" t="s">
        <v>144</v>
      </c>
      <c r="AG678">
        <v>3</v>
      </c>
      <c r="AH678" t="s">
        <v>614</v>
      </c>
      <c r="AI678" t="s">
        <v>205</v>
      </c>
      <c r="AJ678" t="s">
        <v>131</v>
      </c>
      <c r="AK678" t="s">
        <v>125</v>
      </c>
      <c r="AL678">
        <v>4</v>
      </c>
      <c r="AM678" t="s">
        <v>132</v>
      </c>
      <c r="AN678" t="s">
        <v>125</v>
      </c>
      <c r="AO678" t="s">
        <v>1712</v>
      </c>
      <c r="BP678" t="s">
        <v>149</v>
      </c>
      <c r="BR678" t="s">
        <v>135</v>
      </c>
      <c r="BS678">
        <v>3</v>
      </c>
      <c r="BX678" t="s">
        <v>136</v>
      </c>
      <c r="BZ678" t="s">
        <v>137</v>
      </c>
    </row>
    <row r="679" spans="1:78" hidden="1" x14ac:dyDescent="0.2">
      <c r="A679" t="s">
        <v>119</v>
      </c>
      <c r="B679" t="s">
        <v>120</v>
      </c>
      <c r="C679" t="s">
        <v>1710</v>
      </c>
      <c r="D679">
        <v>8</v>
      </c>
      <c r="E679" t="s">
        <v>691</v>
      </c>
      <c r="F679" t="s">
        <v>261</v>
      </c>
      <c r="G679" t="s">
        <v>124</v>
      </c>
      <c r="H679" t="s">
        <v>125</v>
      </c>
      <c r="I679">
        <v>12</v>
      </c>
      <c r="J679" t="s">
        <v>210</v>
      </c>
      <c r="K679" t="s">
        <v>125</v>
      </c>
      <c r="L679" t="s">
        <v>1713</v>
      </c>
      <c r="T679" t="s">
        <v>154</v>
      </c>
      <c r="W679" t="s">
        <v>135</v>
      </c>
      <c r="AC679" t="s">
        <v>143</v>
      </c>
      <c r="AE679" t="s">
        <v>144</v>
      </c>
      <c r="AG679">
        <v>7</v>
      </c>
      <c r="AH679" t="s">
        <v>204</v>
      </c>
      <c r="AI679" t="s">
        <v>205</v>
      </c>
      <c r="AJ679" t="s">
        <v>131</v>
      </c>
      <c r="AK679" t="s">
        <v>125</v>
      </c>
      <c r="AL679">
        <v>8</v>
      </c>
      <c r="AM679" t="s">
        <v>132</v>
      </c>
      <c r="AN679" t="s">
        <v>125</v>
      </c>
      <c r="AO679" t="s">
        <v>1714</v>
      </c>
      <c r="BP679" t="s">
        <v>149</v>
      </c>
      <c r="BR679" t="s">
        <v>135</v>
      </c>
      <c r="BS679">
        <v>1</v>
      </c>
      <c r="BX679" t="s">
        <v>136</v>
      </c>
      <c r="BZ679" t="s">
        <v>137</v>
      </c>
    </row>
    <row r="680" spans="1:78" hidden="1" x14ac:dyDescent="0.2">
      <c r="A680" t="s">
        <v>119</v>
      </c>
      <c r="B680" t="s">
        <v>120</v>
      </c>
      <c r="C680" t="s">
        <v>1710</v>
      </c>
      <c r="D680">
        <v>12</v>
      </c>
      <c r="E680" t="s">
        <v>691</v>
      </c>
      <c r="F680" t="s">
        <v>261</v>
      </c>
      <c r="G680" t="s">
        <v>124</v>
      </c>
      <c r="H680" t="s">
        <v>125</v>
      </c>
      <c r="I680">
        <v>4</v>
      </c>
      <c r="J680" t="s">
        <v>199</v>
      </c>
      <c r="K680" t="s">
        <v>125</v>
      </c>
      <c r="L680" t="s">
        <v>1715</v>
      </c>
      <c r="T680" t="s">
        <v>154</v>
      </c>
      <c r="W680" t="s">
        <v>135</v>
      </c>
      <c r="AC680" t="s">
        <v>143</v>
      </c>
      <c r="AE680" t="s">
        <v>144</v>
      </c>
      <c r="AG680">
        <v>11</v>
      </c>
      <c r="AH680" t="s">
        <v>204</v>
      </c>
      <c r="AI680" t="s">
        <v>205</v>
      </c>
      <c r="AJ680" t="s">
        <v>131</v>
      </c>
      <c r="AK680" t="s">
        <v>125</v>
      </c>
      <c r="AL680">
        <v>12</v>
      </c>
      <c r="AM680" t="s">
        <v>132</v>
      </c>
      <c r="AN680" t="s">
        <v>125</v>
      </c>
      <c r="AO680" t="s">
        <v>1716</v>
      </c>
      <c r="BP680" t="s">
        <v>149</v>
      </c>
      <c r="BR680" t="s">
        <v>135</v>
      </c>
      <c r="BS680">
        <v>1</v>
      </c>
      <c r="BX680" t="s">
        <v>136</v>
      </c>
      <c r="BZ680" t="s">
        <v>137</v>
      </c>
    </row>
    <row r="681" spans="1:78" hidden="1" x14ac:dyDescent="0.2">
      <c r="A681" t="s">
        <v>119</v>
      </c>
      <c r="B681" t="s">
        <v>120</v>
      </c>
      <c r="C681" t="s">
        <v>1710</v>
      </c>
      <c r="D681">
        <v>15</v>
      </c>
      <c r="E681" t="s">
        <v>1717</v>
      </c>
      <c r="F681" t="s">
        <v>927</v>
      </c>
      <c r="G681" t="s">
        <v>124</v>
      </c>
      <c r="H681" t="s">
        <v>125</v>
      </c>
      <c r="I681">
        <v>12</v>
      </c>
      <c r="J681" t="s">
        <v>1249</v>
      </c>
      <c r="K681" t="s">
        <v>125</v>
      </c>
      <c r="L681" t="s">
        <v>1718</v>
      </c>
      <c r="U681" t="s">
        <v>149</v>
      </c>
      <c r="W681" t="s">
        <v>135</v>
      </c>
      <c r="X681">
        <v>3</v>
      </c>
      <c r="AC681" t="s">
        <v>903</v>
      </c>
      <c r="AE681" t="s">
        <v>137</v>
      </c>
    </row>
    <row r="682" spans="1:78" hidden="1" x14ac:dyDescent="0.2">
      <c r="A682" t="s">
        <v>119</v>
      </c>
      <c r="B682" t="s">
        <v>120</v>
      </c>
      <c r="C682" t="s">
        <v>1719</v>
      </c>
      <c r="D682">
        <v>10</v>
      </c>
      <c r="E682" t="s">
        <v>691</v>
      </c>
      <c r="F682" t="s">
        <v>261</v>
      </c>
      <c r="G682" t="s">
        <v>124</v>
      </c>
      <c r="H682" t="s">
        <v>125</v>
      </c>
      <c r="I682">
        <v>0</v>
      </c>
      <c r="J682" t="s">
        <v>126</v>
      </c>
      <c r="K682" t="s">
        <v>125</v>
      </c>
      <c r="L682" t="s">
        <v>1720</v>
      </c>
      <c r="T682" t="s">
        <v>154</v>
      </c>
      <c r="W682" t="s">
        <v>135</v>
      </c>
      <c r="AC682" t="s">
        <v>143</v>
      </c>
      <c r="AE682" t="s">
        <v>144</v>
      </c>
      <c r="AG682">
        <v>9</v>
      </c>
      <c r="AH682" t="s">
        <v>614</v>
      </c>
      <c r="AI682" t="s">
        <v>205</v>
      </c>
      <c r="AJ682" t="s">
        <v>131</v>
      </c>
      <c r="AK682" t="s">
        <v>125</v>
      </c>
      <c r="AL682">
        <v>10</v>
      </c>
      <c r="AM682" t="s">
        <v>132</v>
      </c>
      <c r="AN682" t="s">
        <v>125</v>
      </c>
      <c r="AO682" t="s">
        <v>1721</v>
      </c>
      <c r="BP682" t="s">
        <v>149</v>
      </c>
      <c r="BR682" t="s">
        <v>135</v>
      </c>
      <c r="BS682">
        <v>3</v>
      </c>
      <c r="BX682" t="s">
        <v>136</v>
      </c>
      <c r="BZ682" t="s">
        <v>137</v>
      </c>
    </row>
    <row r="683" spans="1:78" x14ac:dyDescent="0.2">
      <c r="A683" t="s">
        <v>119</v>
      </c>
      <c r="B683" t="s">
        <v>120</v>
      </c>
      <c r="C683" t="s">
        <v>1719</v>
      </c>
      <c r="D683">
        <v>15</v>
      </c>
      <c r="E683" t="s">
        <v>1674</v>
      </c>
      <c r="F683" t="s">
        <v>261</v>
      </c>
      <c r="G683" t="s">
        <v>124</v>
      </c>
      <c r="H683" t="s">
        <v>125</v>
      </c>
      <c r="I683">
        <v>12</v>
      </c>
      <c r="J683" t="s">
        <v>161</v>
      </c>
      <c r="K683" t="s">
        <v>125</v>
      </c>
      <c r="L683" t="s">
        <v>1722</v>
      </c>
      <c r="U683" t="s">
        <v>149</v>
      </c>
      <c r="W683" t="s">
        <v>135</v>
      </c>
      <c r="X683">
        <v>1</v>
      </c>
      <c r="AC683" t="s">
        <v>136</v>
      </c>
      <c r="AE683" t="s">
        <v>137</v>
      </c>
    </row>
    <row r="684" spans="1:78" hidden="1" x14ac:dyDescent="0.2">
      <c r="A684" t="s">
        <v>119</v>
      </c>
      <c r="B684" t="s">
        <v>120</v>
      </c>
      <c r="C684" t="s">
        <v>1723</v>
      </c>
      <c r="D684">
        <v>2</v>
      </c>
      <c r="E684" t="s">
        <v>1724</v>
      </c>
      <c r="F684" t="s">
        <v>1725</v>
      </c>
      <c r="G684" t="s">
        <v>124</v>
      </c>
      <c r="H684" t="s">
        <v>125</v>
      </c>
      <c r="I684">
        <v>17</v>
      </c>
      <c r="J684" t="s">
        <v>182</v>
      </c>
      <c r="K684" t="s">
        <v>125</v>
      </c>
      <c r="L684" t="s">
        <v>1726</v>
      </c>
    </row>
    <row r="685" spans="1:78" x14ac:dyDescent="0.2">
      <c r="A685" t="s">
        <v>119</v>
      </c>
      <c r="B685" t="s">
        <v>120</v>
      </c>
      <c r="C685" t="s">
        <v>1727</v>
      </c>
      <c r="D685">
        <v>2</v>
      </c>
      <c r="E685" t="s">
        <v>1724</v>
      </c>
      <c r="F685" t="s">
        <v>1725</v>
      </c>
      <c r="G685" t="s">
        <v>124</v>
      </c>
      <c r="H685" t="s">
        <v>125</v>
      </c>
      <c r="I685">
        <v>0</v>
      </c>
      <c r="J685" t="s">
        <v>126</v>
      </c>
      <c r="K685" t="s">
        <v>125</v>
      </c>
      <c r="L685" t="s">
        <v>1728</v>
      </c>
      <c r="U685" t="s">
        <v>209</v>
      </c>
      <c r="W685" t="s">
        <v>135</v>
      </c>
      <c r="X685">
        <v>2</v>
      </c>
      <c r="AC685" t="s">
        <v>136</v>
      </c>
      <c r="AE685" t="s">
        <v>137</v>
      </c>
    </row>
    <row r="686" spans="1:78" hidden="1" x14ac:dyDescent="0.2">
      <c r="A686" t="s">
        <v>119</v>
      </c>
      <c r="B686" t="s">
        <v>120</v>
      </c>
      <c r="C686" t="s">
        <v>1729</v>
      </c>
      <c r="D686">
        <v>5</v>
      </c>
      <c r="E686" t="s">
        <v>1730</v>
      </c>
      <c r="F686" t="s">
        <v>1731</v>
      </c>
      <c r="G686" t="s">
        <v>124</v>
      </c>
      <c r="H686" t="s">
        <v>125</v>
      </c>
      <c r="I686">
        <v>7</v>
      </c>
      <c r="J686" t="s">
        <v>268</v>
      </c>
      <c r="K686" t="s">
        <v>125</v>
      </c>
      <c r="L686" t="s">
        <v>1732</v>
      </c>
      <c r="T686" t="s">
        <v>142</v>
      </c>
      <c r="W686" t="s">
        <v>135</v>
      </c>
      <c r="AC686" t="s">
        <v>143</v>
      </c>
      <c r="AE686" t="s">
        <v>144</v>
      </c>
      <c r="AG686">
        <v>3</v>
      </c>
      <c r="AH686" t="s">
        <v>1264</v>
      </c>
      <c r="AI686" t="s">
        <v>130</v>
      </c>
      <c r="AJ686" t="s">
        <v>131</v>
      </c>
      <c r="AK686" t="s">
        <v>125</v>
      </c>
      <c r="AL686">
        <v>5</v>
      </c>
      <c r="AM686" t="s">
        <v>132</v>
      </c>
      <c r="AN686" t="s">
        <v>125</v>
      </c>
      <c r="AO686" t="s">
        <v>1733</v>
      </c>
      <c r="BP686" t="s">
        <v>149</v>
      </c>
      <c r="BR686" t="s">
        <v>135</v>
      </c>
      <c r="BS686">
        <v>3</v>
      </c>
      <c r="BX686" t="s">
        <v>209</v>
      </c>
      <c r="BZ686" t="s">
        <v>137</v>
      </c>
    </row>
    <row r="687" spans="1:78" x14ac:dyDescent="0.2">
      <c r="A687" t="s">
        <v>119</v>
      </c>
      <c r="B687" t="s">
        <v>120</v>
      </c>
      <c r="C687" t="s">
        <v>1734</v>
      </c>
      <c r="D687">
        <v>6</v>
      </c>
      <c r="E687" t="s">
        <v>1735</v>
      </c>
      <c r="F687" t="s">
        <v>1731</v>
      </c>
      <c r="G687" t="s">
        <v>124</v>
      </c>
      <c r="H687" t="s">
        <v>125</v>
      </c>
      <c r="I687">
        <v>0</v>
      </c>
      <c r="J687" t="s">
        <v>126</v>
      </c>
      <c r="K687" t="s">
        <v>125</v>
      </c>
      <c r="L687" t="s">
        <v>1736</v>
      </c>
      <c r="U687" t="s">
        <v>149</v>
      </c>
      <c r="W687" t="s">
        <v>135</v>
      </c>
      <c r="X687">
        <v>2</v>
      </c>
      <c r="AC687" t="s">
        <v>136</v>
      </c>
      <c r="AE687" t="s">
        <v>137</v>
      </c>
    </row>
    <row r="688" spans="1:78" hidden="1" x14ac:dyDescent="0.2">
      <c r="A688" t="s">
        <v>119</v>
      </c>
      <c r="B688" t="s">
        <v>120</v>
      </c>
      <c r="C688" t="s">
        <v>1734</v>
      </c>
      <c r="D688">
        <v>12</v>
      </c>
      <c r="E688" t="s">
        <v>1730</v>
      </c>
      <c r="F688" t="s">
        <v>1731</v>
      </c>
      <c r="G688" t="s">
        <v>124</v>
      </c>
      <c r="H688" t="s">
        <v>125</v>
      </c>
      <c r="I688">
        <v>6</v>
      </c>
      <c r="J688" t="s">
        <v>199</v>
      </c>
      <c r="K688" t="s">
        <v>125</v>
      </c>
      <c r="L688" t="s">
        <v>1737</v>
      </c>
      <c r="T688" t="s">
        <v>142</v>
      </c>
      <c r="W688" t="s">
        <v>135</v>
      </c>
      <c r="AC688" t="s">
        <v>143</v>
      </c>
      <c r="AE688" t="s">
        <v>144</v>
      </c>
      <c r="AG688">
        <v>11</v>
      </c>
      <c r="AH688" t="s">
        <v>207</v>
      </c>
      <c r="AI688" t="s">
        <v>146</v>
      </c>
      <c r="AJ688" t="s">
        <v>131</v>
      </c>
      <c r="AK688" t="s">
        <v>125</v>
      </c>
      <c r="AL688">
        <v>12</v>
      </c>
      <c r="AM688" t="s">
        <v>132</v>
      </c>
      <c r="AN688" t="s">
        <v>125</v>
      </c>
      <c r="AO688" t="s">
        <v>1738</v>
      </c>
      <c r="BP688" t="s">
        <v>149</v>
      </c>
      <c r="BR688" t="s">
        <v>135</v>
      </c>
      <c r="BS688">
        <v>3</v>
      </c>
      <c r="BX688" t="s">
        <v>209</v>
      </c>
      <c r="BZ688" t="s">
        <v>137</v>
      </c>
    </row>
    <row r="689" spans="1:78" x14ac:dyDescent="0.2">
      <c r="A689" t="s">
        <v>119</v>
      </c>
      <c r="B689" t="s">
        <v>120</v>
      </c>
      <c r="C689" t="s">
        <v>1739</v>
      </c>
      <c r="D689">
        <v>7</v>
      </c>
      <c r="E689" t="s">
        <v>1449</v>
      </c>
      <c r="F689" t="s">
        <v>1450</v>
      </c>
      <c r="G689" t="s">
        <v>124</v>
      </c>
      <c r="H689" t="s">
        <v>125</v>
      </c>
      <c r="I689">
        <v>4</v>
      </c>
      <c r="J689" t="s">
        <v>199</v>
      </c>
      <c r="K689" t="s">
        <v>125</v>
      </c>
      <c r="L689" t="s">
        <v>1740</v>
      </c>
      <c r="U689" t="s">
        <v>149</v>
      </c>
      <c r="W689" t="s">
        <v>135</v>
      </c>
      <c r="X689">
        <v>3</v>
      </c>
      <c r="AC689" t="s">
        <v>136</v>
      </c>
      <c r="AE689" t="s">
        <v>137</v>
      </c>
    </row>
    <row r="690" spans="1:78" x14ac:dyDescent="0.2">
      <c r="A690" t="s">
        <v>119</v>
      </c>
      <c r="B690" t="s">
        <v>120</v>
      </c>
      <c r="C690" t="s">
        <v>1739</v>
      </c>
      <c r="D690">
        <v>11</v>
      </c>
      <c r="E690" t="s">
        <v>974</v>
      </c>
      <c r="F690" t="s">
        <v>350</v>
      </c>
      <c r="G690" t="s">
        <v>124</v>
      </c>
      <c r="H690" t="s">
        <v>125</v>
      </c>
      <c r="I690">
        <v>7</v>
      </c>
      <c r="J690" t="s">
        <v>264</v>
      </c>
      <c r="K690" t="s">
        <v>125</v>
      </c>
      <c r="L690" t="s">
        <v>1741</v>
      </c>
      <c r="U690" t="s">
        <v>149</v>
      </c>
      <c r="W690" t="s">
        <v>135</v>
      </c>
      <c r="X690">
        <v>1</v>
      </c>
      <c r="AC690" t="s">
        <v>136</v>
      </c>
      <c r="AE690" t="s">
        <v>137</v>
      </c>
    </row>
    <row r="691" spans="1:78" hidden="1" x14ac:dyDescent="0.2">
      <c r="A691" t="s">
        <v>119</v>
      </c>
      <c r="B691" t="s">
        <v>120</v>
      </c>
      <c r="C691" t="s">
        <v>1739</v>
      </c>
      <c r="D691">
        <v>13</v>
      </c>
      <c r="E691" t="s">
        <v>261</v>
      </c>
      <c r="F691" t="s">
        <v>261</v>
      </c>
      <c r="G691" t="s">
        <v>124</v>
      </c>
      <c r="H691" t="s">
        <v>125</v>
      </c>
      <c r="I691">
        <v>11</v>
      </c>
      <c r="J691" t="s">
        <v>294</v>
      </c>
      <c r="K691" t="s">
        <v>125</v>
      </c>
      <c r="L691" t="s">
        <v>1742</v>
      </c>
      <c r="AE691" t="s">
        <v>128</v>
      </c>
    </row>
    <row r="692" spans="1:78" hidden="1" x14ac:dyDescent="0.2">
      <c r="A692" t="s">
        <v>119</v>
      </c>
      <c r="B692" t="s">
        <v>120</v>
      </c>
      <c r="C692" t="s">
        <v>1743</v>
      </c>
      <c r="D692">
        <v>4</v>
      </c>
      <c r="E692" t="s">
        <v>691</v>
      </c>
      <c r="F692" t="s">
        <v>261</v>
      </c>
      <c r="G692" t="s">
        <v>124</v>
      </c>
      <c r="H692" t="s">
        <v>125</v>
      </c>
      <c r="I692">
        <v>10</v>
      </c>
      <c r="J692" t="s">
        <v>268</v>
      </c>
      <c r="K692" t="s">
        <v>125</v>
      </c>
      <c r="L692" t="s">
        <v>1744</v>
      </c>
      <c r="T692" t="s">
        <v>154</v>
      </c>
      <c r="W692" t="s">
        <v>135</v>
      </c>
      <c r="AC692" t="s">
        <v>143</v>
      </c>
      <c r="AE692" t="s">
        <v>144</v>
      </c>
      <c r="AG692">
        <v>3</v>
      </c>
      <c r="AH692" t="s">
        <v>614</v>
      </c>
      <c r="AI692" t="s">
        <v>205</v>
      </c>
      <c r="AJ692" t="s">
        <v>131</v>
      </c>
      <c r="AK692" t="s">
        <v>125</v>
      </c>
      <c r="AL692">
        <v>4</v>
      </c>
      <c r="AM692" t="s">
        <v>132</v>
      </c>
      <c r="AN692" t="s">
        <v>125</v>
      </c>
      <c r="AO692" t="s">
        <v>1745</v>
      </c>
      <c r="BP692" t="s">
        <v>149</v>
      </c>
      <c r="BR692" t="s">
        <v>135</v>
      </c>
      <c r="BS692">
        <v>3</v>
      </c>
      <c r="BX692" t="s">
        <v>136</v>
      </c>
      <c r="BZ692" t="s">
        <v>137</v>
      </c>
    </row>
    <row r="693" spans="1:78" hidden="1" x14ac:dyDescent="0.2">
      <c r="A693" t="s">
        <v>119</v>
      </c>
      <c r="B693" t="s">
        <v>120</v>
      </c>
      <c r="C693" t="s">
        <v>1743</v>
      </c>
      <c r="D693">
        <v>10</v>
      </c>
      <c r="E693" t="s">
        <v>261</v>
      </c>
      <c r="F693" t="s">
        <v>261</v>
      </c>
      <c r="G693" t="s">
        <v>124</v>
      </c>
      <c r="H693" t="s">
        <v>125</v>
      </c>
      <c r="I693">
        <v>0</v>
      </c>
      <c r="J693" t="s">
        <v>126</v>
      </c>
      <c r="K693" t="s">
        <v>125</v>
      </c>
      <c r="L693" t="s">
        <v>1746</v>
      </c>
      <c r="AE693" t="s">
        <v>128</v>
      </c>
      <c r="AG693">
        <v>9</v>
      </c>
      <c r="AH693" t="s">
        <v>1747</v>
      </c>
      <c r="AI693" t="s">
        <v>572</v>
      </c>
      <c r="AJ693" t="s">
        <v>131</v>
      </c>
      <c r="AK693" t="s">
        <v>125</v>
      </c>
      <c r="AL693">
        <v>10</v>
      </c>
      <c r="AM693" t="s">
        <v>132</v>
      </c>
      <c r="AN693" t="s">
        <v>125</v>
      </c>
      <c r="AO693" t="s">
        <v>1748</v>
      </c>
      <c r="BP693" t="s">
        <v>149</v>
      </c>
      <c r="BR693" t="s">
        <v>135</v>
      </c>
      <c r="BS693">
        <v>3</v>
      </c>
      <c r="BX693" t="s">
        <v>136</v>
      </c>
      <c r="BZ693" t="s">
        <v>137</v>
      </c>
    </row>
    <row r="694" spans="1:78" x14ac:dyDescent="0.2">
      <c r="A694" t="s">
        <v>119</v>
      </c>
      <c r="B694" t="s">
        <v>120</v>
      </c>
      <c r="C694" t="s">
        <v>1749</v>
      </c>
      <c r="D694">
        <v>4</v>
      </c>
      <c r="E694" t="s">
        <v>145</v>
      </c>
      <c r="F694" t="s">
        <v>146</v>
      </c>
      <c r="G694" t="s">
        <v>124</v>
      </c>
      <c r="H694" t="s">
        <v>125</v>
      </c>
      <c r="I694">
        <v>0</v>
      </c>
      <c r="J694" t="s">
        <v>126</v>
      </c>
      <c r="K694" t="s">
        <v>125</v>
      </c>
      <c r="L694" t="s">
        <v>1750</v>
      </c>
      <c r="U694" t="s">
        <v>149</v>
      </c>
      <c r="W694" t="s">
        <v>135</v>
      </c>
      <c r="X694">
        <v>3</v>
      </c>
      <c r="AC694" t="s">
        <v>136</v>
      </c>
      <c r="AE694" t="s">
        <v>137</v>
      </c>
    </row>
    <row r="695" spans="1:78" x14ac:dyDescent="0.2">
      <c r="A695" t="s">
        <v>119</v>
      </c>
      <c r="B695" t="s">
        <v>120</v>
      </c>
      <c r="C695" t="s">
        <v>1749</v>
      </c>
      <c r="D695">
        <v>9</v>
      </c>
      <c r="E695" t="s">
        <v>204</v>
      </c>
      <c r="F695" t="s">
        <v>205</v>
      </c>
      <c r="G695" t="s">
        <v>124</v>
      </c>
      <c r="H695" t="s">
        <v>125</v>
      </c>
      <c r="I695">
        <v>4</v>
      </c>
      <c r="J695" t="s">
        <v>161</v>
      </c>
      <c r="K695" t="s">
        <v>125</v>
      </c>
      <c r="L695" t="s">
        <v>1751</v>
      </c>
      <c r="U695" t="s">
        <v>149</v>
      </c>
      <c r="W695" t="s">
        <v>135</v>
      </c>
      <c r="X695">
        <v>1</v>
      </c>
      <c r="AC695" t="s">
        <v>136</v>
      </c>
      <c r="AE695" t="s">
        <v>137</v>
      </c>
    </row>
    <row r="696" spans="1:78" x14ac:dyDescent="0.2">
      <c r="A696" t="s">
        <v>119</v>
      </c>
      <c r="B696" t="s">
        <v>120</v>
      </c>
      <c r="C696" t="s">
        <v>1749</v>
      </c>
      <c r="D696">
        <v>15</v>
      </c>
      <c r="E696" t="s">
        <v>145</v>
      </c>
      <c r="F696" t="s">
        <v>146</v>
      </c>
      <c r="G696" t="s">
        <v>124</v>
      </c>
      <c r="H696" t="s">
        <v>125</v>
      </c>
      <c r="I696">
        <v>9</v>
      </c>
      <c r="J696" t="s">
        <v>161</v>
      </c>
      <c r="K696" t="s">
        <v>125</v>
      </c>
      <c r="L696" t="s">
        <v>1752</v>
      </c>
      <c r="U696" t="s">
        <v>149</v>
      </c>
      <c r="W696" t="s">
        <v>135</v>
      </c>
      <c r="X696">
        <v>3</v>
      </c>
      <c r="AC696" t="s">
        <v>136</v>
      </c>
      <c r="AE696" t="s">
        <v>137</v>
      </c>
    </row>
    <row r="697" spans="1:78" x14ac:dyDescent="0.2">
      <c r="A697" t="s">
        <v>119</v>
      </c>
      <c r="B697" t="s">
        <v>120</v>
      </c>
      <c r="C697" t="s">
        <v>1753</v>
      </c>
      <c r="D697">
        <v>5</v>
      </c>
      <c r="E697" t="s">
        <v>1309</v>
      </c>
      <c r="F697" t="s">
        <v>592</v>
      </c>
      <c r="G697" t="s">
        <v>124</v>
      </c>
      <c r="H697" t="s">
        <v>125</v>
      </c>
      <c r="I697">
        <v>10</v>
      </c>
      <c r="J697" t="s">
        <v>199</v>
      </c>
      <c r="K697" t="s">
        <v>125</v>
      </c>
      <c r="L697" t="s">
        <v>1754</v>
      </c>
      <c r="U697" t="s">
        <v>149</v>
      </c>
      <c r="W697" t="s">
        <v>135</v>
      </c>
      <c r="X697">
        <v>1</v>
      </c>
      <c r="AC697" t="s">
        <v>136</v>
      </c>
      <c r="AE697" t="s">
        <v>137</v>
      </c>
    </row>
    <row r="698" spans="1:78" x14ac:dyDescent="0.2">
      <c r="A698" t="s">
        <v>119</v>
      </c>
      <c r="B698" t="s">
        <v>120</v>
      </c>
      <c r="C698" t="s">
        <v>1755</v>
      </c>
      <c r="D698">
        <v>4</v>
      </c>
      <c r="E698" t="s">
        <v>1756</v>
      </c>
      <c r="F698" t="s">
        <v>1757</v>
      </c>
      <c r="G698" t="s">
        <v>124</v>
      </c>
      <c r="H698" t="s">
        <v>125</v>
      </c>
      <c r="I698">
        <v>0</v>
      </c>
      <c r="J698" t="s">
        <v>126</v>
      </c>
      <c r="K698" t="s">
        <v>125</v>
      </c>
      <c r="L698" t="s">
        <v>1758</v>
      </c>
      <c r="U698" t="s">
        <v>149</v>
      </c>
      <c r="W698" t="s">
        <v>135</v>
      </c>
      <c r="X698">
        <v>3</v>
      </c>
      <c r="AC698" t="s">
        <v>136</v>
      </c>
      <c r="AE698" t="s">
        <v>137</v>
      </c>
    </row>
    <row r="699" spans="1:78" x14ac:dyDescent="0.2">
      <c r="A699" t="s">
        <v>119</v>
      </c>
      <c r="B699" t="s">
        <v>120</v>
      </c>
      <c r="C699" t="s">
        <v>1755</v>
      </c>
      <c r="D699">
        <v>7</v>
      </c>
      <c r="E699" t="s">
        <v>197</v>
      </c>
      <c r="F699" t="s">
        <v>198</v>
      </c>
      <c r="G699" t="s">
        <v>124</v>
      </c>
      <c r="H699" t="s">
        <v>125</v>
      </c>
      <c r="I699">
        <v>8</v>
      </c>
      <c r="J699" t="s">
        <v>199</v>
      </c>
      <c r="K699" t="s">
        <v>125</v>
      </c>
      <c r="L699" t="s">
        <v>1759</v>
      </c>
      <c r="U699" t="s">
        <v>149</v>
      </c>
      <c r="W699" t="s">
        <v>135</v>
      </c>
      <c r="X699">
        <v>1</v>
      </c>
      <c r="AC699" t="s">
        <v>136</v>
      </c>
      <c r="AE699" t="s">
        <v>137</v>
      </c>
    </row>
    <row r="700" spans="1:78" hidden="1" x14ac:dyDescent="0.2">
      <c r="A700" t="s">
        <v>119</v>
      </c>
      <c r="B700" t="s">
        <v>120</v>
      </c>
      <c r="C700" t="s">
        <v>1755</v>
      </c>
      <c r="D700">
        <v>8</v>
      </c>
      <c r="E700" t="s">
        <v>546</v>
      </c>
      <c r="F700" t="s">
        <v>283</v>
      </c>
      <c r="G700" t="s">
        <v>124</v>
      </c>
      <c r="H700" t="s">
        <v>125</v>
      </c>
      <c r="I700">
        <v>4</v>
      </c>
      <c r="J700" t="s">
        <v>161</v>
      </c>
      <c r="K700" t="s">
        <v>125</v>
      </c>
      <c r="L700" t="s">
        <v>923</v>
      </c>
      <c r="T700" t="s">
        <v>142</v>
      </c>
      <c r="W700" t="s">
        <v>135</v>
      </c>
    </row>
    <row r="701" spans="1:78" hidden="1" x14ac:dyDescent="0.2">
      <c r="A701" t="s">
        <v>119</v>
      </c>
      <c r="B701" t="s">
        <v>120</v>
      </c>
      <c r="C701" t="s">
        <v>1760</v>
      </c>
      <c r="D701">
        <v>3</v>
      </c>
      <c r="E701" t="s">
        <v>1309</v>
      </c>
      <c r="F701" t="s">
        <v>728</v>
      </c>
      <c r="G701" t="s">
        <v>124</v>
      </c>
      <c r="H701" t="s">
        <v>125</v>
      </c>
      <c r="I701">
        <v>0</v>
      </c>
      <c r="J701" t="s">
        <v>126</v>
      </c>
      <c r="K701" t="s">
        <v>125</v>
      </c>
      <c r="L701" t="s">
        <v>1761</v>
      </c>
      <c r="T701" t="s">
        <v>154</v>
      </c>
      <c r="W701" t="s">
        <v>135</v>
      </c>
      <c r="AC701" t="s">
        <v>143</v>
      </c>
      <c r="AE701" t="s">
        <v>144</v>
      </c>
      <c r="AG701">
        <v>2</v>
      </c>
      <c r="AH701" t="s">
        <v>204</v>
      </c>
      <c r="AI701" t="s">
        <v>205</v>
      </c>
      <c r="AJ701" t="s">
        <v>131</v>
      </c>
      <c r="AK701" t="s">
        <v>125</v>
      </c>
      <c r="AL701">
        <v>3</v>
      </c>
      <c r="AM701" t="s">
        <v>132</v>
      </c>
      <c r="AN701" t="s">
        <v>125</v>
      </c>
      <c r="AO701" t="s">
        <v>1762</v>
      </c>
      <c r="BP701" t="s">
        <v>149</v>
      </c>
      <c r="BR701" t="s">
        <v>135</v>
      </c>
      <c r="BS701">
        <v>1</v>
      </c>
      <c r="BX701" t="s">
        <v>136</v>
      </c>
      <c r="BZ701" t="s">
        <v>137</v>
      </c>
    </row>
    <row r="702" spans="1:78" x14ac:dyDescent="0.2">
      <c r="A702" t="s">
        <v>119</v>
      </c>
      <c r="B702" t="s">
        <v>120</v>
      </c>
      <c r="C702" t="s">
        <v>1763</v>
      </c>
      <c r="D702">
        <v>4</v>
      </c>
      <c r="E702" t="s">
        <v>1764</v>
      </c>
      <c r="F702" t="s">
        <v>261</v>
      </c>
      <c r="G702" t="s">
        <v>124</v>
      </c>
      <c r="H702" t="s">
        <v>125</v>
      </c>
      <c r="I702">
        <v>0</v>
      </c>
      <c r="J702" t="s">
        <v>126</v>
      </c>
      <c r="K702" t="s">
        <v>125</v>
      </c>
      <c r="L702" t="s">
        <v>1765</v>
      </c>
      <c r="U702" t="s">
        <v>149</v>
      </c>
      <c r="W702" t="s">
        <v>135</v>
      </c>
      <c r="X702">
        <v>3</v>
      </c>
      <c r="AC702" t="s">
        <v>136</v>
      </c>
      <c r="AE702" t="s">
        <v>137</v>
      </c>
    </row>
    <row r="703" spans="1:78" x14ac:dyDescent="0.2">
      <c r="A703" t="s">
        <v>119</v>
      </c>
      <c r="B703" t="s">
        <v>120</v>
      </c>
      <c r="C703" t="s">
        <v>1763</v>
      </c>
      <c r="D703">
        <v>14</v>
      </c>
      <c r="E703" t="s">
        <v>1764</v>
      </c>
      <c r="F703" t="s">
        <v>261</v>
      </c>
      <c r="G703" t="s">
        <v>124</v>
      </c>
      <c r="H703" t="s">
        <v>125</v>
      </c>
      <c r="I703">
        <v>4</v>
      </c>
      <c r="J703" t="s">
        <v>161</v>
      </c>
      <c r="K703" t="s">
        <v>125</v>
      </c>
      <c r="L703" t="s">
        <v>1766</v>
      </c>
      <c r="U703" t="s">
        <v>149</v>
      </c>
      <c r="W703" t="s">
        <v>135</v>
      </c>
      <c r="X703">
        <v>3</v>
      </c>
      <c r="AC703" t="s">
        <v>136</v>
      </c>
      <c r="AE703" t="s">
        <v>137</v>
      </c>
    </row>
    <row r="704" spans="1:78" x14ac:dyDescent="0.2">
      <c r="A704" t="s">
        <v>119</v>
      </c>
      <c r="B704" t="s">
        <v>120</v>
      </c>
      <c r="C704" t="s">
        <v>1763</v>
      </c>
      <c r="D704">
        <v>20</v>
      </c>
      <c r="E704" t="s">
        <v>1764</v>
      </c>
      <c r="F704" t="s">
        <v>261</v>
      </c>
      <c r="G704" t="s">
        <v>124</v>
      </c>
      <c r="H704" t="s">
        <v>125</v>
      </c>
      <c r="I704">
        <v>4</v>
      </c>
      <c r="J704" t="s">
        <v>161</v>
      </c>
      <c r="K704" t="s">
        <v>125</v>
      </c>
      <c r="L704" t="s">
        <v>1767</v>
      </c>
      <c r="U704" t="s">
        <v>149</v>
      </c>
      <c r="W704" t="s">
        <v>135</v>
      </c>
      <c r="X704">
        <v>3</v>
      </c>
      <c r="AC704" t="s">
        <v>136</v>
      </c>
      <c r="AE704" t="s">
        <v>137</v>
      </c>
    </row>
    <row r="705" spans="1:78" hidden="1" x14ac:dyDescent="0.2">
      <c r="A705" t="s">
        <v>119</v>
      </c>
      <c r="B705" t="s">
        <v>120</v>
      </c>
      <c r="C705" t="s">
        <v>1763</v>
      </c>
      <c r="D705">
        <v>22</v>
      </c>
      <c r="E705" t="s">
        <v>261</v>
      </c>
      <c r="F705" t="s">
        <v>261</v>
      </c>
      <c r="G705" t="s">
        <v>124</v>
      </c>
      <c r="H705" t="s">
        <v>125</v>
      </c>
      <c r="I705">
        <v>20</v>
      </c>
      <c r="J705" t="s">
        <v>264</v>
      </c>
      <c r="K705" t="s">
        <v>125</v>
      </c>
      <c r="L705" t="s">
        <v>1768</v>
      </c>
      <c r="AE705" t="s">
        <v>128</v>
      </c>
    </row>
    <row r="706" spans="1:78" x14ac:dyDescent="0.2">
      <c r="A706" t="s">
        <v>119</v>
      </c>
      <c r="B706" t="s">
        <v>120</v>
      </c>
      <c r="C706" t="s">
        <v>1763</v>
      </c>
      <c r="D706">
        <v>25</v>
      </c>
      <c r="E706" t="s">
        <v>1674</v>
      </c>
      <c r="F706" t="s">
        <v>261</v>
      </c>
      <c r="G706" t="s">
        <v>124</v>
      </c>
      <c r="H706" t="s">
        <v>125</v>
      </c>
      <c r="I706">
        <v>22</v>
      </c>
      <c r="J706" t="s">
        <v>1249</v>
      </c>
      <c r="K706" t="s">
        <v>125</v>
      </c>
      <c r="L706" t="s">
        <v>948</v>
      </c>
      <c r="U706" t="s">
        <v>149</v>
      </c>
      <c r="W706" t="s">
        <v>135</v>
      </c>
      <c r="X706">
        <v>1</v>
      </c>
      <c r="AC706" t="s">
        <v>136</v>
      </c>
      <c r="AE706" t="s">
        <v>137</v>
      </c>
    </row>
    <row r="707" spans="1:78" hidden="1" x14ac:dyDescent="0.2">
      <c r="A707" t="s">
        <v>119</v>
      </c>
      <c r="B707" t="s">
        <v>120</v>
      </c>
      <c r="C707" t="s">
        <v>1769</v>
      </c>
      <c r="D707">
        <v>6</v>
      </c>
      <c r="E707" t="s">
        <v>1770</v>
      </c>
      <c r="F707" t="s">
        <v>198</v>
      </c>
      <c r="G707" t="s">
        <v>124</v>
      </c>
      <c r="H707" t="s">
        <v>125</v>
      </c>
      <c r="I707">
        <v>0</v>
      </c>
      <c r="J707" t="s">
        <v>126</v>
      </c>
      <c r="K707" t="s">
        <v>125</v>
      </c>
      <c r="L707" t="s">
        <v>1771</v>
      </c>
      <c r="U707" t="s">
        <v>149</v>
      </c>
      <c r="W707" t="s">
        <v>135</v>
      </c>
      <c r="X707">
        <v>2</v>
      </c>
      <c r="AC707" t="s">
        <v>903</v>
      </c>
      <c r="AE707" t="s">
        <v>137</v>
      </c>
    </row>
    <row r="708" spans="1:78" x14ac:dyDescent="0.2">
      <c r="A708" t="s">
        <v>119</v>
      </c>
      <c r="B708" t="s">
        <v>120</v>
      </c>
      <c r="C708" t="s">
        <v>1772</v>
      </c>
      <c r="D708">
        <v>3</v>
      </c>
      <c r="E708" t="s">
        <v>1764</v>
      </c>
      <c r="F708" t="s">
        <v>261</v>
      </c>
      <c r="G708" t="s">
        <v>124</v>
      </c>
      <c r="H708" t="s">
        <v>125</v>
      </c>
      <c r="I708">
        <v>0</v>
      </c>
      <c r="J708" t="s">
        <v>126</v>
      </c>
      <c r="K708" t="s">
        <v>125</v>
      </c>
      <c r="L708" t="s">
        <v>1773</v>
      </c>
      <c r="U708" t="s">
        <v>149</v>
      </c>
      <c r="W708" t="s">
        <v>135</v>
      </c>
      <c r="X708">
        <v>3</v>
      </c>
      <c r="AC708" t="s">
        <v>136</v>
      </c>
      <c r="AE708" t="s">
        <v>137</v>
      </c>
    </row>
    <row r="709" spans="1:78" x14ac:dyDescent="0.2">
      <c r="A709" t="s">
        <v>119</v>
      </c>
      <c r="B709" t="s">
        <v>120</v>
      </c>
      <c r="C709" t="s">
        <v>1774</v>
      </c>
      <c r="D709">
        <v>7</v>
      </c>
      <c r="E709" t="s">
        <v>1775</v>
      </c>
      <c r="F709" t="s">
        <v>1345</v>
      </c>
      <c r="G709" t="s">
        <v>124</v>
      </c>
      <c r="H709" t="s">
        <v>125</v>
      </c>
      <c r="I709">
        <v>0</v>
      </c>
      <c r="J709" t="s">
        <v>126</v>
      </c>
      <c r="K709" t="s">
        <v>125</v>
      </c>
      <c r="L709" t="s">
        <v>1776</v>
      </c>
      <c r="U709" t="s">
        <v>149</v>
      </c>
      <c r="W709" t="s">
        <v>135</v>
      </c>
      <c r="X709">
        <v>3</v>
      </c>
      <c r="AC709" t="s">
        <v>136</v>
      </c>
      <c r="AE709" t="s">
        <v>137</v>
      </c>
    </row>
    <row r="710" spans="1:78" hidden="1" x14ac:dyDescent="0.2">
      <c r="A710" t="s">
        <v>119</v>
      </c>
      <c r="B710" t="s">
        <v>120</v>
      </c>
      <c r="C710" t="s">
        <v>1774</v>
      </c>
      <c r="D710">
        <v>11</v>
      </c>
      <c r="E710" t="s">
        <v>701</v>
      </c>
      <c r="F710" t="s">
        <v>283</v>
      </c>
      <c r="G710" t="s">
        <v>124</v>
      </c>
      <c r="H710" t="s">
        <v>125</v>
      </c>
      <c r="I710">
        <v>7</v>
      </c>
      <c r="J710" t="s">
        <v>1427</v>
      </c>
      <c r="K710" t="s">
        <v>125</v>
      </c>
      <c r="L710" t="s">
        <v>1777</v>
      </c>
      <c r="U710" t="s">
        <v>149</v>
      </c>
      <c r="W710" t="s">
        <v>135</v>
      </c>
      <c r="X710">
        <v>1</v>
      </c>
      <c r="AC710" t="s">
        <v>209</v>
      </c>
      <c r="AE710" t="s">
        <v>137</v>
      </c>
    </row>
    <row r="711" spans="1:78" hidden="1" x14ac:dyDescent="0.2">
      <c r="A711" t="s">
        <v>119</v>
      </c>
      <c r="B711" t="s">
        <v>120</v>
      </c>
      <c r="C711" t="s">
        <v>1778</v>
      </c>
      <c r="D711">
        <v>2</v>
      </c>
      <c r="E711" t="s">
        <v>1309</v>
      </c>
      <c r="F711" t="s">
        <v>728</v>
      </c>
      <c r="G711" t="s">
        <v>124</v>
      </c>
      <c r="H711" t="s">
        <v>125</v>
      </c>
      <c r="I711">
        <v>7</v>
      </c>
      <c r="J711" t="s">
        <v>182</v>
      </c>
      <c r="K711" t="s">
        <v>125</v>
      </c>
      <c r="L711" t="s">
        <v>1779</v>
      </c>
      <c r="T711" t="s">
        <v>154</v>
      </c>
      <c r="W711" t="s">
        <v>135</v>
      </c>
      <c r="AC711" t="s">
        <v>143</v>
      </c>
      <c r="AE711" t="s">
        <v>144</v>
      </c>
    </row>
    <row r="712" spans="1:78" x14ac:dyDescent="0.2">
      <c r="A712" t="s">
        <v>119</v>
      </c>
      <c r="B712" t="s">
        <v>120</v>
      </c>
      <c r="C712" t="s">
        <v>1778</v>
      </c>
      <c r="D712">
        <v>4</v>
      </c>
      <c r="E712" t="s">
        <v>1309</v>
      </c>
      <c r="F712" t="s">
        <v>728</v>
      </c>
      <c r="G712" t="s">
        <v>124</v>
      </c>
      <c r="H712" t="s">
        <v>125</v>
      </c>
      <c r="I712">
        <v>7</v>
      </c>
      <c r="J712" t="s">
        <v>182</v>
      </c>
      <c r="K712" t="s">
        <v>125</v>
      </c>
      <c r="L712" t="s">
        <v>1780</v>
      </c>
      <c r="U712" t="s">
        <v>149</v>
      </c>
      <c r="W712" t="s">
        <v>135</v>
      </c>
      <c r="X712">
        <v>1</v>
      </c>
      <c r="AC712" t="s">
        <v>136</v>
      </c>
      <c r="AE712" t="s">
        <v>137</v>
      </c>
    </row>
    <row r="713" spans="1:78" x14ac:dyDescent="0.2">
      <c r="A713" t="s">
        <v>119</v>
      </c>
      <c r="B713" t="s">
        <v>120</v>
      </c>
      <c r="C713" t="s">
        <v>1778</v>
      </c>
      <c r="D713">
        <v>8</v>
      </c>
      <c r="E713" t="s">
        <v>201</v>
      </c>
      <c r="F713" t="s">
        <v>202</v>
      </c>
      <c r="G713" t="s">
        <v>124</v>
      </c>
      <c r="H713" t="s">
        <v>125</v>
      </c>
      <c r="I713">
        <v>7</v>
      </c>
      <c r="J713" t="s">
        <v>268</v>
      </c>
      <c r="K713" t="s">
        <v>125</v>
      </c>
      <c r="L713" t="s">
        <v>1781</v>
      </c>
      <c r="U713" t="s">
        <v>149</v>
      </c>
      <c r="W713" t="s">
        <v>135</v>
      </c>
      <c r="X713">
        <v>1</v>
      </c>
      <c r="AC713" t="s">
        <v>136</v>
      </c>
      <c r="AE713" t="s">
        <v>137</v>
      </c>
    </row>
    <row r="714" spans="1:78" hidden="1" x14ac:dyDescent="0.2">
      <c r="A714" t="s">
        <v>119</v>
      </c>
      <c r="B714" t="s">
        <v>120</v>
      </c>
      <c r="C714" t="s">
        <v>1778</v>
      </c>
      <c r="D714">
        <v>12</v>
      </c>
      <c r="E714" t="s">
        <v>691</v>
      </c>
      <c r="F714" t="s">
        <v>261</v>
      </c>
      <c r="G714" t="s">
        <v>124</v>
      </c>
      <c r="H714" t="s">
        <v>125</v>
      </c>
      <c r="I714">
        <v>8</v>
      </c>
      <c r="J714" t="s">
        <v>264</v>
      </c>
      <c r="K714" t="s">
        <v>125</v>
      </c>
      <c r="L714" t="s">
        <v>1782</v>
      </c>
      <c r="T714" t="s">
        <v>154</v>
      </c>
      <c r="W714" t="s">
        <v>135</v>
      </c>
      <c r="AC714" t="s">
        <v>143</v>
      </c>
      <c r="AE714" t="s">
        <v>144</v>
      </c>
      <c r="AG714">
        <v>11</v>
      </c>
      <c r="AH714" t="s">
        <v>1783</v>
      </c>
      <c r="AI714" t="s">
        <v>205</v>
      </c>
      <c r="AJ714" t="s">
        <v>131</v>
      </c>
      <c r="AK714" t="s">
        <v>125</v>
      </c>
      <c r="AL714">
        <v>12</v>
      </c>
      <c r="AM714" t="s">
        <v>132</v>
      </c>
      <c r="AN714" t="s">
        <v>125</v>
      </c>
      <c r="AO714" t="s">
        <v>1784</v>
      </c>
      <c r="BP714" t="s">
        <v>149</v>
      </c>
      <c r="BR714" t="s">
        <v>135</v>
      </c>
      <c r="BS714">
        <v>3</v>
      </c>
      <c r="BX714" t="s">
        <v>209</v>
      </c>
      <c r="BZ714" t="s">
        <v>137</v>
      </c>
    </row>
    <row r="715" spans="1:78" hidden="1" x14ac:dyDescent="0.2">
      <c r="A715" t="s">
        <v>119</v>
      </c>
      <c r="B715" t="s">
        <v>120</v>
      </c>
      <c r="C715" t="s">
        <v>1778</v>
      </c>
      <c r="D715">
        <v>20</v>
      </c>
      <c r="E715" t="s">
        <v>1785</v>
      </c>
      <c r="F715" t="s">
        <v>283</v>
      </c>
      <c r="G715" t="s">
        <v>124</v>
      </c>
      <c r="H715" t="s">
        <v>125</v>
      </c>
      <c r="I715">
        <v>12</v>
      </c>
      <c r="J715" t="s">
        <v>161</v>
      </c>
      <c r="K715" t="s">
        <v>125</v>
      </c>
      <c r="L715" t="s">
        <v>976</v>
      </c>
      <c r="U715" t="s">
        <v>149</v>
      </c>
      <c r="W715" t="s">
        <v>155</v>
      </c>
      <c r="X715">
        <v>1</v>
      </c>
      <c r="AC715" t="s">
        <v>209</v>
      </c>
      <c r="AE715" t="s">
        <v>137</v>
      </c>
    </row>
    <row r="716" spans="1:78" hidden="1" x14ac:dyDescent="0.2">
      <c r="A716" t="s">
        <v>119</v>
      </c>
      <c r="B716" t="s">
        <v>120</v>
      </c>
      <c r="C716" t="s">
        <v>1778</v>
      </c>
      <c r="D716">
        <v>23</v>
      </c>
      <c r="E716" t="s">
        <v>1538</v>
      </c>
      <c r="F716" t="s">
        <v>1538</v>
      </c>
      <c r="G716" t="s">
        <v>124</v>
      </c>
      <c r="H716" t="s">
        <v>125</v>
      </c>
      <c r="I716">
        <v>20</v>
      </c>
      <c r="J716" t="s">
        <v>294</v>
      </c>
      <c r="K716" t="s">
        <v>125</v>
      </c>
      <c r="L716" t="s">
        <v>1786</v>
      </c>
      <c r="AE716" t="s">
        <v>128</v>
      </c>
    </row>
    <row r="717" spans="1:78" x14ac:dyDescent="0.2">
      <c r="A717" t="s">
        <v>119</v>
      </c>
      <c r="B717" t="s">
        <v>120</v>
      </c>
      <c r="C717" t="s">
        <v>1778</v>
      </c>
      <c r="D717">
        <v>25</v>
      </c>
      <c r="E717" t="s">
        <v>370</v>
      </c>
      <c r="F717" t="s">
        <v>140</v>
      </c>
      <c r="G717" t="s">
        <v>124</v>
      </c>
      <c r="H717" t="s">
        <v>125</v>
      </c>
      <c r="I717">
        <v>12</v>
      </c>
      <c r="J717" t="s">
        <v>161</v>
      </c>
      <c r="K717" t="s">
        <v>125</v>
      </c>
      <c r="L717" t="s">
        <v>1787</v>
      </c>
      <c r="U717" t="s">
        <v>149</v>
      </c>
      <c r="W717" t="s">
        <v>135</v>
      </c>
      <c r="X717">
        <v>3</v>
      </c>
      <c r="AC717" t="s">
        <v>136</v>
      </c>
      <c r="AE717" t="s">
        <v>137</v>
      </c>
    </row>
    <row r="718" spans="1:78" x14ac:dyDescent="0.2">
      <c r="A718" t="s">
        <v>119</v>
      </c>
      <c r="B718" t="s">
        <v>120</v>
      </c>
      <c r="C718" t="s">
        <v>1778</v>
      </c>
      <c r="D718">
        <v>29</v>
      </c>
      <c r="E718" t="s">
        <v>1674</v>
      </c>
      <c r="F718" t="s">
        <v>261</v>
      </c>
      <c r="G718" t="s">
        <v>124</v>
      </c>
      <c r="H718" t="s">
        <v>125</v>
      </c>
      <c r="I718">
        <v>25</v>
      </c>
      <c r="J718" t="s">
        <v>1249</v>
      </c>
      <c r="K718" t="s">
        <v>125</v>
      </c>
      <c r="L718" t="s">
        <v>1788</v>
      </c>
      <c r="U718" t="s">
        <v>149</v>
      </c>
      <c r="W718" t="s">
        <v>135</v>
      </c>
      <c r="X718">
        <v>1</v>
      </c>
      <c r="AC718" t="s">
        <v>136</v>
      </c>
      <c r="AE718" t="s">
        <v>137</v>
      </c>
    </row>
    <row r="719" spans="1:78" hidden="1" x14ac:dyDescent="0.2">
      <c r="A719" t="s">
        <v>119</v>
      </c>
      <c r="B719" t="s">
        <v>120</v>
      </c>
      <c r="C719" t="s">
        <v>1789</v>
      </c>
      <c r="D719">
        <v>3</v>
      </c>
      <c r="E719" t="s">
        <v>1790</v>
      </c>
      <c r="F719" t="s">
        <v>1001</v>
      </c>
      <c r="G719" t="s">
        <v>124</v>
      </c>
      <c r="H719" t="s">
        <v>125</v>
      </c>
      <c r="I719">
        <v>0</v>
      </c>
      <c r="J719" t="s">
        <v>126</v>
      </c>
      <c r="K719" t="s">
        <v>125</v>
      </c>
      <c r="L719" t="s">
        <v>1791</v>
      </c>
      <c r="U719" t="s">
        <v>149</v>
      </c>
      <c r="W719" t="s">
        <v>135</v>
      </c>
      <c r="X719">
        <v>3</v>
      </c>
      <c r="AC719" t="s">
        <v>209</v>
      </c>
      <c r="AE719" t="s">
        <v>137</v>
      </c>
    </row>
    <row r="720" spans="1:78" hidden="1" x14ac:dyDescent="0.2">
      <c r="A720" t="s">
        <v>119</v>
      </c>
      <c r="B720" t="s">
        <v>120</v>
      </c>
      <c r="C720" t="s">
        <v>1792</v>
      </c>
      <c r="D720">
        <v>5</v>
      </c>
      <c r="E720" t="s">
        <v>691</v>
      </c>
      <c r="F720" t="s">
        <v>261</v>
      </c>
      <c r="G720" t="s">
        <v>124</v>
      </c>
      <c r="H720" t="s">
        <v>125</v>
      </c>
      <c r="I720">
        <v>0</v>
      </c>
      <c r="J720" t="s">
        <v>126</v>
      </c>
      <c r="K720" t="s">
        <v>125</v>
      </c>
      <c r="L720" t="s">
        <v>1793</v>
      </c>
      <c r="T720" t="s">
        <v>154</v>
      </c>
      <c r="W720" t="s">
        <v>135</v>
      </c>
      <c r="AC720" t="s">
        <v>143</v>
      </c>
      <c r="AE720" t="s">
        <v>144</v>
      </c>
      <c r="AG720">
        <v>4</v>
      </c>
      <c r="AH720" t="s">
        <v>204</v>
      </c>
      <c r="AI720" t="s">
        <v>205</v>
      </c>
      <c r="AJ720" t="s">
        <v>131</v>
      </c>
      <c r="AK720" t="s">
        <v>125</v>
      </c>
      <c r="AL720">
        <v>5</v>
      </c>
      <c r="AM720" t="s">
        <v>132</v>
      </c>
      <c r="AN720" t="s">
        <v>125</v>
      </c>
      <c r="AO720" t="s">
        <v>1794</v>
      </c>
      <c r="BP720" t="s">
        <v>149</v>
      </c>
      <c r="BR720" t="s">
        <v>135</v>
      </c>
      <c r="BS720">
        <v>1</v>
      </c>
      <c r="BX720" t="s">
        <v>136</v>
      </c>
      <c r="BZ720" t="s">
        <v>137</v>
      </c>
    </row>
    <row r="721" spans="1:78" hidden="1" x14ac:dyDescent="0.2">
      <c r="A721" t="s">
        <v>119</v>
      </c>
      <c r="B721" t="s">
        <v>120</v>
      </c>
      <c r="C721" t="s">
        <v>1792</v>
      </c>
      <c r="D721">
        <v>12</v>
      </c>
      <c r="E721" t="s">
        <v>691</v>
      </c>
      <c r="F721" t="s">
        <v>261</v>
      </c>
      <c r="G721" t="s">
        <v>124</v>
      </c>
      <c r="H721" t="s">
        <v>125</v>
      </c>
      <c r="I721">
        <v>5</v>
      </c>
      <c r="J721" t="s">
        <v>199</v>
      </c>
      <c r="K721" t="s">
        <v>125</v>
      </c>
      <c r="L721" t="s">
        <v>1795</v>
      </c>
      <c r="T721" t="s">
        <v>154</v>
      </c>
      <c r="W721" t="s">
        <v>135</v>
      </c>
      <c r="AC721" t="s">
        <v>143</v>
      </c>
      <c r="AE721" t="s">
        <v>144</v>
      </c>
      <c r="AG721">
        <v>11</v>
      </c>
      <c r="AH721" t="s">
        <v>204</v>
      </c>
      <c r="AI721" t="s">
        <v>205</v>
      </c>
      <c r="AJ721" t="s">
        <v>131</v>
      </c>
      <c r="AK721" t="s">
        <v>125</v>
      </c>
      <c r="AL721">
        <v>12</v>
      </c>
      <c r="AM721" t="s">
        <v>132</v>
      </c>
      <c r="AN721" t="s">
        <v>125</v>
      </c>
      <c r="AO721" t="s">
        <v>1796</v>
      </c>
      <c r="BP721" t="s">
        <v>149</v>
      </c>
      <c r="BR721" t="s">
        <v>135</v>
      </c>
      <c r="BS721">
        <v>1</v>
      </c>
      <c r="BX721" t="s">
        <v>136</v>
      </c>
      <c r="BZ721" t="s">
        <v>137</v>
      </c>
    </row>
    <row r="722" spans="1:78" x14ac:dyDescent="0.2">
      <c r="A722" t="s">
        <v>119</v>
      </c>
      <c r="B722" t="s">
        <v>120</v>
      </c>
      <c r="C722" t="s">
        <v>1797</v>
      </c>
      <c r="D722">
        <v>3</v>
      </c>
      <c r="E722" t="s">
        <v>145</v>
      </c>
      <c r="F722" t="s">
        <v>146</v>
      </c>
      <c r="G722" t="s">
        <v>124</v>
      </c>
      <c r="H722" t="s">
        <v>125</v>
      </c>
      <c r="I722">
        <v>5</v>
      </c>
      <c r="J722" t="s">
        <v>210</v>
      </c>
      <c r="K722" t="s">
        <v>125</v>
      </c>
      <c r="L722" t="s">
        <v>1798</v>
      </c>
      <c r="U722" t="s">
        <v>149</v>
      </c>
      <c r="W722" t="s">
        <v>135</v>
      </c>
      <c r="X722">
        <v>3</v>
      </c>
      <c r="AC722" t="s">
        <v>136</v>
      </c>
      <c r="AE722" t="s">
        <v>137</v>
      </c>
    </row>
    <row r="723" spans="1:78" x14ac:dyDescent="0.2">
      <c r="A723" t="s">
        <v>119</v>
      </c>
      <c r="B723" t="s">
        <v>120</v>
      </c>
      <c r="C723" t="s">
        <v>1797</v>
      </c>
      <c r="D723">
        <v>5</v>
      </c>
      <c r="E723" t="s">
        <v>145</v>
      </c>
      <c r="F723" t="s">
        <v>146</v>
      </c>
      <c r="G723" t="s">
        <v>124</v>
      </c>
      <c r="H723" t="s">
        <v>125</v>
      </c>
      <c r="I723">
        <v>0</v>
      </c>
      <c r="J723" t="s">
        <v>126</v>
      </c>
      <c r="K723" t="s">
        <v>125</v>
      </c>
      <c r="L723" t="s">
        <v>1799</v>
      </c>
      <c r="U723" t="s">
        <v>149</v>
      </c>
      <c r="W723" t="s">
        <v>135</v>
      </c>
      <c r="X723">
        <v>3</v>
      </c>
      <c r="AC723" t="s">
        <v>136</v>
      </c>
      <c r="AE723" t="s">
        <v>137</v>
      </c>
    </row>
    <row r="724" spans="1:78" hidden="1" x14ac:dyDescent="0.2">
      <c r="A724" t="s">
        <v>119</v>
      </c>
      <c r="B724" t="s">
        <v>120</v>
      </c>
      <c r="C724" t="s">
        <v>1797</v>
      </c>
      <c r="D724">
        <v>8</v>
      </c>
      <c r="E724" t="s">
        <v>407</v>
      </c>
      <c r="F724" t="s">
        <v>140</v>
      </c>
      <c r="G724" t="s">
        <v>124</v>
      </c>
      <c r="H724" t="s">
        <v>125</v>
      </c>
      <c r="I724">
        <v>5</v>
      </c>
      <c r="J724" t="s">
        <v>264</v>
      </c>
      <c r="K724" t="s">
        <v>125</v>
      </c>
      <c r="L724" t="s">
        <v>1800</v>
      </c>
      <c r="T724" t="s">
        <v>154</v>
      </c>
      <c r="W724" t="s">
        <v>135</v>
      </c>
      <c r="AC724" t="s">
        <v>143</v>
      </c>
      <c r="AE724" t="s">
        <v>144</v>
      </c>
      <c r="AG724">
        <v>7</v>
      </c>
      <c r="AH724" t="s">
        <v>614</v>
      </c>
      <c r="AI724" t="s">
        <v>205</v>
      </c>
      <c r="AJ724" t="s">
        <v>131</v>
      </c>
      <c r="AK724" t="s">
        <v>125</v>
      </c>
      <c r="AL724">
        <v>8</v>
      </c>
      <c r="AM724" t="s">
        <v>132</v>
      </c>
      <c r="AN724" t="s">
        <v>125</v>
      </c>
      <c r="AO724" t="s">
        <v>1801</v>
      </c>
      <c r="BP724" t="s">
        <v>149</v>
      </c>
      <c r="BR724" t="s">
        <v>135</v>
      </c>
      <c r="BS724">
        <v>3</v>
      </c>
      <c r="BX724" t="s">
        <v>136</v>
      </c>
      <c r="BZ724" t="s">
        <v>137</v>
      </c>
    </row>
    <row r="725" spans="1:78" hidden="1" x14ac:dyDescent="0.2">
      <c r="A725" t="s">
        <v>119</v>
      </c>
      <c r="B725" t="s">
        <v>120</v>
      </c>
      <c r="C725" t="s">
        <v>1797</v>
      </c>
      <c r="D725">
        <v>11</v>
      </c>
      <c r="E725" t="s">
        <v>407</v>
      </c>
      <c r="F725" t="s">
        <v>140</v>
      </c>
      <c r="G725" t="s">
        <v>124</v>
      </c>
      <c r="H725" t="s">
        <v>125</v>
      </c>
      <c r="I725">
        <v>8</v>
      </c>
      <c r="J725" t="s">
        <v>161</v>
      </c>
      <c r="K725" t="s">
        <v>125</v>
      </c>
      <c r="L725" t="s">
        <v>1802</v>
      </c>
      <c r="T725" t="s">
        <v>154</v>
      </c>
      <c r="W725" t="s">
        <v>135</v>
      </c>
      <c r="AC725" t="s">
        <v>143</v>
      </c>
      <c r="AE725" t="s">
        <v>144</v>
      </c>
      <c r="AG725">
        <v>10</v>
      </c>
      <c r="AH725" t="s">
        <v>614</v>
      </c>
      <c r="AI725" t="s">
        <v>205</v>
      </c>
      <c r="AJ725" t="s">
        <v>131</v>
      </c>
      <c r="AK725" t="s">
        <v>125</v>
      </c>
      <c r="AL725">
        <v>11</v>
      </c>
      <c r="AM725" t="s">
        <v>132</v>
      </c>
      <c r="AN725" t="s">
        <v>125</v>
      </c>
      <c r="AO725" t="s">
        <v>1803</v>
      </c>
      <c r="BP725" t="s">
        <v>149</v>
      </c>
      <c r="BR725" t="s">
        <v>135</v>
      </c>
      <c r="BS725">
        <v>3</v>
      </c>
      <c r="BX725" t="s">
        <v>136</v>
      </c>
      <c r="BZ725" t="s">
        <v>137</v>
      </c>
    </row>
    <row r="726" spans="1:78" x14ac:dyDescent="0.2">
      <c r="A726" t="s">
        <v>119</v>
      </c>
      <c r="B726" t="s">
        <v>120</v>
      </c>
      <c r="C726" t="s">
        <v>1804</v>
      </c>
      <c r="D726">
        <v>1</v>
      </c>
      <c r="E726" t="s">
        <v>1805</v>
      </c>
      <c r="F726" t="s">
        <v>140</v>
      </c>
      <c r="G726" t="s">
        <v>124</v>
      </c>
      <c r="H726" t="s">
        <v>125</v>
      </c>
      <c r="I726">
        <v>0</v>
      </c>
      <c r="J726" t="s">
        <v>126</v>
      </c>
      <c r="K726" t="s">
        <v>125</v>
      </c>
      <c r="L726" t="s">
        <v>1806</v>
      </c>
      <c r="U726" t="s">
        <v>209</v>
      </c>
      <c r="W726" t="s">
        <v>155</v>
      </c>
      <c r="X726">
        <v>1</v>
      </c>
      <c r="AC726" t="s">
        <v>136</v>
      </c>
      <c r="AE726" t="s">
        <v>137</v>
      </c>
    </row>
    <row r="727" spans="1:78" x14ac:dyDescent="0.2">
      <c r="A727" t="s">
        <v>119</v>
      </c>
      <c r="B727" t="s">
        <v>120</v>
      </c>
      <c r="C727" t="s">
        <v>1804</v>
      </c>
      <c r="D727">
        <v>6</v>
      </c>
      <c r="E727" t="s">
        <v>370</v>
      </c>
      <c r="F727" t="s">
        <v>140</v>
      </c>
      <c r="G727" t="s">
        <v>124</v>
      </c>
      <c r="H727" t="s">
        <v>125</v>
      </c>
      <c r="I727">
        <v>1</v>
      </c>
      <c r="J727" t="s">
        <v>199</v>
      </c>
      <c r="K727" t="s">
        <v>125</v>
      </c>
      <c r="L727" t="s">
        <v>1807</v>
      </c>
      <c r="U727" t="s">
        <v>149</v>
      </c>
      <c r="W727" t="s">
        <v>135</v>
      </c>
      <c r="X727">
        <v>3</v>
      </c>
      <c r="AC727" t="s">
        <v>136</v>
      </c>
      <c r="AE727" t="s">
        <v>137</v>
      </c>
    </row>
    <row r="728" spans="1:78" x14ac:dyDescent="0.2">
      <c r="A728" t="s">
        <v>119</v>
      </c>
      <c r="B728" t="s">
        <v>120</v>
      </c>
      <c r="C728" t="s">
        <v>1808</v>
      </c>
      <c r="D728">
        <v>3</v>
      </c>
      <c r="E728" t="s">
        <v>145</v>
      </c>
      <c r="F728" t="s">
        <v>146</v>
      </c>
      <c r="G728" t="s">
        <v>124</v>
      </c>
      <c r="H728" t="s">
        <v>125</v>
      </c>
      <c r="I728">
        <v>0</v>
      </c>
      <c r="J728" t="s">
        <v>126</v>
      </c>
      <c r="K728" t="s">
        <v>125</v>
      </c>
      <c r="L728" t="s">
        <v>1809</v>
      </c>
      <c r="U728" t="s">
        <v>149</v>
      </c>
      <c r="W728" t="s">
        <v>135</v>
      </c>
      <c r="X728">
        <v>3</v>
      </c>
      <c r="AC728" t="s">
        <v>136</v>
      </c>
      <c r="AE728" t="s">
        <v>137</v>
      </c>
    </row>
    <row r="729" spans="1:78" x14ac:dyDescent="0.2">
      <c r="A729" t="s">
        <v>119</v>
      </c>
      <c r="B729" t="s">
        <v>120</v>
      </c>
      <c r="C729" t="s">
        <v>1810</v>
      </c>
      <c r="D729">
        <v>2</v>
      </c>
      <c r="E729" t="s">
        <v>1811</v>
      </c>
      <c r="F729" t="s">
        <v>1459</v>
      </c>
      <c r="G729" t="s">
        <v>124</v>
      </c>
      <c r="H729" t="s">
        <v>125</v>
      </c>
      <c r="I729">
        <v>0</v>
      </c>
      <c r="J729" t="s">
        <v>126</v>
      </c>
      <c r="K729" t="s">
        <v>125</v>
      </c>
      <c r="L729" t="s">
        <v>1812</v>
      </c>
      <c r="U729" t="s">
        <v>209</v>
      </c>
      <c r="W729" t="s">
        <v>155</v>
      </c>
      <c r="X729">
        <v>2</v>
      </c>
      <c r="AC729" t="s">
        <v>136</v>
      </c>
      <c r="AE729" t="s">
        <v>137</v>
      </c>
    </row>
    <row r="730" spans="1:78" x14ac:dyDescent="0.2">
      <c r="A730" t="s">
        <v>119</v>
      </c>
      <c r="B730" t="s">
        <v>120</v>
      </c>
      <c r="C730" t="s">
        <v>1810</v>
      </c>
      <c r="D730">
        <v>3</v>
      </c>
      <c r="E730" t="s">
        <v>1811</v>
      </c>
      <c r="F730" t="s">
        <v>1459</v>
      </c>
      <c r="G730" t="s">
        <v>124</v>
      </c>
      <c r="H730" t="s">
        <v>125</v>
      </c>
      <c r="I730">
        <v>2</v>
      </c>
      <c r="J730" t="s">
        <v>161</v>
      </c>
      <c r="K730" t="s">
        <v>125</v>
      </c>
      <c r="L730" t="s">
        <v>1813</v>
      </c>
      <c r="U730" t="s">
        <v>209</v>
      </c>
      <c r="W730" t="s">
        <v>135</v>
      </c>
      <c r="X730">
        <v>2</v>
      </c>
      <c r="AC730" t="s">
        <v>136</v>
      </c>
      <c r="AE730" t="s">
        <v>137</v>
      </c>
    </row>
    <row r="731" spans="1:78" x14ac:dyDescent="0.2">
      <c r="A731" t="s">
        <v>119</v>
      </c>
      <c r="B731" t="s">
        <v>120</v>
      </c>
      <c r="C731" t="s">
        <v>1814</v>
      </c>
      <c r="D731">
        <v>6</v>
      </c>
      <c r="E731" t="s">
        <v>370</v>
      </c>
      <c r="F731" t="s">
        <v>140</v>
      </c>
      <c r="G731" t="s">
        <v>124</v>
      </c>
      <c r="H731" t="s">
        <v>125</v>
      </c>
      <c r="I731">
        <v>4</v>
      </c>
      <c r="J731" t="s">
        <v>170</v>
      </c>
      <c r="K731" t="s">
        <v>125</v>
      </c>
      <c r="L731" t="s">
        <v>1815</v>
      </c>
      <c r="U731" t="s">
        <v>149</v>
      </c>
      <c r="W731" t="s">
        <v>135</v>
      </c>
      <c r="X731">
        <v>3</v>
      </c>
      <c r="AC731" t="s">
        <v>136</v>
      </c>
      <c r="AE731" t="s">
        <v>137</v>
      </c>
    </row>
    <row r="732" spans="1:78" x14ac:dyDescent="0.2">
      <c r="A732" t="s">
        <v>119</v>
      </c>
      <c r="B732" t="s">
        <v>120</v>
      </c>
      <c r="C732" t="s">
        <v>1816</v>
      </c>
      <c r="D732">
        <v>3</v>
      </c>
      <c r="E732" t="s">
        <v>232</v>
      </c>
      <c r="F732" t="s">
        <v>205</v>
      </c>
      <c r="G732" t="s">
        <v>124</v>
      </c>
      <c r="H732" t="s">
        <v>125</v>
      </c>
      <c r="I732">
        <v>0</v>
      </c>
      <c r="J732" t="s">
        <v>126</v>
      </c>
      <c r="K732" t="s">
        <v>125</v>
      </c>
      <c r="L732" t="s">
        <v>1817</v>
      </c>
      <c r="U732" t="s">
        <v>149</v>
      </c>
      <c r="W732" t="s">
        <v>155</v>
      </c>
      <c r="X732">
        <v>1</v>
      </c>
      <c r="AC732" t="s">
        <v>136</v>
      </c>
      <c r="AE732" t="s">
        <v>137</v>
      </c>
    </row>
    <row r="733" spans="1:78" x14ac:dyDescent="0.2">
      <c r="A733" t="s">
        <v>119</v>
      </c>
      <c r="B733" t="s">
        <v>120</v>
      </c>
      <c r="C733" t="s">
        <v>1818</v>
      </c>
      <c r="D733">
        <v>10</v>
      </c>
      <c r="E733" t="s">
        <v>1708</v>
      </c>
      <c r="F733" t="s">
        <v>773</v>
      </c>
      <c r="G733" t="s">
        <v>124</v>
      </c>
      <c r="H733" t="s">
        <v>125</v>
      </c>
      <c r="I733">
        <v>5</v>
      </c>
      <c r="J733" t="s">
        <v>161</v>
      </c>
      <c r="K733" t="s">
        <v>125</v>
      </c>
      <c r="L733" t="s">
        <v>1819</v>
      </c>
      <c r="U733" t="s">
        <v>149</v>
      </c>
      <c r="W733" t="s">
        <v>135</v>
      </c>
      <c r="X733">
        <v>3</v>
      </c>
      <c r="AC733" t="s">
        <v>136</v>
      </c>
      <c r="AE733" t="s">
        <v>137</v>
      </c>
    </row>
    <row r="734" spans="1:78" hidden="1" x14ac:dyDescent="0.2">
      <c r="A734" t="s">
        <v>119</v>
      </c>
      <c r="B734" t="s">
        <v>120</v>
      </c>
      <c r="C734" t="s">
        <v>1820</v>
      </c>
      <c r="D734">
        <v>3</v>
      </c>
      <c r="E734" t="s">
        <v>1821</v>
      </c>
      <c r="F734" t="s">
        <v>1822</v>
      </c>
      <c r="G734" t="s">
        <v>124</v>
      </c>
      <c r="H734" t="s">
        <v>125</v>
      </c>
      <c r="I734">
        <v>0</v>
      </c>
      <c r="J734" t="s">
        <v>126</v>
      </c>
      <c r="K734" t="s">
        <v>125</v>
      </c>
      <c r="L734" t="s">
        <v>1823</v>
      </c>
      <c r="T734" t="s">
        <v>154</v>
      </c>
      <c r="W734" t="s">
        <v>135</v>
      </c>
      <c r="AC734" t="s">
        <v>143</v>
      </c>
      <c r="AE734" t="s">
        <v>144</v>
      </c>
      <c r="AG734">
        <v>2</v>
      </c>
      <c r="AH734" t="s">
        <v>1000</v>
      </c>
      <c r="AI734" t="s">
        <v>1001</v>
      </c>
      <c r="AJ734" t="s">
        <v>131</v>
      </c>
      <c r="AK734" t="s">
        <v>125</v>
      </c>
      <c r="AL734">
        <v>3</v>
      </c>
      <c r="AM734" t="s">
        <v>147</v>
      </c>
      <c r="AN734" t="s">
        <v>125</v>
      </c>
      <c r="AO734" t="s">
        <v>1099</v>
      </c>
      <c r="BP734" t="s">
        <v>149</v>
      </c>
      <c r="BR734" t="s">
        <v>135</v>
      </c>
      <c r="BS734">
        <v>3</v>
      </c>
      <c r="BX734" t="s">
        <v>136</v>
      </c>
      <c r="BZ734" t="s">
        <v>137</v>
      </c>
    </row>
    <row r="735" spans="1:78" x14ac:dyDescent="0.2">
      <c r="A735" t="s">
        <v>119</v>
      </c>
      <c r="B735" t="s">
        <v>120</v>
      </c>
      <c r="C735" t="s">
        <v>1824</v>
      </c>
      <c r="D735">
        <v>2</v>
      </c>
      <c r="E735" t="s">
        <v>1825</v>
      </c>
      <c r="F735" t="s">
        <v>198</v>
      </c>
      <c r="G735" t="s">
        <v>124</v>
      </c>
      <c r="H735" t="s">
        <v>125</v>
      </c>
      <c r="I735">
        <v>0</v>
      </c>
      <c r="J735" t="s">
        <v>126</v>
      </c>
      <c r="K735" t="s">
        <v>125</v>
      </c>
      <c r="L735" t="s">
        <v>1826</v>
      </c>
      <c r="U735" t="s">
        <v>149</v>
      </c>
      <c r="W735" t="s">
        <v>135</v>
      </c>
      <c r="X735">
        <v>2</v>
      </c>
      <c r="AC735" t="s">
        <v>136</v>
      </c>
      <c r="AE735" t="s">
        <v>137</v>
      </c>
    </row>
    <row r="736" spans="1:78" x14ac:dyDescent="0.2">
      <c r="A736" t="s">
        <v>119</v>
      </c>
      <c r="B736" t="s">
        <v>120</v>
      </c>
      <c r="C736" t="s">
        <v>1824</v>
      </c>
      <c r="D736">
        <v>5</v>
      </c>
      <c r="E736" t="s">
        <v>1827</v>
      </c>
      <c r="F736" t="s">
        <v>1345</v>
      </c>
      <c r="G736" t="s">
        <v>124</v>
      </c>
      <c r="H736" t="s">
        <v>125</v>
      </c>
      <c r="I736">
        <v>2</v>
      </c>
      <c r="J736" t="s">
        <v>1427</v>
      </c>
      <c r="K736" t="s">
        <v>125</v>
      </c>
      <c r="L736" t="s">
        <v>1828</v>
      </c>
      <c r="U736" t="s">
        <v>149</v>
      </c>
      <c r="W736" t="s">
        <v>135</v>
      </c>
      <c r="X736">
        <v>3</v>
      </c>
      <c r="AC736" t="s">
        <v>136</v>
      </c>
      <c r="AE736" t="s">
        <v>137</v>
      </c>
    </row>
    <row r="737" spans="1:78" hidden="1" x14ac:dyDescent="0.2">
      <c r="A737" t="s">
        <v>119</v>
      </c>
      <c r="B737" t="s">
        <v>120</v>
      </c>
      <c r="C737" t="s">
        <v>1824</v>
      </c>
      <c r="D737">
        <v>11</v>
      </c>
      <c r="E737" t="s">
        <v>1829</v>
      </c>
      <c r="F737" t="s">
        <v>1830</v>
      </c>
      <c r="G737" t="s">
        <v>124</v>
      </c>
      <c r="H737" t="s">
        <v>125</v>
      </c>
      <c r="I737">
        <v>2</v>
      </c>
      <c r="J737" t="s">
        <v>161</v>
      </c>
      <c r="K737" t="s">
        <v>125</v>
      </c>
      <c r="L737" t="s">
        <v>1831</v>
      </c>
      <c r="T737" t="s">
        <v>154</v>
      </c>
      <c r="W737" t="s">
        <v>135</v>
      </c>
      <c r="AC737" t="s">
        <v>143</v>
      </c>
      <c r="AE737" t="s">
        <v>144</v>
      </c>
      <c r="AG737">
        <v>10</v>
      </c>
      <c r="AH737" t="s">
        <v>1000</v>
      </c>
      <c r="AI737" t="s">
        <v>1001</v>
      </c>
      <c r="AJ737" t="s">
        <v>131</v>
      </c>
      <c r="AK737" t="s">
        <v>125</v>
      </c>
      <c r="AL737">
        <v>11</v>
      </c>
      <c r="AM737" t="s">
        <v>147</v>
      </c>
      <c r="AN737" t="s">
        <v>125</v>
      </c>
      <c r="AO737" t="s">
        <v>1832</v>
      </c>
      <c r="BP737" t="s">
        <v>149</v>
      </c>
      <c r="BR737" t="s">
        <v>135</v>
      </c>
      <c r="BS737">
        <v>3</v>
      </c>
      <c r="BX737" t="s">
        <v>136</v>
      </c>
      <c r="BZ737" t="s">
        <v>137</v>
      </c>
    </row>
    <row r="738" spans="1:78" x14ac:dyDescent="0.2">
      <c r="A738" t="s">
        <v>119</v>
      </c>
      <c r="B738" t="s">
        <v>120</v>
      </c>
      <c r="C738" t="s">
        <v>1833</v>
      </c>
      <c r="D738">
        <v>4</v>
      </c>
      <c r="E738" t="s">
        <v>1834</v>
      </c>
      <c r="F738" t="s">
        <v>534</v>
      </c>
      <c r="G738" t="s">
        <v>124</v>
      </c>
      <c r="H738" t="s">
        <v>125</v>
      </c>
      <c r="I738">
        <v>0</v>
      </c>
      <c r="J738" t="s">
        <v>126</v>
      </c>
      <c r="K738" t="s">
        <v>125</v>
      </c>
      <c r="L738" t="s">
        <v>1835</v>
      </c>
      <c r="U738" t="s">
        <v>149</v>
      </c>
      <c r="W738" t="s">
        <v>155</v>
      </c>
      <c r="X738">
        <v>3</v>
      </c>
      <c r="AC738" t="s">
        <v>136</v>
      </c>
      <c r="AE738" t="s">
        <v>137</v>
      </c>
    </row>
    <row r="739" spans="1:78" hidden="1" x14ac:dyDescent="0.2">
      <c r="A739" t="s">
        <v>119</v>
      </c>
      <c r="B739" t="s">
        <v>120</v>
      </c>
      <c r="C739" t="s">
        <v>1833</v>
      </c>
      <c r="D739">
        <v>6</v>
      </c>
      <c r="E739" t="s">
        <v>1836</v>
      </c>
      <c r="F739" t="s">
        <v>1836</v>
      </c>
      <c r="G739" t="s">
        <v>124</v>
      </c>
      <c r="H739" t="s">
        <v>125</v>
      </c>
      <c r="I739">
        <v>4</v>
      </c>
      <c r="J739" t="s">
        <v>294</v>
      </c>
      <c r="K739" t="s">
        <v>125</v>
      </c>
      <c r="L739" t="s">
        <v>1837</v>
      </c>
      <c r="AE739" t="s">
        <v>128</v>
      </c>
    </row>
    <row r="740" spans="1:78" hidden="1" x14ac:dyDescent="0.2">
      <c r="A740" t="s">
        <v>119</v>
      </c>
      <c r="B740" t="s">
        <v>120</v>
      </c>
      <c r="C740" t="s">
        <v>1838</v>
      </c>
      <c r="D740">
        <v>7</v>
      </c>
      <c r="E740" t="s">
        <v>1839</v>
      </c>
      <c r="F740" t="s">
        <v>1840</v>
      </c>
      <c r="G740" t="s">
        <v>124</v>
      </c>
      <c r="H740" t="s">
        <v>125</v>
      </c>
      <c r="I740">
        <v>0</v>
      </c>
      <c r="J740" t="s">
        <v>126</v>
      </c>
      <c r="K740" t="s">
        <v>125</v>
      </c>
      <c r="L740" t="s">
        <v>1841</v>
      </c>
      <c r="T740" t="s">
        <v>154</v>
      </c>
      <c r="W740" t="s">
        <v>135</v>
      </c>
      <c r="AC740" t="s">
        <v>143</v>
      </c>
      <c r="AE740" t="s">
        <v>144</v>
      </c>
      <c r="AG740">
        <v>6</v>
      </c>
      <c r="AH740" t="s">
        <v>204</v>
      </c>
      <c r="AI740" t="s">
        <v>205</v>
      </c>
      <c r="AJ740" t="s">
        <v>131</v>
      </c>
      <c r="AK740" t="s">
        <v>125</v>
      </c>
      <c r="AL740">
        <v>7</v>
      </c>
      <c r="AM740" t="s">
        <v>132</v>
      </c>
      <c r="AN740" t="s">
        <v>125</v>
      </c>
      <c r="AO740" t="s">
        <v>1842</v>
      </c>
    </row>
    <row r="741" spans="1:78" x14ac:dyDescent="0.2">
      <c r="A741" t="s">
        <v>119</v>
      </c>
      <c r="B741" t="s">
        <v>120</v>
      </c>
      <c r="C741" t="s">
        <v>1843</v>
      </c>
      <c r="D741">
        <v>5</v>
      </c>
      <c r="E741" t="s">
        <v>145</v>
      </c>
      <c r="F741" t="s">
        <v>146</v>
      </c>
      <c r="G741" t="s">
        <v>124</v>
      </c>
      <c r="H741" t="s">
        <v>125</v>
      </c>
      <c r="I741">
        <v>0</v>
      </c>
      <c r="J741" t="s">
        <v>126</v>
      </c>
      <c r="K741" t="s">
        <v>125</v>
      </c>
      <c r="L741" t="s">
        <v>1844</v>
      </c>
      <c r="U741" t="s">
        <v>149</v>
      </c>
      <c r="W741" t="s">
        <v>135</v>
      </c>
      <c r="X741">
        <v>3</v>
      </c>
      <c r="AC741" t="s">
        <v>136</v>
      </c>
      <c r="AE741" t="s">
        <v>137</v>
      </c>
    </row>
    <row r="742" spans="1:78" hidden="1" x14ac:dyDescent="0.2">
      <c r="A742" t="s">
        <v>119</v>
      </c>
      <c r="B742" t="s">
        <v>120</v>
      </c>
      <c r="C742" t="s">
        <v>1843</v>
      </c>
      <c r="D742">
        <v>17</v>
      </c>
      <c r="E742" t="s">
        <v>761</v>
      </c>
      <c r="F742" t="s">
        <v>762</v>
      </c>
      <c r="G742" t="s">
        <v>124</v>
      </c>
      <c r="H742" t="s">
        <v>125</v>
      </c>
      <c r="I742">
        <v>5</v>
      </c>
      <c r="J742" t="s">
        <v>199</v>
      </c>
      <c r="K742" t="s">
        <v>125</v>
      </c>
      <c r="L742" t="s">
        <v>1845</v>
      </c>
      <c r="T742" t="s">
        <v>154</v>
      </c>
      <c r="W742" t="s">
        <v>135</v>
      </c>
      <c r="AC742" t="s">
        <v>143</v>
      </c>
      <c r="AE742" t="s">
        <v>144</v>
      </c>
      <c r="AG742">
        <v>16</v>
      </c>
      <c r="AH742" t="s">
        <v>204</v>
      </c>
      <c r="AI742" t="s">
        <v>205</v>
      </c>
      <c r="AJ742" t="s">
        <v>131</v>
      </c>
      <c r="AK742" t="s">
        <v>125</v>
      </c>
      <c r="AL742">
        <v>17</v>
      </c>
      <c r="AM742" t="s">
        <v>132</v>
      </c>
      <c r="AN742" t="s">
        <v>125</v>
      </c>
      <c r="AO742" t="s">
        <v>1846</v>
      </c>
      <c r="BP742" t="s">
        <v>149</v>
      </c>
      <c r="BR742" t="s">
        <v>135</v>
      </c>
      <c r="BS742">
        <v>1</v>
      </c>
      <c r="BX742" t="s">
        <v>136</v>
      </c>
      <c r="BZ742" t="s">
        <v>137</v>
      </c>
    </row>
    <row r="743" spans="1:78" hidden="1" x14ac:dyDescent="0.2">
      <c r="A743" t="s">
        <v>119</v>
      </c>
      <c r="B743" t="s">
        <v>120</v>
      </c>
      <c r="C743" t="s">
        <v>1843</v>
      </c>
      <c r="D743">
        <v>30</v>
      </c>
      <c r="E743" t="s">
        <v>1847</v>
      </c>
      <c r="F743" t="s">
        <v>1847</v>
      </c>
      <c r="G743" t="s">
        <v>124</v>
      </c>
      <c r="H743" t="s">
        <v>125</v>
      </c>
      <c r="I743">
        <v>26</v>
      </c>
      <c r="J743" t="s">
        <v>170</v>
      </c>
      <c r="K743" t="s">
        <v>125</v>
      </c>
      <c r="L743" t="s">
        <v>1848</v>
      </c>
    </row>
    <row r="744" spans="1:78" x14ac:dyDescent="0.2">
      <c r="A744" t="s">
        <v>119</v>
      </c>
      <c r="B744" t="s">
        <v>120</v>
      </c>
      <c r="C744" t="s">
        <v>1849</v>
      </c>
      <c r="D744">
        <v>2</v>
      </c>
      <c r="E744" t="s">
        <v>1850</v>
      </c>
      <c r="F744" t="s">
        <v>1851</v>
      </c>
      <c r="G744" t="s">
        <v>124</v>
      </c>
      <c r="H744" t="s">
        <v>125</v>
      </c>
      <c r="I744">
        <v>0</v>
      </c>
      <c r="J744" t="s">
        <v>126</v>
      </c>
      <c r="K744" t="s">
        <v>125</v>
      </c>
      <c r="L744" t="s">
        <v>1852</v>
      </c>
      <c r="U744" t="s">
        <v>149</v>
      </c>
      <c r="W744" t="s">
        <v>135</v>
      </c>
      <c r="X744">
        <v>2</v>
      </c>
      <c r="AC744" t="s">
        <v>136</v>
      </c>
      <c r="AE744" t="s">
        <v>137</v>
      </c>
    </row>
    <row r="745" spans="1:78" x14ac:dyDescent="0.2">
      <c r="A745" t="s">
        <v>119</v>
      </c>
      <c r="B745" t="s">
        <v>120</v>
      </c>
      <c r="C745" t="s">
        <v>1853</v>
      </c>
      <c r="D745">
        <v>1</v>
      </c>
      <c r="E745" t="s">
        <v>1811</v>
      </c>
      <c r="F745" t="s">
        <v>1459</v>
      </c>
      <c r="G745" t="s">
        <v>124</v>
      </c>
      <c r="H745" t="s">
        <v>125</v>
      </c>
      <c r="I745">
        <v>0</v>
      </c>
      <c r="J745" t="s">
        <v>126</v>
      </c>
      <c r="K745" t="s">
        <v>125</v>
      </c>
      <c r="L745" t="s">
        <v>1854</v>
      </c>
      <c r="U745" t="s">
        <v>209</v>
      </c>
      <c r="W745" t="s">
        <v>135</v>
      </c>
      <c r="X745">
        <v>2</v>
      </c>
      <c r="AC745" t="s">
        <v>136</v>
      </c>
      <c r="AE745" t="s">
        <v>137</v>
      </c>
    </row>
    <row r="746" spans="1:78" x14ac:dyDescent="0.2">
      <c r="A746" t="s">
        <v>119</v>
      </c>
      <c r="B746" t="s">
        <v>120</v>
      </c>
      <c r="C746" t="s">
        <v>1855</v>
      </c>
      <c r="D746">
        <v>1</v>
      </c>
      <c r="E746" t="s">
        <v>1856</v>
      </c>
      <c r="F746" t="s">
        <v>1857</v>
      </c>
      <c r="G746" t="s">
        <v>124</v>
      </c>
      <c r="H746" t="s">
        <v>125</v>
      </c>
      <c r="I746">
        <v>0</v>
      </c>
      <c r="J746" t="s">
        <v>126</v>
      </c>
      <c r="K746" t="s">
        <v>125</v>
      </c>
      <c r="L746" t="s">
        <v>1858</v>
      </c>
      <c r="U746" t="s">
        <v>149</v>
      </c>
      <c r="W746" t="s">
        <v>135</v>
      </c>
      <c r="X746">
        <v>3</v>
      </c>
      <c r="AC746" t="s">
        <v>136</v>
      </c>
      <c r="AE746" t="s">
        <v>137</v>
      </c>
    </row>
    <row r="747" spans="1:78" hidden="1" x14ac:dyDescent="0.2">
      <c r="A747" t="s">
        <v>119</v>
      </c>
      <c r="B747" t="s">
        <v>120</v>
      </c>
      <c r="C747" t="s">
        <v>1859</v>
      </c>
      <c r="D747">
        <v>1</v>
      </c>
      <c r="E747" t="s">
        <v>1860</v>
      </c>
      <c r="F747" t="s">
        <v>1861</v>
      </c>
      <c r="G747" t="s">
        <v>124</v>
      </c>
      <c r="H747" t="s">
        <v>125</v>
      </c>
      <c r="I747">
        <v>0</v>
      </c>
      <c r="J747" t="s">
        <v>126</v>
      </c>
      <c r="K747" t="s">
        <v>125</v>
      </c>
      <c r="L747" t="s">
        <v>1862</v>
      </c>
      <c r="T747" t="s">
        <v>142</v>
      </c>
      <c r="W747" t="s">
        <v>135</v>
      </c>
      <c r="AC747" t="s">
        <v>143</v>
      </c>
      <c r="AE747" t="s">
        <v>144</v>
      </c>
    </row>
    <row r="748" spans="1:78" x14ac:dyDescent="0.2">
      <c r="A748" t="s">
        <v>119</v>
      </c>
      <c r="B748" t="s">
        <v>120</v>
      </c>
      <c r="C748" t="s">
        <v>1863</v>
      </c>
      <c r="D748">
        <v>16</v>
      </c>
      <c r="E748" t="s">
        <v>1764</v>
      </c>
      <c r="F748" t="s">
        <v>261</v>
      </c>
      <c r="G748" t="s">
        <v>124</v>
      </c>
      <c r="H748" t="s">
        <v>125</v>
      </c>
      <c r="I748">
        <v>6</v>
      </c>
      <c r="J748" t="s">
        <v>161</v>
      </c>
      <c r="K748" t="s">
        <v>125</v>
      </c>
      <c r="L748" t="s">
        <v>1864</v>
      </c>
      <c r="U748" t="s">
        <v>149</v>
      </c>
      <c r="W748" t="s">
        <v>135</v>
      </c>
      <c r="X748">
        <v>3</v>
      </c>
      <c r="AC748" t="s">
        <v>136</v>
      </c>
      <c r="AE748" t="s">
        <v>137</v>
      </c>
    </row>
    <row r="749" spans="1:78" hidden="1" x14ac:dyDescent="0.2">
      <c r="A749" t="s">
        <v>119</v>
      </c>
      <c r="B749" t="s">
        <v>120</v>
      </c>
      <c r="C749" t="s">
        <v>1863</v>
      </c>
      <c r="D749">
        <v>19</v>
      </c>
      <c r="E749" t="s">
        <v>1865</v>
      </c>
      <c r="F749" t="s">
        <v>1001</v>
      </c>
      <c r="G749" t="s">
        <v>124</v>
      </c>
      <c r="H749" t="s">
        <v>125</v>
      </c>
      <c r="I749">
        <v>16</v>
      </c>
      <c r="J749" t="s">
        <v>1249</v>
      </c>
      <c r="K749" t="s">
        <v>125</v>
      </c>
      <c r="L749" t="s">
        <v>1866</v>
      </c>
      <c r="T749" t="s">
        <v>142</v>
      </c>
      <c r="W749" t="s">
        <v>135</v>
      </c>
      <c r="AC749" t="s">
        <v>143</v>
      </c>
      <c r="AE749" t="s">
        <v>144</v>
      </c>
      <c r="AG749">
        <v>18</v>
      </c>
      <c r="AH749" t="s">
        <v>235</v>
      </c>
      <c r="AI749" t="s">
        <v>146</v>
      </c>
      <c r="AJ749" t="s">
        <v>131</v>
      </c>
      <c r="AK749" t="s">
        <v>125</v>
      </c>
      <c r="AL749">
        <v>19</v>
      </c>
      <c r="AM749" t="s">
        <v>132</v>
      </c>
      <c r="AN749" t="s">
        <v>125</v>
      </c>
      <c r="AO749" t="s">
        <v>1867</v>
      </c>
      <c r="BP749" t="s">
        <v>149</v>
      </c>
      <c r="BR749" t="s">
        <v>135</v>
      </c>
      <c r="BS749">
        <v>1</v>
      </c>
      <c r="BX749" t="s">
        <v>136</v>
      </c>
      <c r="BZ749" t="s">
        <v>137</v>
      </c>
    </row>
    <row r="750" spans="1:78" hidden="1" x14ac:dyDescent="0.2">
      <c r="A750" t="s">
        <v>119</v>
      </c>
      <c r="B750" t="s">
        <v>120</v>
      </c>
      <c r="C750" t="s">
        <v>1863</v>
      </c>
      <c r="D750">
        <v>26</v>
      </c>
      <c r="E750" t="s">
        <v>1868</v>
      </c>
      <c r="F750" t="s">
        <v>1868</v>
      </c>
      <c r="G750" t="s">
        <v>124</v>
      </c>
      <c r="H750" t="s">
        <v>125</v>
      </c>
      <c r="I750">
        <v>19</v>
      </c>
      <c r="J750" t="s">
        <v>268</v>
      </c>
      <c r="K750" t="s">
        <v>125</v>
      </c>
      <c r="L750" t="s">
        <v>1869</v>
      </c>
      <c r="AG750">
        <v>25</v>
      </c>
      <c r="AH750" t="s">
        <v>666</v>
      </c>
      <c r="AI750" t="s">
        <v>667</v>
      </c>
      <c r="AJ750" t="s">
        <v>131</v>
      </c>
      <c r="AK750" t="s">
        <v>125</v>
      </c>
      <c r="AL750">
        <v>26</v>
      </c>
      <c r="AM750" t="s">
        <v>132</v>
      </c>
      <c r="AN750" t="s">
        <v>125</v>
      </c>
      <c r="AO750" t="s">
        <v>1870</v>
      </c>
      <c r="BP750" t="s">
        <v>149</v>
      </c>
      <c r="BR750" t="s">
        <v>135</v>
      </c>
      <c r="BS750">
        <v>1</v>
      </c>
      <c r="BX750" t="s">
        <v>209</v>
      </c>
      <c r="BZ750" t="s">
        <v>137</v>
      </c>
    </row>
    <row r="751" spans="1:78" x14ac:dyDescent="0.2">
      <c r="A751" t="s">
        <v>119</v>
      </c>
      <c r="B751" t="s">
        <v>120</v>
      </c>
      <c r="C751" t="s">
        <v>1871</v>
      </c>
      <c r="D751">
        <v>1</v>
      </c>
      <c r="E751" t="s">
        <v>1872</v>
      </c>
      <c r="F751" t="s">
        <v>534</v>
      </c>
      <c r="G751" t="s">
        <v>124</v>
      </c>
      <c r="H751" t="s">
        <v>125</v>
      </c>
      <c r="I751">
        <v>0</v>
      </c>
      <c r="J751" t="s">
        <v>126</v>
      </c>
      <c r="K751" t="s">
        <v>125</v>
      </c>
      <c r="L751" t="s">
        <v>1873</v>
      </c>
      <c r="U751" t="s">
        <v>149</v>
      </c>
      <c r="W751" t="s">
        <v>135</v>
      </c>
      <c r="X751">
        <v>2</v>
      </c>
      <c r="AC751" t="s">
        <v>136</v>
      </c>
      <c r="AE751" t="s">
        <v>137</v>
      </c>
    </row>
    <row r="752" spans="1:78" x14ac:dyDescent="0.2">
      <c r="A752" t="s">
        <v>119</v>
      </c>
      <c r="B752" t="s">
        <v>120</v>
      </c>
      <c r="C752" t="s">
        <v>1874</v>
      </c>
      <c r="D752">
        <v>4</v>
      </c>
      <c r="E752" t="s">
        <v>614</v>
      </c>
      <c r="F752" t="s">
        <v>205</v>
      </c>
      <c r="G752" t="s">
        <v>124</v>
      </c>
      <c r="H752" t="s">
        <v>125</v>
      </c>
      <c r="I752">
        <v>0</v>
      </c>
      <c r="J752" t="s">
        <v>126</v>
      </c>
      <c r="K752" t="s">
        <v>125</v>
      </c>
      <c r="L752" t="s">
        <v>1875</v>
      </c>
      <c r="U752" t="s">
        <v>149</v>
      </c>
      <c r="W752" t="s">
        <v>135</v>
      </c>
      <c r="X752">
        <v>3</v>
      </c>
      <c r="AC752" t="s">
        <v>136</v>
      </c>
      <c r="AE752" t="s">
        <v>137</v>
      </c>
    </row>
    <row r="753" spans="1:78" hidden="1" x14ac:dyDescent="0.2">
      <c r="A753" t="s">
        <v>119</v>
      </c>
      <c r="B753" t="s">
        <v>120</v>
      </c>
      <c r="C753" t="s">
        <v>1876</v>
      </c>
      <c r="D753">
        <v>5</v>
      </c>
      <c r="E753" t="s">
        <v>1073</v>
      </c>
      <c r="F753" t="s">
        <v>311</v>
      </c>
      <c r="G753" t="s">
        <v>124</v>
      </c>
      <c r="H753" t="s">
        <v>125</v>
      </c>
      <c r="I753">
        <v>0</v>
      </c>
      <c r="J753" t="s">
        <v>126</v>
      </c>
      <c r="K753" t="s">
        <v>125</v>
      </c>
      <c r="L753" t="s">
        <v>1147</v>
      </c>
      <c r="U753" t="s">
        <v>149</v>
      </c>
      <c r="W753" t="s">
        <v>135</v>
      </c>
      <c r="X753">
        <v>1</v>
      </c>
      <c r="AC753" t="s">
        <v>209</v>
      </c>
      <c r="AE753" t="s">
        <v>137</v>
      </c>
    </row>
    <row r="754" spans="1:78" x14ac:dyDescent="0.2">
      <c r="A754" t="s">
        <v>119</v>
      </c>
      <c r="B754" t="s">
        <v>120</v>
      </c>
      <c r="C754" t="s">
        <v>1876</v>
      </c>
      <c r="D754">
        <v>10</v>
      </c>
      <c r="E754" t="s">
        <v>614</v>
      </c>
      <c r="F754" t="s">
        <v>205</v>
      </c>
      <c r="G754" t="s">
        <v>124</v>
      </c>
      <c r="H754" t="s">
        <v>125</v>
      </c>
      <c r="I754">
        <v>5</v>
      </c>
      <c r="J754" t="s">
        <v>161</v>
      </c>
      <c r="K754" t="s">
        <v>125</v>
      </c>
      <c r="L754" t="s">
        <v>1877</v>
      </c>
      <c r="U754" t="s">
        <v>149</v>
      </c>
      <c r="W754" t="s">
        <v>135</v>
      </c>
      <c r="X754">
        <v>3</v>
      </c>
      <c r="AC754" t="s">
        <v>136</v>
      </c>
      <c r="AE754" t="s">
        <v>137</v>
      </c>
    </row>
    <row r="755" spans="1:78" x14ac:dyDescent="0.2">
      <c r="A755" t="s">
        <v>119</v>
      </c>
      <c r="B755" t="s">
        <v>120</v>
      </c>
      <c r="C755" t="s">
        <v>1876</v>
      </c>
      <c r="D755">
        <v>16</v>
      </c>
      <c r="E755" t="s">
        <v>197</v>
      </c>
      <c r="F755" t="s">
        <v>198</v>
      </c>
      <c r="G755" t="s">
        <v>124</v>
      </c>
      <c r="H755" t="s">
        <v>125</v>
      </c>
      <c r="I755">
        <v>13</v>
      </c>
      <c r="J755" t="s">
        <v>170</v>
      </c>
      <c r="K755" t="s">
        <v>125</v>
      </c>
      <c r="L755" t="s">
        <v>1878</v>
      </c>
      <c r="U755" t="s">
        <v>149</v>
      </c>
      <c r="W755" t="s">
        <v>135</v>
      </c>
      <c r="X755">
        <v>1</v>
      </c>
      <c r="AC755" t="s">
        <v>136</v>
      </c>
      <c r="AE755" t="s">
        <v>137</v>
      </c>
    </row>
    <row r="756" spans="1:78" hidden="1" x14ac:dyDescent="0.2">
      <c r="A756" t="s">
        <v>119</v>
      </c>
      <c r="B756" t="s">
        <v>120</v>
      </c>
      <c r="C756" t="s">
        <v>1876</v>
      </c>
      <c r="D756">
        <v>18</v>
      </c>
      <c r="E756" t="s">
        <v>1879</v>
      </c>
      <c r="F756" t="s">
        <v>1879</v>
      </c>
      <c r="G756" t="s">
        <v>124</v>
      </c>
      <c r="H756" t="s">
        <v>125</v>
      </c>
      <c r="I756">
        <v>16</v>
      </c>
      <c r="J756" t="s">
        <v>264</v>
      </c>
      <c r="K756" t="s">
        <v>125</v>
      </c>
      <c r="L756" t="s">
        <v>1880</v>
      </c>
      <c r="AE756" t="s">
        <v>128</v>
      </c>
    </row>
    <row r="757" spans="1:78" x14ac:dyDescent="0.2">
      <c r="A757" t="s">
        <v>119</v>
      </c>
      <c r="B757" t="s">
        <v>120</v>
      </c>
      <c r="C757" t="s">
        <v>1876</v>
      </c>
      <c r="D757">
        <v>20</v>
      </c>
      <c r="E757" t="s">
        <v>145</v>
      </c>
      <c r="F757" t="s">
        <v>146</v>
      </c>
      <c r="G757" t="s">
        <v>124</v>
      </c>
      <c r="H757" t="s">
        <v>125</v>
      </c>
      <c r="I757">
        <v>16</v>
      </c>
      <c r="J757" t="s">
        <v>199</v>
      </c>
      <c r="K757" t="s">
        <v>125</v>
      </c>
      <c r="L757" t="s">
        <v>1881</v>
      </c>
      <c r="U757" t="s">
        <v>149</v>
      </c>
      <c r="W757" t="s">
        <v>135</v>
      </c>
      <c r="X757">
        <v>3</v>
      </c>
      <c r="AC757" t="s">
        <v>136</v>
      </c>
      <c r="AE757" t="s">
        <v>137</v>
      </c>
    </row>
    <row r="758" spans="1:78" x14ac:dyDescent="0.2">
      <c r="A758" t="s">
        <v>119</v>
      </c>
      <c r="B758" t="s">
        <v>120</v>
      </c>
      <c r="C758" t="s">
        <v>1882</v>
      </c>
      <c r="D758">
        <v>2</v>
      </c>
      <c r="E758" t="s">
        <v>1063</v>
      </c>
      <c r="F758" t="s">
        <v>373</v>
      </c>
      <c r="G758" t="s">
        <v>124</v>
      </c>
      <c r="H758" t="s">
        <v>125</v>
      </c>
      <c r="I758">
        <v>0</v>
      </c>
      <c r="J758" t="s">
        <v>126</v>
      </c>
      <c r="K758" t="s">
        <v>125</v>
      </c>
      <c r="L758" t="s">
        <v>1883</v>
      </c>
      <c r="U758" t="s">
        <v>209</v>
      </c>
      <c r="W758" t="s">
        <v>135</v>
      </c>
      <c r="X758">
        <v>2</v>
      </c>
      <c r="AC758" t="s">
        <v>136</v>
      </c>
      <c r="AE758" t="s">
        <v>137</v>
      </c>
    </row>
    <row r="759" spans="1:78" hidden="1" x14ac:dyDescent="0.2">
      <c r="A759" t="s">
        <v>119</v>
      </c>
      <c r="B759" t="s">
        <v>120</v>
      </c>
      <c r="C759" t="s">
        <v>1884</v>
      </c>
      <c r="D759">
        <v>3</v>
      </c>
      <c r="E759" t="s">
        <v>1885</v>
      </c>
      <c r="F759" t="s">
        <v>1886</v>
      </c>
      <c r="G759" t="s">
        <v>124</v>
      </c>
      <c r="H759" t="s">
        <v>125</v>
      </c>
      <c r="I759">
        <v>0</v>
      </c>
      <c r="J759" t="s">
        <v>126</v>
      </c>
      <c r="K759" t="s">
        <v>125</v>
      </c>
      <c r="L759" t="s">
        <v>1887</v>
      </c>
      <c r="T759" t="s">
        <v>142</v>
      </c>
      <c r="W759" t="s">
        <v>135</v>
      </c>
      <c r="AC759" t="s">
        <v>143</v>
      </c>
      <c r="AE759" t="s">
        <v>144</v>
      </c>
      <c r="AG759">
        <v>2</v>
      </c>
      <c r="AH759" t="s">
        <v>204</v>
      </c>
      <c r="AI759" t="s">
        <v>205</v>
      </c>
      <c r="AJ759" t="s">
        <v>131</v>
      </c>
      <c r="AK759" t="s">
        <v>125</v>
      </c>
      <c r="AL759">
        <v>3</v>
      </c>
      <c r="AM759" t="s">
        <v>132</v>
      </c>
      <c r="AN759" t="s">
        <v>125</v>
      </c>
      <c r="AO759" t="s">
        <v>1888</v>
      </c>
      <c r="BP759" t="s">
        <v>149</v>
      </c>
      <c r="BR759" t="s">
        <v>135</v>
      </c>
      <c r="BS759">
        <v>1</v>
      </c>
      <c r="BX759" t="s">
        <v>136</v>
      </c>
      <c r="BZ759" t="s">
        <v>137</v>
      </c>
    </row>
    <row r="760" spans="1:78" x14ac:dyDescent="0.2">
      <c r="A760" t="s">
        <v>119</v>
      </c>
      <c r="B760" t="s">
        <v>120</v>
      </c>
      <c r="C760" t="s">
        <v>1889</v>
      </c>
      <c r="D760">
        <v>3</v>
      </c>
      <c r="E760" t="s">
        <v>1890</v>
      </c>
      <c r="F760" t="s">
        <v>1651</v>
      </c>
      <c r="G760" t="s">
        <v>124</v>
      </c>
      <c r="H760" t="s">
        <v>125</v>
      </c>
      <c r="I760">
        <v>0</v>
      </c>
      <c r="J760" t="s">
        <v>126</v>
      </c>
      <c r="K760" t="s">
        <v>125</v>
      </c>
      <c r="L760" t="s">
        <v>1891</v>
      </c>
      <c r="U760" t="s">
        <v>149</v>
      </c>
      <c r="W760" t="s">
        <v>135</v>
      </c>
      <c r="X760">
        <v>1</v>
      </c>
      <c r="AC760" t="s">
        <v>136</v>
      </c>
      <c r="AE760" t="s">
        <v>137</v>
      </c>
    </row>
    <row r="761" spans="1:78" x14ac:dyDescent="0.2">
      <c r="A761" t="s">
        <v>119</v>
      </c>
      <c r="B761" t="s">
        <v>120</v>
      </c>
      <c r="C761" t="s">
        <v>1892</v>
      </c>
      <c r="D761">
        <v>2</v>
      </c>
      <c r="E761" t="s">
        <v>1893</v>
      </c>
      <c r="F761" t="s">
        <v>1886</v>
      </c>
      <c r="G761" t="s">
        <v>124</v>
      </c>
      <c r="H761" t="s">
        <v>125</v>
      </c>
      <c r="I761">
        <v>8</v>
      </c>
      <c r="J761" t="s">
        <v>199</v>
      </c>
      <c r="K761" t="s">
        <v>125</v>
      </c>
      <c r="L761" t="s">
        <v>1894</v>
      </c>
      <c r="U761" t="s">
        <v>149</v>
      </c>
      <c r="W761" t="s">
        <v>135</v>
      </c>
      <c r="X761">
        <v>3</v>
      </c>
      <c r="AC761" t="s">
        <v>136</v>
      </c>
      <c r="AE761" t="s">
        <v>137</v>
      </c>
    </row>
    <row r="762" spans="1:78" x14ac:dyDescent="0.2">
      <c r="A762" t="s">
        <v>119</v>
      </c>
      <c r="B762" t="s">
        <v>120</v>
      </c>
      <c r="C762" t="s">
        <v>1892</v>
      </c>
      <c r="D762">
        <v>8</v>
      </c>
      <c r="E762" t="s">
        <v>327</v>
      </c>
      <c r="F762" t="s">
        <v>198</v>
      </c>
      <c r="G762" t="s">
        <v>124</v>
      </c>
      <c r="H762" t="s">
        <v>125</v>
      </c>
      <c r="I762">
        <v>0</v>
      </c>
      <c r="J762" t="s">
        <v>126</v>
      </c>
      <c r="K762" t="s">
        <v>125</v>
      </c>
      <c r="L762" t="s">
        <v>1895</v>
      </c>
      <c r="U762" t="s">
        <v>149</v>
      </c>
      <c r="W762" t="s">
        <v>135</v>
      </c>
      <c r="X762">
        <v>3</v>
      </c>
      <c r="AC762" t="s">
        <v>136</v>
      </c>
      <c r="AE762" t="s">
        <v>137</v>
      </c>
    </row>
    <row r="763" spans="1:78" hidden="1" x14ac:dyDescent="0.2">
      <c r="A763" t="s">
        <v>119</v>
      </c>
      <c r="B763" t="s">
        <v>120</v>
      </c>
      <c r="C763" t="s">
        <v>1896</v>
      </c>
      <c r="D763">
        <v>2</v>
      </c>
      <c r="E763" t="s">
        <v>543</v>
      </c>
      <c r="F763" t="s">
        <v>331</v>
      </c>
      <c r="G763" t="s">
        <v>124</v>
      </c>
      <c r="H763" t="s">
        <v>125</v>
      </c>
      <c r="I763">
        <v>1</v>
      </c>
      <c r="J763" t="s">
        <v>199</v>
      </c>
      <c r="K763" t="s">
        <v>125</v>
      </c>
      <c r="L763" t="s">
        <v>1897</v>
      </c>
    </row>
    <row r="764" spans="1:78" hidden="1" x14ac:dyDescent="0.2">
      <c r="A764" t="s">
        <v>119</v>
      </c>
      <c r="B764" t="s">
        <v>120</v>
      </c>
      <c r="C764" t="s">
        <v>1898</v>
      </c>
      <c r="D764">
        <v>4</v>
      </c>
      <c r="E764" t="s">
        <v>1821</v>
      </c>
      <c r="F764" t="s">
        <v>1822</v>
      </c>
      <c r="G764" t="s">
        <v>124</v>
      </c>
      <c r="H764" t="s">
        <v>125</v>
      </c>
      <c r="I764">
        <v>0</v>
      </c>
      <c r="J764" t="s">
        <v>126</v>
      </c>
      <c r="K764" t="s">
        <v>125</v>
      </c>
      <c r="L764" t="s">
        <v>1899</v>
      </c>
      <c r="T764" t="s">
        <v>154</v>
      </c>
      <c r="W764" t="s">
        <v>135</v>
      </c>
      <c r="AC764" t="s">
        <v>143</v>
      </c>
      <c r="AE764" t="s">
        <v>144</v>
      </c>
      <c r="AG764">
        <v>3</v>
      </c>
      <c r="AH764" t="s">
        <v>1000</v>
      </c>
      <c r="AI764" t="s">
        <v>1001</v>
      </c>
      <c r="AJ764" t="s">
        <v>131</v>
      </c>
      <c r="AK764" t="s">
        <v>125</v>
      </c>
      <c r="AL764">
        <v>4</v>
      </c>
      <c r="AM764" t="s">
        <v>147</v>
      </c>
      <c r="AN764" t="s">
        <v>125</v>
      </c>
      <c r="AO764" t="s">
        <v>1900</v>
      </c>
      <c r="BP764" t="s">
        <v>149</v>
      </c>
      <c r="BR764" t="s">
        <v>135</v>
      </c>
      <c r="BS764">
        <v>3</v>
      </c>
      <c r="BX764" t="s">
        <v>136</v>
      </c>
      <c r="BZ764" t="s">
        <v>137</v>
      </c>
    </row>
    <row r="765" spans="1:78" hidden="1" x14ac:dyDescent="0.2">
      <c r="A765" t="s">
        <v>119</v>
      </c>
      <c r="B765" t="s">
        <v>120</v>
      </c>
      <c r="C765" t="s">
        <v>1898</v>
      </c>
      <c r="D765">
        <v>8</v>
      </c>
      <c r="E765" t="s">
        <v>1901</v>
      </c>
      <c r="F765" t="s">
        <v>198</v>
      </c>
      <c r="G765" t="s">
        <v>124</v>
      </c>
      <c r="H765" t="s">
        <v>125</v>
      </c>
      <c r="I765">
        <v>4</v>
      </c>
      <c r="J765" t="s">
        <v>161</v>
      </c>
      <c r="K765" t="s">
        <v>125</v>
      </c>
      <c r="L765" t="s">
        <v>1902</v>
      </c>
      <c r="U765" t="s">
        <v>149</v>
      </c>
      <c r="W765" t="s">
        <v>155</v>
      </c>
      <c r="X765">
        <v>3</v>
      </c>
      <c r="AC765" t="s">
        <v>903</v>
      </c>
      <c r="AE765" t="s">
        <v>137</v>
      </c>
    </row>
    <row r="766" spans="1:78" x14ac:dyDescent="0.2">
      <c r="A766" t="s">
        <v>119</v>
      </c>
      <c r="B766" t="s">
        <v>120</v>
      </c>
      <c r="C766" t="s">
        <v>1898</v>
      </c>
      <c r="D766">
        <v>10</v>
      </c>
      <c r="E766" t="s">
        <v>1903</v>
      </c>
      <c r="F766" t="s">
        <v>1886</v>
      </c>
      <c r="G766" t="s">
        <v>124</v>
      </c>
      <c r="H766" t="s">
        <v>125</v>
      </c>
      <c r="I766">
        <v>8</v>
      </c>
      <c r="J766" t="s">
        <v>264</v>
      </c>
      <c r="K766" t="s">
        <v>125</v>
      </c>
      <c r="L766" t="s">
        <v>1904</v>
      </c>
      <c r="U766" t="s">
        <v>149</v>
      </c>
      <c r="W766" t="s">
        <v>135</v>
      </c>
      <c r="X766">
        <v>1</v>
      </c>
      <c r="AC766" t="s">
        <v>136</v>
      </c>
      <c r="AE766" t="s">
        <v>137</v>
      </c>
    </row>
    <row r="767" spans="1:78" hidden="1" x14ac:dyDescent="0.2">
      <c r="A767" t="s">
        <v>119</v>
      </c>
      <c r="B767" t="s">
        <v>120</v>
      </c>
      <c r="C767" t="s">
        <v>1905</v>
      </c>
      <c r="D767">
        <v>2</v>
      </c>
      <c r="E767" t="s">
        <v>1822</v>
      </c>
      <c r="F767" t="s">
        <v>1822</v>
      </c>
      <c r="G767" t="s">
        <v>124</v>
      </c>
      <c r="H767" t="s">
        <v>125</v>
      </c>
      <c r="I767">
        <v>0</v>
      </c>
      <c r="J767" t="s">
        <v>126</v>
      </c>
      <c r="K767" t="s">
        <v>125</v>
      </c>
      <c r="L767" t="s">
        <v>1906</v>
      </c>
      <c r="AE767" t="s">
        <v>128</v>
      </c>
    </row>
    <row r="768" spans="1:78" x14ac:dyDescent="0.2">
      <c r="A768" t="s">
        <v>119</v>
      </c>
      <c r="B768" t="s">
        <v>120</v>
      </c>
      <c r="C768" t="s">
        <v>1905</v>
      </c>
      <c r="D768">
        <v>5</v>
      </c>
      <c r="E768" t="s">
        <v>888</v>
      </c>
      <c r="F768" t="s">
        <v>140</v>
      </c>
      <c r="G768" t="s">
        <v>124</v>
      </c>
      <c r="H768" t="s">
        <v>125</v>
      </c>
      <c r="I768">
        <v>2</v>
      </c>
      <c r="J768" t="s">
        <v>161</v>
      </c>
      <c r="K768" t="s">
        <v>125</v>
      </c>
      <c r="L768" t="s">
        <v>1907</v>
      </c>
      <c r="U768" t="s">
        <v>209</v>
      </c>
      <c r="W768" t="s">
        <v>135</v>
      </c>
      <c r="X768">
        <v>2</v>
      </c>
      <c r="AC768" t="s">
        <v>136</v>
      </c>
      <c r="AE768" t="s">
        <v>137</v>
      </c>
    </row>
    <row r="769" spans="1:78" x14ac:dyDescent="0.2">
      <c r="A769" t="s">
        <v>119</v>
      </c>
      <c r="B769" t="s">
        <v>120</v>
      </c>
      <c r="C769" t="s">
        <v>1908</v>
      </c>
      <c r="D769">
        <v>1</v>
      </c>
      <c r="E769" t="s">
        <v>490</v>
      </c>
      <c r="F769" t="s">
        <v>283</v>
      </c>
      <c r="G769" t="s">
        <v>124</v>
      </c>
      <c r="H769" t="s">
        <v>125</v>
      </c>
      <c r="I769">
        <v>0</v>
      </c>
      <c r="J769" t="s">
        <v>126</v>
      </c>
      <c r="K769" t="s">
        <v>125</v>
      </c>
      <c r="L769" t="s">
        <v>1909</v>
      </c>
      <c r="U769" t="s">
        <v>149</v>
      </c>
      <c r="W769" t="s">
        <v>135</v>
      </c>
      <c r="X769">
        <v>2</v>
      </c>
      <c r="AC769" t="s">
        <v>136</v>
      </c>
      <c r="AE769" t="s">
        <v>137</v>
      </c>
    </row>
    <row r="770" spans="1:78" hidden="1" x14ac:dyDescent="0.2">
      <c r="A770" t="s">
        <v>119</v>
      </c>
      <c r="B770" t="s">
        <v>120</v>
      </c>
      <c r="C770" t="s">
        <v>1910</v>
      </c>
      <c r="D770">
        <v>6</v>
      </c>
      <c r="E770" t="s">
        <v>1830</v>
      </c>
      <c r="F770" t="s">
        <v>1830</v>
      </c>
      <c r="G770" t="s">
        <v>124</v>
      </c>
      <c r="H770" t="s">
        <v>125</v>
      </c>
      <c r="I770">
        <v>0</v>
      </c>
      <c r="J770" t="s">
        <v>126</v>
      </c>
      <c r="K770" t="s">
        <v>125</v>
      </c>
      <c r="L770" t="s">
        <v>1211</v>
      </c>
      <c r="AE770" t="s">
        <v>128</v>
      </c>
      <c r="AG770">
        <v>4</v>
      </c>
      <c r="AH770" t="s">
        <v>1339</v>
      </c>
      <c r="AI770" t="s">
        <v>130</v>
      </c>
      <c r="AJ770" t="s">
        <v>131</v>
      </c>
      <c r="AK770" t="s">
        <v>125</v>
      </c>
      <c r="AL770">
        <v>6</v>
      </c>
      <c r="AM770" t="s">
        <v>132</v>
      </c>
      <c r="AN770" t="s">
        <v>125</v>
      </c>
      <c r="AO770" t="s">
        <v>1911</v>
      </c>
      <c r="BP770" t="s">
        <v>149</v>
      </c>
      <c r="BR770" t="s">
        <v>135</v>
      </c>
      <c r="BS770">
        <v>1</v>
      </c>
      <c r="BX770" t="s">
        <v>136</v>
      </c>
      <c r="BZ770" t="s">
        <v>137</v>
      </c>
    </row>
    <row r="771" spans="1:78" x14ac:dyDescent="0.2">
      <c r="A771" t="s">
        <v>119</v>
      </c>
      <c r="B771" t="s">
        <v>120</v>
      </c>
      <c r="C771" t="s">
        <v>1912</v>
      </c>
      <c r="D771">
        <v>9</v>
      </c>
      <c r="E771" t="s">
        <v>1913</v>
      </c>
      <c r="F771" t="s">
        <v>1914</v>
      </c>
      <c r="G771" t="s">
        <v>124</v>
      </c>
      <c r="H771" t="s">
        <v>125</v>
      </c>
      <c r="I771">
        <v>0</v>
      </c>
      <c r="J771" t="s">
        <v>126</v>
      </c>
      <c r="K771" t="s">
        <v>125</v>
      </c>
      <c r="L771" t="s">
        <v>1915</v>
      </c>
      <c r="U771" t="s">
        <v>149</v>
      </c>
      <c r="W771" t="s">
        <v>135</v>
      </c>
      <c r="X771">
        <v>3</v>
      </c>
      <c r="AC771" t="s">
        <v>136</v>
      </c>
      <c r="AE771" t="s">
        <v>137</v>
      </c>
    </row>
    <row r="772" spans="1:78" x14ac:dyDescent="0.2">
      <c r="A772" t="s">
        <v>119</v>
      </c>
      <c r="B772" t="s">
        <v>120</v>
      </c>
      <c r="C772" t="s">
        <v>1912</v>
      </c>
      <c r="D772">
        <v>12</v>
      </c>
      <c r="E772" t="s">
        <v>1916</v>
      </c>
      <c r="F772" t="s">
        <v>1830</v>
      </c>
      <c r="G772" t="s">
        <v>124</v>
      </c>
      <c r="H772" t="s">
        <v>125</v>
      </c>
      <c r="I772">
        <v>9</v>
      </c>
      <c r="J772" t="s">
        <v>268</v>
      </c>
      <c r="K772" t="s">
        <v>125</v>
      </c>
      <c r="L772" t="s">
        <v>1917</v>
      </c>
      <c r="U772" t="s">
        <v>149</v>
      </c>
      <c r="W772" t="s">
        <v>135</v>
      </c>
      <c r="X772">
        <v>2</v>
      </c>
      <c r="AC772" t="s">
        <v>136</v>
      </c>
      <c r="AE772" t="s">
        <v>137</v>
      </c>
    </row>
    <row r="773" spans="1:78" hidden="1" x14ac:dyDescent="0.2">
      <c r="A773" t="s">
        <v>119</v>
      </c>
      <c r="B773" t="s">
        <v>120</v>
      </c>
      <c r="C773" t="s">
        <v>1912</v>
      </c>
      <c r="D773">
        <v>18</v>
      </c>
      <c r="E773" t="s">
        <v>1459</v>
      </c>
      <c r="F773" t="s">
        <v>1459</v>
      </c>
      <c r="G773" t="s">
        <v>124</v>
      </c>
      <c r="H773" t="s">
        <v>125</v>
      </c>
      <c r="I773">
        <v>12</v>
      </c>
      <c r="J773" t="s">
        <v>161</v>
      </c>
      <c r="K773" t="s">
        <v>125</v>
      </c>
      <c r="L773" t="s">
        <v>1918</v>
      </c>
      <c r="AE773" t="s">
        <v>128</v>
      </c>
      <c r="AG773">
        <v>17</v>
      </c>
      <c r="AH773" t="s">
        <v>375</v>
      </c>
      <c r="AI773" t="s">
        <v>130</v>
      </c>
      <c r="AJ773" t="s">
        <v>131</v>
      </c>
      <c r="AK773" t="s">
        <v>125</v>
      </c>
      <c r="AL773">
        <v>18</v>
      </c>
      <c r="AM773" t="s">
        <v>132</v>
      </c>
      <c r="AN773" t="s">
        <v>125</v>
      </c>
      <c r="AO773" t="s">
        <v>1919</v>
      </c>
      <c r="BP773" t="s">
        <v>149</v>
      </c>
      <c r="BR773" t="s">
        <v>135</v>
      </c>
      <c r="BS773">
        <v>2</v>
      </c>
      <c r="BX773" t="s">
        <v>136</v>
      </c>
      <c r="BZ773" t="s">
        <v>137</v>
      </c>
    </row>
    <row r="774" spans="1:78" hidden="1" x14ac:dyDescent="0.2">
      <c r="A774" t="s">
        <v>119</v>
      </c>
      <c r="B774" t="s">
        <v>120</v>
      </c>
      <c r="C774" t="s">
        <v>1920</v>
      </c>
      <c r="D774">
        <v>4</v>
      </c>
      <c r="E774" t="s">
        <v>1399</v>
      </c>
      <c r="F774" t="s">
        <v>1399</v>
      </c>
      <c r="G774" t="s">
        <v>124</v>
      </c>
      <c r="H774" t="s">
        <v>125</v>
      </c>
      <c r="I774">
        <v>0</v>
      </c>
      <c r="J774" t="s">
        <v>126</v>
      </c>
      <c r="K774" t="s">
        <v>125</v>
      </c>
      <c r="L774" t="s">
        <v>1921</v>
      </c>
      <c r="AE774" t="s">
        <v>128</v>
      </c>
      <c r="AG774">
        <v>3</v>
      </c>
      <c r="AH774" t="s">
        <v>375</v>
      </c>
      <c r="AI774" t="s">
        <v>130</v>
      </c>
      <c r="AJ774" t="s">
        <v>131</v>
      </c>
      <c r="AK774" t="s">
        <v>125</v>
      </c>
      <c r="AL774">
        <v>4</v>
      </c>
      <c r="AM774" t="s">
        <v>132</v>
      </c>
      <c r="AN774" t="s">
        <v>125</v>
      </c>
      <c r="AO774" t="s">
        <v>1922</v>
      </c>
      <c r="BP774" t="s">
        <v>149</v>
      </c>
      <c r="BR774" t="s">
        <v>135</v>
      </c>
      <c r="BS774">
        <v>2</v>
      </c>
      <c r="BX774" t="s">
        <v>136</v>
      </c>
      <c r="BZ774" t="s">
        <v>137</v>
      </c>
    </row>
    <row r="775" spans="1:78" x14ac:dyDescent="0.2">
      <c r="A775" t="s">
        <v>119</v>
      </c>
      <c r="B775" t="s">
        <v>120</v>
      </c>
      <c r="C775" t="s">
        <v>1923</v>
      </c>
      <c r="D775">
        <v>4</v>
      </c>
      <c r="E775" t="s">
        <v>370</v>
      </c>
      <c r="F775" t="s">
        <v>140</v>
      </c>
      <c r="G775" t="s">
        <v>124</v>
      </c>
      <c r="H775" t="s">
        <v>125</v>
      </c>
      <c r="I775">
        <v>8</v>
      </c>
      <c r="J775" t="s">
        <v>268</v>
      </c>
      <c r="K775" t="s">
        <v>125</v>
      </c>
      <c r="L775" t="s">
        <v>1245</v>
      </c>
      <c r="U775" t="s">
        <v>149</v>
      </c>
      <c r="W775" t="s">
        <v>135</v>
      </c>
      <c r="X775">
        <v>3</v>
      </c>
      <c r="AC775" t="s">
        <v>136</v>
      </c>
      <c r="AE775" t="s">
        <v>137</v>
      </c>
    </row>
    <row r="776" spans="1:78" hidden="1" x14ac:dyDescent="0.2">
      <c r="A776" t="s">
        <v>119</v>
      </c>
      <c r="B776" t="s">
        <v>120</v>
      </c>
      <c r="C776" t="s">
        <v>1923</v>
      </c>
      <c r="D776">
        <v>8</v>
      </c>
      <c r="E776" t="s">
        <v>1924</v>
      </c>
      <c r="F776" t="s">
        <v>1459</v>
      </c>
      <c r="G776" t="s">
        <v>124</v>
      </c>
      <c r="H776" t="s">
        <v>125</v>
      </c>
      <c r="I776">
        <v>0</v>
      </c>
      <c r="J776" t="s">
        <v>126</v>
      </c>
      <c r="K776" t="s">
        <v>125</v>
      </c>
      <c r="L776" t="s">
        <v>1925</v>
      </c>
      <c r="T776" t="s">
        <v>154</v>
      </c>
      <c r="W776" t="s">
        <v>135</v>
      </c>
      <c r="AC776" t="s">
        <v>143</v>
      </c>
      <c r="AE776" t="s">
        <v>144</v>
      </c>
      <c r="AG776">
        <v>7</v>
      </c>
      <c r="AH776" t="s">
        <v>1000</v>
      </c>
      <c r="AI776" t="s">
        <v>1001</v>
      </c>
      <c r="AJ776" t="s">
        <v>131</v>
      </c>
      <c r="AK776" t="s">
        <v>125</v>
      </c>
      <c r="AL776">
        <v>8</v>
      </c>
      <c r="AM776" t="s">
        <v>147</v>
      </c>
      <c r="AN776" t="s">
        <v>125</v>
      </c>
      <c r="AO776" t="s">
        <v>1926</v>
      </c>
      <c r="BP776" t="s">
        <v>149</v>
      </c>
      <c r="BR776" t="s">
        <v>135</v>
      </c>
      <c r="BS776">
        <v>3</v>
      </c>
      <c r="BX776" t="s">
        <v>136</v>
      </c>
      <c r="BZ776" t="s">
        <v>137</v>
      </c>
    </row>
    <row r="777" spans="1:78" x14ac:dyDescent="0.2">
      <c r="A777" t="s">
        <v>119</v>
      </c>
      <c r="B777" t="s">
        <v>120</v>
      </c>
      <c r="C777" t="s">
        <v>1927</v>
      </c>
      <c r="D777">
        <v>9</v>
      </c>
      <c r="E777" t="s">
        <v>1764</v>
      </c>
      <c r="F777" t="s">
        <v>261</v>
      </c>
      <c r="G777" t="s">
        <v>124</v>
      </c>
      <c r="H777" t="s">
        <v>125</v>
      </c>
      <c r="I777">
        <v>14</v>
      </c>
      <c r="J777" t="s">
        <v>268</v>
      </c>
      <c r="K777" t="s">
        <v>125</v>
      </c>
      <c r="L777" t="s">
        <v>1277</v>
      </c>
      <c r="U777" t="s">
        <v>149</v>
      </c>
      <c r="W777" t="s">
        <v>135</v>
      </c>
      <c r="X777">
        <v>3</v>
      </c>
      <c r="AC777" t="s">
        <v>136</v>
      </c>
      <c r="AE777" t="s">
        <v>137</v>
      </c>
    </row>
    <row r="778" spans="1:78" hidden="1" x14ac:dyDescent="0.2">
      <c r="A778" t="s">
        <v>119</v>
      </c>
      <c r="B778" t="s">
        <v>120</v>
      </c>
      <c r="C778" t="s">
        <v>1928</v>
      </c>
      <c r="D778">
        <v>7</v>
      </c>
      <c r="E778" t="s">
        <v>1924</v>
      </c>
      <c r="F778" t="s">
        <v>1459</v>
      </c>
      <c r="G778" t="s">
        <v>124</v>
      </c>
      <c r="H778" t="s">
        <v>125</v>
      </c>
      <c r="I778">
        <v>0</v>
      </c>
      <c r="J778" t="s">
        <v>126</v>
      </c>
      <c r="K778" t="s">
        <v>125</v>
      </c>
      <c r="L778" t="s">
        <v>1279</v>
      </c>
      <c r="T778" t="s">
        <v>154</v>
      </c>
      <c r="W778" t="s">
        <v>135</v>
      </c>
      <c r="AC778" t="s">
        <v>143</v>
      </c>
      <c r="AE778" t="s">
        <v>144</v>
      </c>
      <c r="AG778">
        <v>6</v>
      </c>
      <c r="AH778" t="s">
        <v>1000</v>
      </c>
      <c r="AI778" t="s">
        <v>1001</v>
      </c>
      <c r="AJ778" t="s">
        <v>131</v>
      </c>
      <c r="AK778" t="s">
        <v>125</v>
      </c>
      <c r="AL778">
        <v>7</v>
      </c>
      <c r="AM778" t="s">
        <v>147</v>
      </c>
      <c r="AN778" t="s">
        <v>125</v>
      </c>
      <c r="AO778" t="s">
        <v>1929</v>
      </c>
      <c r="BP778" t="s">
        <v>149</v>
      </c>
      <c r="BR778" t="s">
        <v>135</v>
      </c>
      <c r="BS778">
        <v>3</v>
      </c>
      <c r="BX778" t="s">
        <v>136</v>
      </c>
      <c r="BZ778" t="s">
        <v>137</v>
      </c>
    </row>
    <row r="779" spans="1:78" x14ac:dyDescent="0.2">
      <c r="A779" t="s">
        <v>119</v>
      </c>
      <c r="B779" t="s">
        <v>120</v>
      </c>
      <c r="C779" t="s">
        <v>1928</v>
      </c>
      <c r="D779">
        <v>21</v>
      </c>
      <c r="E779" t="s">
        <v>145</v>
      </c>
      <c r="F779" t="s">
        <v>146</v>
      </c>
      <c r="G779" t="s">
        <v>124</v>
      </c>
      <c r="H779" t="s">
        <v>125</v>
      </c>
      <c r="I779">
        <v>26</v>
      </c>
      <c r="J779" t="s">
        <v>268</v>
      </c>
      <c r="K779" t="s">
        <v>125</v>
      </c>
      <c r="L779" t="s">
        <v>1930</v>
      </c>
      <c r="U779" t="s">
        <v>149</v>
      </c>
      <c r="W779" t="s">
        <v>135</v>
      </c>
      <c r="X779">
        <v>3</v>
      </c>
      <c r="AC779" t="s">
        <v>136</v>
      </c>
      <c r="AE779" t="s">
        <v>137</v>
      </c>
    </row>
    <row r="780" spans="1:78" x14ac:dyDescent="0.2">
      <c r="A780" t="s">
        <v>119</v>
      </c>
      <c r="B780" t="s">
        <v>120</v>
      </c>
      <c r="C780" t="s">
        <v>1928</v>
      </c>
      <c r="D780">
        <v>26</v>
      </c>
      <c r="E780" t="s">
        <v>370</v>
      </c>
      <c r="F780" t="s">
        <v>140</v>
      </c>
      <c r="G780" t="s">
        <v>124</v>
      </c>
      <c r="H780" t="s">
        <v>125</v>
      </c>
      <c r="I780">
        <v>7</v>
      </c>
      <c r="J780" t="s">
        <v>161</v>
      </c>
      <c r="K780" t="s">
        <v>125</v>
      </c>
      <c r="L780" t="s">
        <v>1931</v>
      </c>
      <c r="U780" t="s">
        <v>149</v>
      </c>
      <c r="W780" t="s">
        <v>135</v>
      </c>
      <c r="X780">
        <v>3</v>
      </c>
      <c r="AC780" t="s">
        <v>136</v>
      </c>
      <c r="AE780" t="s">
        <v>137</v>
      </c>
    </row>
    <row r="781" spans="1:78" x14ac:dyDescent="0.2">
      <c r="A781" t="s">
        <v>119</v>
      </c>
      <c r="B781" t="s">
        <v>120</v>
      </c>
      <c r="C781" t="s">
        <v>1928</v>
      </c>
      <c r="D781">
        <v>31</v>
      </c>
      <c r="E781" t="s">
        <v>145</v>
      </c>
      <c r="F781" t="s">
        <v>146</v>
      </c>
      <c r="G781" t="s">
        <v>124</v>
      </c>
      <c r="H781" t="s">
        <v>125</v>
      </c>
      <c r="I781">
        <v>26</v>
      </c>
      <c r="J781" t="s">
        <v>161</v>
      </c>
      <c r="K781" t="s">
        <v>125</v>
      </c>
      <c r="L781" t="s">
        <v>1932</v>
      </c>
      <c r="U781" t="s">
        <v>149</v>
      </c>
      <c r="W781" t="s">
        <v>135</v>
      </c>
      <c r="X781">
        <v>3</v>
      </c>
      <c r="AC781" t="s">
        <v>136</v>
      </c>
      <c r="AE781" t="s">
        <v>137</v>
      </c>
    </row>
    <row r="782" spans="1:78" hidden="1" x14ac:dyDescent="0.2">
      <c r="A782" t="s">
        <v>119</v>
      </c>
      <c r="B782" t="s">
        <v>120</v>
      </c>
      <c r="C782" t="s">
        <v>1933</v>
      </c>
      <c r="D782">
        <v>6</v>
      </c>
      <c r="E782" t="s">
        <v>261</v>
      </c>
      <c r="F782" t="s">
        <v>261</v>
      </c>
      <c r="G782" t="s">
        <v>124</v>
      </c>
      <c r="H782" t="s">
        <v>125</v>
      </c>
      <c r="I782">
        <v>3</v>
      </c>
      <c r="J782" t="s">
        <v>268</v>
      </c>
      <c r="K782" t="s">
        <v>125</v>
      </c>
      <c r="L782" t="s">
        <v>1934</v>
      </c>
      <c r="AE782" t="s">
        <v>128</v>
      </c>
      <c r="AG782">
        <v>5</v>
      </c>
      <c r="AH782" t="s">
        <v>1935</v>
      </c>
      <c r="AI782" t="s">
        <v>667</v>
      </c>
      <c r="AJ782" t="s">
        <v>131</v>
      </c>
      <c r="AK782" t="s">
        <v>125</v>
      </c>
      <c r="AL782">
        <v>6</v>
      </c>
      <c r="AM782" t="s">
        <v>132</v>
      </c>
      <c r="AN782" t="s">
        <v>125</v>
      </c>
      <c r="AO782" t="s">
        <v>1282</v>
      </c>
      <c r="BP782" t="s">
        <v>149</v>
      </c>
      <c r="BR782" t="s">
        <v>135</v>
      </c>
      <c r="BS782">
        <v>3</v>
      </c>
      <c r="BX782" t="s">
        <v>136</v>
      </c>
      <c r="BZ782" t="s">
        <v>137</v>
      </c>
    </row>
    <row r="783" spans="1:78" hidden="1" x14ac:dyDescent="0.2">
      <c r="A783" t="s">
        <v>119</v>
      </c>
      <c r="B783" t="s">
        <v>120</v>
      </c>
      <c r="C783" t="s">
        <v>1933</v>
      </c>
      <c r="D783">
        <v>9</v>
      </c>
      <c r="E783" t="s">
        <v>1936</v>
      </c>
      <c r="F783" t="s">
        <v>1886</v>
      </c>
      <c r="G783" t="s">
        <v>124</v>
      </c>
      <c r="H783" t="s">
        <v>125</v>
      </c>
      <c r="I783">
        <v>6</v>
      </c>
      <c r="J783" t="s">
        <v>264</v>
      </c>
      <c r="K783" t="s">
        <v>125</v>
      </c>
      <c r="L783" t="s">
        <v>1937</v>
      </c>
      <c r="T783" t="s">
        <v>154</v>
      </c>
      <c r="W783" t="s">
        <v>135</v>
      </c>
      <c r="AC783" t="s">
        <v>143</v>
      </c>
      <c r="AE783" t="s">
        <v>144</v>
      </c>
      <c r="AG783">
        <v>8</v>
      </c>
      <c r="AH783" t="s">
        <v>204</v>
      </c>
      <c r="AI783" t="s">
        <v>205</v>
      </c>
      <c r="AJ783" t="s">
        <v>131</v>
      </c>
      <c r="AK783" t="s">
        <v>125</v>
      </c>
      <c r="AL783">
        <v>9</v>
      </c>
      <c r="AM783" t="s">
        <v>132</v>
      </c>
      <c r="AN783" t="s">
        <v>125</v>
      </c>
      <c r="AO783" t="s">
        <v>1938</v>
      </c>
      <c r="BP783" t="s">
        <v>149</v>
      </c>
      <c r="BR783" t="s">
        <v>135</v>
      </c>
      <c r="BS783">
        <v>1</v>
      </c>
      <c r="BX783" t="s">
        <v>136</v>
      </c>
      <c r="BZ783" t="s">
        <v>137</v>
      </c>
    </row>
    <row r="784" spans="1:78" x14ac:dyDescent="0.2">
      <c r="A784" t="s">
        <v>119</v>
      </c>
      <c r="B784" t="s">
        <v>120</v>
      </c>
      <c r="C784" t="s">
        <v>1939</v>
      </c>
      <c r="D784">
        <v>4</v>
      </c>
      <c r="E784" t="s">
        <v>1940</v>
      </c>
      <c r="F784" t="s">
        <v>1459</v>
      </c>
      <c r="G784" t="s">
        <v>124</v>
      </c>
      <c r="H784" t="s">
        <v>125</v>
      </c>
      <c r="I784">
        <v>0</v>
      </c>
      <c r="J784" t="s">
        <v>126</v>
      </c>
      <c r="K784" t="s">
        <v>125</v>
      </c>
      <c r="L784" t="s">
        <v>1941</v>
      </c>
      <c r="U784" t="s">
        <v>149</v>
      </c>
      <c r="W784" t="s">
        <v>155</v>
      </c>
      <c r="X784">
        <v>1</v>
      </c>
      <c r="AC784" t="s">
        <v>136</v>
      </c>
      <c r="AE784" t="s">
        <v>137</v>
      </c>
    </row>
    <row r="785" spans="1:78" x14ac:dyDescent="0.2">
      <c r="A785" t="s">
        <v>119</v>
      </c>
      <c r="B785" t="s">
        <v>120</v>
      </c>
      <c r="C785" t="s">
        <v>1939</v>
      </c>
      <c r="D785">
        <v>6</v>
      </c>
      <c r="E785" t="s">
        <v>1942</v>
      </c>
      <c r="F785" t="s">
        <v>1943</v>
      </c>
      <c r="G785" t="s">
        <v>124</v>
      </c>
      <c r="H785" t="s">
        <v>125</v>
      </c>
      <c r="I785">
        <v>4</v>
      </c>
      <c r="J785" t="s">
        <v>268</v>
      </c>
      <c r="K785" t="s">
        <v>125</v>
      </c>
      <c r="L785" t="s">
        <v>1944</v>
      </c>
      <c r="U785" t="s">
        <v>149</v>
      </c>
      <c r="W785" t="s">
        <v>155</v>
      </c>
      <c r="X785">
        <v>1</v>
      </c>
      <c r="AC785" t="s">
        <v>136</v>
      </c>
      <c r="AE785" t="s">
        <v>137</v>
      </c>
    </row>
    <row r="786" spans="1:78" x14ac:dyDescent="0.2">
      <c r="A786" t="s">
        <v>119</v>
      </c>
      <c r="B786" t="s">
        <v>120</v>
      </c>
      <c r="C786" t="s">
        <v>1945</v>
      </c>
      <c r="D786">
        <v>2</v>
      </c>
      <c r="E786" t="s">
        <v>327</v>
      </c>
      <c r="F786" t="s">
        <v>198</v>
      </c>
      <c r="G786" t="s">
        <v>124</v>
      </c>
      <c r="H786" t="s">
        <v>125</v>
      </c>
      <c r="I786">
        <v>0</v>
      </c>
      <c r="J786" t="s">
        <v>126</v>
      </c>
      <c r="K786" t="s">
        <v>125</v>
      </c>
      <c r="L786" t="s">
        <v>1946</v>
      </c>
      <c r="U786" t="s">
        <v>149</v>
      </c>
      <c r="W786" t="s">
        <v>135</v>
      </c>
      <c r="X786">
        <v>3</v>
      </c>
      <c r="AC786" t="s">
        <v>136</v>
      </c>
      <c r="AE786" t="s">
        <v>137</v>
      </c>
    </row>
    <row r="787" spans="1:78" hidden="1" x14ac:dyDescent="0.2">
      <c r="A787" t="s">
        <v>119</v>
      </c>
      <c r="B787" t="s">
        <v>120</v>
      </c>
      <c r="C787" t="s">
        <v>1945</v>
      </c>
      <c r="D787">
        <v>5</v>
      </c>
      <c r="E787" t="s">
        <v>1830</v>
      </c>
      <c r="F787" t="s">
        <v>1830</v>
      </c>
      <c r="G787" t="s">
        <v>124</v>
      </c>
      <c r="H787" t="s">
        <v>125</v>
      </c>
      <c r="I787">
        <v>2</v>
      </c>
      <c r="J787" t="s">
        <v>264</v>
      </c>
      <c r="K787" t="s">
        <v>125</v>
      </c>
      <c r="L787" t="s">
        <v>1947</v>
      </c>
      <c r="AE787" t="s">
        <v>128</v>
      </c>
      <c r="AG787">
        <v>4</v>
      </c>
      <c r="AH787" t="s">
        <v>1948</v>
      </c>
      <c r="AI787" t="s">
        <v>130</v>
      </c>
      <c r="AJ787" t="s">
        <v>131</v>
      </c>
      <c r="AK787" t="s">
        <v>125</v>
      </c>
      <c r="AL787">
        <v>5</v>
      </c>
      <c r="AM787" t="s">
        <v>132</v>
      </c>
      <c r="AN787" t="s">
        <v>125</v>
      </c>
      <c r="AO787" t="s">
        <v>1949</v>
      </c>
      <c r="BP787" t="s">
        <v>149</v>
      </c>
      <c r="BR787" t="s">
        <v>155</v>
      </c>
      <c r="BS787">
        <v>1</v>
      </c>
      <c r="BX787" t="s">
        <v>136</v>
      </c>
      <c r="BZ787" t="s">
        <v>137</v>
      </c>
    </row>
    <row r="788" spans="1:78" hidden="1" x14ac:dyDescent="0.2">
      <c r="A788" t="s">
        <v>119</v>
      </c>
      <c r="B788" t="s">
        <v>120</v>
      </c>
      <c r="C788" t="s">
        <v>1950</v>
      </c>
      <c r="D788">
        <v>3</v>
      </c>
      <c r="E788" t="s">
        <v>1951</v>
      </c>
      <c r="F788" t="s">
        <v>1951</v>
      </c>
      <c r="G788" t="s">
        <v>124</v>
      </c>
      <c r="H788" t="s">
        <v>125</v>
      </c>
      <c r="I788">
        <v>0</v>
      </c>
      <c r="J788" t="s">
        <v>126</v>
      </c>
      <c r="K788" t="s">
        <v>125</v>
      </c>
      <c r="L788" t="s">
        <v>1952</v>
      </c>
      <c r="AE788" t="s">
        <v>128</v>
      </c>
      <c r="AG788">
        <v>2</v>
      </c>
      <c r="AH788" t="s">
        <v>1515</v>
      </c>
      <c r="AI788" t="s">
        <v>572</v>
      </c>
      <c r="AJ788" t="s">
        <v>131</v>
      </c>
      <c r="AK788" t="s">
        <v>125</v>
      </c>
      <c r="AL788">
        <v>3</v>
      </c>
      <c r="AM788" t="s">
        <v>132</v>
      </c>
      <c r="AN788" t="s">
        <v>125</v>
      </c>
      <c r="AO788" t="s">
        <v>1953</v>
      </c>
      <c r="BP788" t="s">
        <v>149</v>
      </c>
      <c r="BR788" t="s">
        <v>135</v>
      </c>
      <c r="BS788">
        <v>2</v>
      </c>
      <c r="BX788" t="s">
        <v>136</v>
      </c>
      <c r="BZ788" t="s">
        <v>137</v>
      </c>
    </row>
    <row r="789" spans="1:78" x14ac:dyDescent="0.2">
      <c r="A789" t="s">
        <v>119</v>
      </c>
      <c r="B789" t="s">
        <v>120</v>
      </c>
      <c r="C789" t="s">
        <v>1954</v>
      </c>
      <c r="D789">
        <v>4</v>
      </c>
      <c r="E789" t="s">
        <v>496</v>
      </c>
      <c r="F789" t="s">
        <v>205</v>
      </c>
      <c r="G789" t="s">
        <v>124</v>
      </c>
      <c r="H789" t="s">
        <v>125</v>
      </c>
      <c r="I789">
        <v>0</v>
      </c>
      <c r="J789" t="s">
        <v>126</v>
      </c>
      <c r="K789" t="s">
        <v>125</v>
      </c>
      <c r="L789" t="s">
        <v>1955</v>
      </c>
      <c r="U789" t="s">
        <v>149</v>
      </c>
      <c r="W789" t="s">
        <v>135</v>
      </c>
      <c r="X789">
        <v>2</v>
      </c>
      <c r="AC789" t="s">
        <v>136</v>
      </c>
      <c r="AE789" t="s">
        <v>137</v>
      </c>
    </row>
    <row r="790" spans="1:78" x14ac:dyDescent="0.2">
      <c r="A790" t="s">
        <v>119</v>
      </c>
      <c r="B790" t="s">
        <v>120</v>
      </c>
      <c r="C790" t="s">
        <v>1956</v>
      </c>
      <c r="D790">
        <v>3</v>
      </c>
      <c r="E790" t="s">
        <v>801</v>
      </c>
      <c r="F790" t="s">
        <v>667</v>
      </c>
      <c r="G790" t="s">
        <v>124</v>
      </c>
      <c r="H790" t="s">
        <v>125</v>
      </c>
      <c r="I790">
        <v>0</v>
      </c>
      <c r="J790" t="s">
        <v>126</v>
      </c>
      <c r="K790" t="s">
        <v>125</v>
      </c>
      <c r="L790" t="s">
        <v>1957</v>
      </c>
      <c r="U790" t="s">
        <v>149</v>
      </c>
      <c r="W790" t="s">
        <v>135</v>
      </c>
      <c r="X790">
        <v>2</v>
      </c>
      <c r="AC790" t="s">
        <v>136</v>
      </c>
      <c r="AE790" t="s">
        <v>137</v>
      </c>
    </row>
    <row r="791" spans="1:78" x14ac:dyDescent="0.2">
      <c r="A791" t="s">
        <v>119</v>
      </c>
      <c r="B791" t="s">
        <v>120</v>
      </c>
      <c r="C791" t="s">
        <v>1958</v>
      </c>
      <c r="D791">
        <v>4</v>
      </c>
      <c r="E791" t="s">
        <v>1959</v>
      </c>
      <c r="F791" t="s">
        <v>1345</v>
      </c>
      <c r="G791" t="s">
        <v>124</v>
      </c>
      <c r="H791" t="s">
        <v>125</v>
      </c>
      <c r="I791">
        <v>0</v>
      </c>
      <c r="J791" t="s">
        <v>126</v>
      </c>
      <c r="K791" t="s">
        <v>125</v>
      </c>
      <c r="L791" t="s">
        <v>1960</v>
      </c>
      <c r="U791" t="s">
        <v>209</v>
      </c>
      <c r="W791" t="s">
        <v>135</v>
      </c>
      <c r="X791">
        <v>3</v>
      </c>
      <c r="AC791" t="s">
        <v>136</v>
      </c>
      <c r="AE791" t="s">
        <v>137</v>
      </c>
    </row>
    <row r="792" spans="1:78" x14ac:dyDescent="0.2">
      <c r="A792" t="s">
        <v>119</v>
      </c>
      <c r="B792" t="s">
        <v>120</v>
      </c>
      <c r="C792" t="s">
        <v>1961</v>
      </c>
      <c r="D792">
        <v>1</v>
      </c>
      <c r="E792" t="s">
        <v>1959</v>
      </c>
      <c r="F792" t="s">
        <v>1345</v>
      </c>
      <c r="G792" t="s">
        <v>124</v>
      </c>
      <c r="H792" t="s">
        <v>125</v>
      </c>
      <c r="I792">
        <v>0</v>
      </c>
      <c r="J792" t="s">
        <v>126</v>
      </c>
      <c r="K792" t="s">
        <v>125</v>
      </c>
      <c r="L792" t="s">
        <v>1962</v>
      </c>
      <c r="U792" t="s">
        <v>149</v>
      </c>
      <c r="W792" t="s">
        <v>135</v>
      </c>
      <c r="X792">
        <v>2</v>
      </c>
      <c r="AC792" t="s">
        <v>136</v>
      </c>
      <c r="AE792" t="s">
        <v>137</v>
      </c>
    </row>
    <row r="793" spans="1:78" x14ac:dyDescent="0.2">
      <c r="A793" t="s">
        <v>119</v>
      </c>
      <c r="B793" t="s">
        <v>120</v>
      </c>
      <c r="C793" t="s">
        <v>1963</v>
      </c>
      <c r="D793">
        <v>1</v>
      </c>
      <c r="E793" t="s">
        <v>1497</v>
      </c>
      <c r="F793" t="s">
        <v>1498</v>
      </c>
      <c r="G793" t="s">
        <v>124</v>
      </c>
      <c r="H793" t="s">
        <v>125</v>
      </c>
      <c r="I793">
        <v>0</v>
      </c>
      <c r="J793" t="s">
        <v>126</v>
      </c>
      <c r="K793" t="s">
        <v>125</v>
      </c>
      <c r="L793" t="s">
        <v>1964</v>
      </c>
      <c r="U793" t="s">
        <v>149</v>
      </c>
      <c r="W793" t="s">
        <v>135</v>
      </c>
      <c r="X793">
        <v>3</v>
      </c>
      <c r="AC793" t="s">
        <v>136</v>
      </c>
      <c r="AE793" t="s">
        <v>137</v>
      </c>
    </row>
    <row r="794" spans="1:78" x14ac:dyDescent="0.2">
      <c r="A794" t="s">
        <v>119</v>
      </c>
      <c r="B794" t="s">
        <v>120</v>
      </c>
      <c r="C794" t="s">
        <v>1965</v>
      </c>
      <c r="D794">
        <v>1</v>
      </c>
      <c r="E794" t="s">
        <v>1360</v>
      </c>
      <c r="F794" t="s">
        <v>350</v>
      </c>
      <c r="G794" t="s">
        <v>124</v>
      </c>
      <c r="H794" t="s">
        <v>125</v>
      </c>
      <c r="I794">
        <v>0</v>
      </c>
      <c r="J794" t="s">
        <v>126</v>
      </c>
      <c r="K794" t="s">
        <v>125</v>
      </c>
      <c r="L794" t="s">
        <v>1966</v>
      </c>
      <c r="U794" t="s">
        <v>149</v>
      </c>
      <c r="W794" t="s">
        <v>135</v>
      </c>
      <c r="X794">
        <v>3</v>
      </c>
      <c r="AC794" t="s">
        <v>136</v>
      </c>
      <c r="AE794" t="s">
        <v>137</v>
      </c>
    </row>
    <row r="795" spans="1:78" x14ac:dyDescent="0.2">
      <c r="A795" t="s">
        <v>119</v>
      </c>
      <c r="B795" t="s">
        <v>120</v>
      </c>
      <c r="C795" t="s">
        <v>1967</v>
      </c>
      <c r="D795">
        <v>1</v>
      </c>
      <c r="E795" t="s">
        <v>1811</v>
      </c>
      <c r="F795" t="s">
        <v>1459</v>
      </c>
      <c r="G795" t="s">
        <v>124</v>
      </c>
      <c r="H795" t="s">
        <v>125</v>
      </c>
      <c r="I795">
        <v>0</v>
      </c>
      <c r="J795" t="s">
        <v>126</v>
      </c>
      <c r="K795" t="s">
        <v>125</v>
      </c>
      <c r="L795" t="s">
        <v>1968</v>
      </c>
      <c r="U795" t="s">
        <v>209</v>
      </c>
      <c r="W795" t="s">
        <v>135</v>
      </c>
      <c r="X795">
        <v>2</v>
      </c>
      <c r="AC795" t="s">
        <v>136</v>
      </c>
      <c r="AE795" t="s">
        <v>137</v>
      </c>
    </row>
    <row r="796" spans="1:78" hidden="1" x14ac:dyDescent="0.2">
      <c r="A796" t="s">
        <v>119</v>
      </c>
      <c r="B796" t="s">
        <v>120</v>
      </c>
      <c r="C796" t="s">
        <v>1967</v>
      </c>
      <c r="D796">
        <v>7</v>
      </c>
      <c r="E796" t="s">
        <v>1969</v>
      </c>
      <c r="F796" t="s">
        <v>1970</v>
      </c>
      <c r="G796" t="s">
        <v>124</v>
      </c>
      <c r="H796" t="s">
        <v>125</v>
      </c>
      <c r="I796">
        <v>3</v>
      </c>
      <c r="J796" t="s">
        <v>170</v>
      </c>
      <c r="K796" t="s">
        <v>125</v>
      </c>
      <c r="L796" t="s">
        <v>1971</v>
      </c>
      <c r="T796" t="s">
        <v>154</v>
      </c>
      <c r="W796" t="s">
        <v>135</v>
      </c>
      <c r="AC796" t="s">
        <v>143</v>
      </c>
      <c r="AE796" t="s">
        <v>144</v>
      </c>
      <c r="AG796">
        <v>6</v>
      </c>
      <c r="AH796" t="s">
        <v>614</v>
      </c>
      <c r="AI796" t="s">
        <v>205</v>
      </c>
      <c r="AJ796" t="s">
        <v>131</v>
      </c>
      <c r="AK796" t="s">
        <v>125</v>
      </c>
      <c r="AL796">
        <v>7</v>
      </c>
      <c r="AM796" t="s">
        <v>132</v>
      </c>
      <c r="AN796" t="s">
        <v>125</v>
      </c>
      <c r="AO796" t="s">
        <v>1972</v>
      </c>
      <c r="BP796" t="s">
        <v>149</v>
      </c>
      <c r="BR796" t="s">
        <v>135</v>
      </c>
      <c r="BS796">
        <v>3</v>
      </c>
      <c r="BX796" t="s">
        <v>136</v>
      </c>
      <c r="BZ796" t="s">
        <v>137</v>
      </c>
    </row>
    <row r="797" spans="1:78" hidden="1" x14ac:dyDescent="0.2">
      <c r="A797" t="s">
        <v>119</v>
      </c>
      <c r="B797" t="s">
        <v>120</v>
      </c>
      <c r="C797" t="s">
        <v>1973</v>
      </c>
      <c r="D797">
        <v>4</v>
      </c>
      <c r="E797" t="s">
        <v>631</v>
      </c>
      <c r="F797" t="s">
        <v>632</v>
      </c>
      <c r="G797" t="s">
        <v>124</v>
      </c>
      <c r="H797" t="s">
        <v>125</v>
      </c>
      <c r="I797">
        <v>0</v>
      </c>
      <c r="J797" t="s">
        <v>126</v>
      </c>
      <c r="K797" t="s">
        <v>125</v>
      </c>
      <c r="L797" t="s">
        <v>1974</v>
      </c>
      <c r="T797" t="s">
        <v>154</v>
      </c>
      <c r="W797" t="s">
        <v>135</v>
      </c>
      <c r="AC797" t="s">
        <v>143</v>
      </c>
      <c r="AE797" t="s">
        <v>144</v>
      </c>
      <c r="AG797">
        <v>3</v>
      </c>
      <c r="AH797" t="s">
        <v>614</v>
      </c>
      <c r="AI797" t="s">
        <v>205</v>
      </c>
      <c r="AJ797" t="s">
        <v>131</v>
      </c>
      <c r="AK797" t="s">
        <v>125</v>
      </c>
      <c r="AL797">
        <v>4</v>
      </c>
      <c r="AM797" t="s">
        <v>132</v>
      </c>
      <c r="AN797" t="s">
        <v>125</v>
      </c>
      <c r="AO797" t="s">
        <v>1975</v>
      </c>
      <c r="BP797" t="s">
        <v>149</v>
      </c>
      <c r="BR797" t="s">
        <v>135</v>
      </c>
      <c r="BS797">
        <v>3</v>
      </c>
      <c r="BX797" t="s">
        <v>136</v>
      </c>
      <c r="BZ797" t="s">
        <v>137</v>
      </c>
    </row>
    <row r="798" spans="1:78" hidden="1" x14ac:dyDescent="0.2">
      <c r="A798" t="s">
        <v>119</v>
      </c>
      <c r="B798" t="s">
        <v>120</v>
      </c>
      <c r="C798" t="s">
        <v>1973</v>
      </c>
      <c r="D798">
        <v>7</v>
      </c>
      <c r="E798" t="s">
        <v>789</v>
      </c>
      <c r="F798" t="s">
        <v>424</v>
      </c>
      <c r="G798" t="s">
        <v>124</v>
      </c>
      <c r="H798" t="s">
        <v>125</v>
      </c>
      <c r="I798">
        <v>4</v>
      </c>
      <c r="J798" t="s">
        <v>268</v>
      </c>
      <c r="K798" t="s">
        <v>125</v>
      </c>
      <c r="L798" t="s">
        <v>1976</v>
      </c>
      <c r="AE798" t="s">
        <v>394</v>
      </c>
      <c r="AG798">
        <v>6</v>
      </c>
      <c r="AH798" t="s">
        <v>1977</v>
      </c>
      <c r="AI798" t="s">
        <v>283</v>
      </c>
      <c r="AJ798" t="s">
        <v>131</v>
      </c>
      <c r="AK798" t="s">
        <v>125</v>
      </c>
      <c r="AL798">
        <v>7</v>
      </c>
      <c r="AM798" t="s">
        <v>132</v>
      </c>
      <c r="AN798" t="s">
        <v>125</v>
      </c>
      <c r="AO798" t="s">
        <v>1978</v>
      </c>
      <c r="BP798" t="s">
        <v>149</v>
      </c>
      <c r="BR798" t="s">
        <v>135</v>
      </c>
      <c r="BS798">
        <v>3</v>
      </c>
      <c r="BX798" t="s">
        <v>209</v>
      </c>
      <c r="BZ798" t="s">
        <v>137</v>
      </c>
    </row>
    <row r="799" spans="1:78" hidden="1" x14ac:dyDescent="0.2">
      <c r="A799" t="s">
        <v>119</v>
      </c>
      <c r="B799" t="s">
        <v>120</v>
      </c>
      <c r="C799" t="s">
        <v>1979</v>
      </c>
      <c r="D799">
        <v>10</v>
      </c>
      <c r="E799" t="s">
        <v>1980</v>
      </c>
      <c r="F799" t="s">
        <v>1981</v>
      </c>
      <c r="G799" t="s">
        <v>124</v>
      </c>
      <c r="H799" t="s">
        <v>125</v>
      </c>
      <c r="I799">
        <v>3</v>
      </c>
      <c r="J799" t="s">
        <v>199</v>
      </c>
      <c r="K799" t="s">
        <v>125</v>
      </c>
      <c r="L799" t="s">
        <v>1982</v>
      </c>
      <c r="T799" t="s">
        <v>154</v>
      </c>
      <c r="W799" t="s">
        <v>135</v>
      </c>
      <c r="AC799" t="s">
        <v>143</v>
      </c>
      <c r="AE799" t="s">
        <v>144</v>
      </c>
      <c r="AG799">
        <v>9</v>
      </c>
      <c r="AH799" t="s">
        <v>204</v>
      </c>
      <c r="AI799" t="s">
        <v>205</v>
      </c>
      <c r="AJ799" t="s">
        <v>131</v>
      </c>
      <c r="AK799" t="s">
        <v>125</v>
      </c>
      <c r="AL799">
        <v>10</v>
      </c>
      <c r="AM799" t="s">
        <v>132</v>
      </c>
      <c r="AN799" t="s">
        <v>125</v>
      </c>
      <c r="AO799" t="s">
        <v>1983</v>
      </c>
      <c r="BP799" t="s">
        <v>149</v>
      </c>
      <c r="BR799" t="s">
        <v>135</v>
      </c>
      <c r="BS799">
        <v>1</v>
      </c>
      <c r="BX799" t="s">
        <v>136</v>
      </c>
      <c r="BZ799" t="s">
        <v>137</v>
      </c>
    </row>
    <row r="800" spans="1:78" hidden="1" x14ac:dyDescent="0.2">
      <c r="A800" t="s">
        <v>119</v>
      </c>
      <c r="B800" t="s">
        <v>120</v>
      </c>
      <c r="C800" t="s">
        <v>1979</v>
      </c>
      <c r="D800">
        <v>17</v>
      </c>
      <c r="E800" t="s">
        <v>1811</v>
      </c>
      <c r="F800" t="s">
        <v>1459</v>
      </c>
      <c r="G800" t="s">
        <v>124</v>
      </c>
      <c r="H800" t="s">
        <v>125</v>
      </c>
      <c r="I800">
        <v>3</v>
      </c>
      <c r="J800" t="s">
        <v>161</v>
      </c>
      <c r="K800" t="s">
        <v>125</v>
      </c>
      <c r="L800" t="s">
        <v>1984</v>
      </c>
      <c r="U800" t="s">
        <v>209</v>
      </c>
      <c r="W800" t="s">
        <v>135</v>
      </c>
      <c r="X800">
        <v>2</v>
      </c>
      <c r="AC800" t="s">
        <v>209</v>
      </c>
      <c r="AE800" t="s">
        <v>137</v>
      </c>
    </row>
    <row r="801" spans="1:78" hidden="1" x14ac:dyDescent="0.2">
      <c r="A801" t="s">
        <v>119</v>
      </c>
      <c r="B801" t="s">
        <v>120</v>
      </c>
      <c r="C801" t="s">
        <v>1985</v>
      </c>
      <c r="D801">
        <v>2</v>
      </c>
      <c r="E801" t="s">
        <v>1459</v>
      </c>
      <c r="F801" t="s">
        <v>1459</v>
      </c>
      <c r="G801" t="s">
        <v>124</v>
      </c>
      <c r="H801" t="s">
        <v>125</v>
      </c>
      <c r="I801">
        <v>0</v>
      </c>
      <c r="J801" t="s">
        <v>126</v>
      </c>
      <c r="K801" t="s">
        <v>125</v>
      </c>
      <c r="L801" t="s">
        <v>1986</v>
      </c>
      <c r="AE801" t="s">
        <v>128</v>
      </c>
    </row>
    <row r="802" spans="1:78" hidden="1" x14ac:dyDescent="0.2">
      <c r="A802" t="s">
        <v>119</v>
      </c>
      <c r="B802" t="s">
        <v>120</v>
      </c>
      <c r="C802" t="s">
        <v>1987</v>
      </c>
      <c r="D802">
        <v>5</v>
      </c>
      <c r="E802" t="s">
        <v>1885</v>
      </c>
      <c r="F802" t="s">
        <v>1886</v>
      </c>
      <c r="G802" t="s">
        <v>124</v>
      </c>
      <c r="H802" t="s">
        <v>125</v>
      </c>
      <c r="I802">
        <v>0</v>
      </c>
      <c r="J802" t="s">
        <v>126</v>
      </c>
      <c r="K802" t="s">
        <v>125</v>
      </c>
      <c r="L802" t="s">
        <v>1988</v>
      </c>
      <c r="T802" t="s">
        <v>142</v>
      </c>
      <c r="W802" t="s">
        <v>135</v>
      </c>
      <c r="AC802" t="s">
        <v>143</v>
      </c>
      <c r="AE802" t="s">
        <v>144</v>
      </c>
      <c r="AG802">
        <v>4</v>
      </c>
      <c r="AH802" t="s">
        <v>204</v>
      </c>
      <c r="AI802" t="s">
        <v>205</v>
      </c>
      <c r="AJ802" t="s">
        <v>131</v>
      </c>
      <c r="AK802" t="s">
        <v>125</v>
      </c>
      <c r="AL802">
        <v>5</v>
      </c>
      <c r="AM802" t="s">
        <v>132</v>
      </c>
      <c r="AN802" t="s">
        <v>125</v>
      </c>
      <c r="AO802" t="s">
        <v>1989</v>
      </c>
      <c r="BP802" t="s">
        <v>149</v>
      </c>
      <c r="BR802" t="s">
        <v>135</v>
      </c>
      <c r="BS802">
        <v>1</v>
      </c>
      <c r="BX802" t="s">
        <v>136</v>
      </c>
      <c r="BZ802" t="s">
        <v>137</v>
      </c>
    </row>
    <row r="803" spans="1:78" x14ac:dyDescent="0.2">
      <c r="A803" t="s">
        <v>119</v>
      </c>
      <c r="B803" t="s">
        <v>120</v>
      </c>
      <c r="C803" t="s">
        <v>1990</v>
      </c>
      <c r="D803">
        <v>2</v>
      </c>
      <c r="E803" t="s">
        <v>801</v>
      </c>
      <c r="F803" t="s">
        <v>667</v>
      </c>
      <c r="G803" t="s">
        <v>124</v>
      </c>
      <c r="H803" t="s">
        <v>125</v>
      </c>
      <c r="I803">
        <v>0</v>
      </c>
      <c r="J803" t="s">
        <v>126</v>
      </c>
      <c r="K803" t="s">
        <v>125</v>
      </c>
      <c r="L803" t="s">
        <v>1991</v>
      </c>
      <c r="U803" t="s">
        <v>149</v>
      </c>
      <c r="W803" t="s">
        <v>135</v>
      </c>
      <c r="X803">
        <v>2</v>
      </c>
      <c r="AC803" t="s">
        <v>136</v>
      </c>
      <c r="AE803" t="s">
        <v>137</v>
      </c>
    </row>
    <row r="804" spans="1:78" hidden="1" x14ac:dyDescent="0.2">
      <c r="A804" t="s">
        <v>119</v>
      </c>
      <c r="B804" t="s">
        <v>120</v>
      </c>
      <c r="C804" t="s">
        <v>1992</v>
      </c>
      <c r="D804">
        <v>1</v>
      </c>
      <c r="E804" t="s">
        <v>1893</v>
      </c>
      <c r="F804" t="s">
        <v>1893</v>
      </c>
      <c r="G804" t="s">
        <v>124</v>
      </c>
      <c r="H804" t="s">
        <v>125</v>
      </c>
      <c r="I804">
        <v>0</v>
      </c>
      <c r="J804" t="s">
        <v>126</v>
      </c>
      <c r="K804" t="s">
        <v>125</v>
      </c>
      <c r="L804" t="s">
        <v>1993</v>
      </c>
    </row>
    <row r="805" spans="1:78" x14ac:dyDescent="0.2">
      <c r="A805" t="s">
        <v>119</v>
      </c>
      <c r="B805" t="s">
        <v>120</v>
      </c>
      <c r="C805" t="s">
        <v>1994</v>
      </c>
      <c r="D805">
        <v>3</v>
      </c>
      <c r="E805" t="s">
        <v>1995</v>
      </c>
      <c r="F805" t="s">
        <v>202</v>
      </c>
      <c r="G805" t="s">
        <v>124</v>
      </c>
      <c r="H805" t="s">
        <v>125</v>
      </c>
      <c r="I805">
        <v>0</v>
      </c>
      <c r="J805" t="s">
        <v>126</v>
      </c>
      <c r="K805" t="s">
        <v>125</v>
      </c>
      <c r="L805" t="s">
        <v>1996</v>
      </c>
      <c r="U805" t="s">
        <v>149</v>
      </c>
      <c r="W805" t="s">
        <v>135</v>
      </c>
      <c r="X805">
        <v>1</v>
      </c>
      <c r="AC805" t="s">
        <v>136</v>
      </c>
      <c r="AE805" t="s">
        <v>137</v>
      </c>
    </row>
    <row r="806" spans="1:78" x14ac:dyDescent="0.2">
      <c r="A806" t="s">
        <v>119</v>
      </c>
      <c r="B806" t="s">
        <v>120</v>
      </c>
      <c r="C806" t="s">
        <v>1997</v>
      </c>
      <c r="D806">
        <v>2</v>
      </c>
      <c r="E806" t="s">
        <v>1063</v>
      </c>
      <c r="F806" t="s">
        <v>373</v>
      </c>
      <c r="G806" t="s">
        <v>124</v>
      </c>
      <c r="H806" t="s">
        <v>125</v>
      </c>
      <c r="I806">
        <v>0</v>
      </c>
      <c r="J806" t="s">
        <v>126</v>
      </c>
      <c r="K806" t="s">
        <v>125</v>
      </c>
      <c r="L806" t="s">
        <v>1998</v>
      </c>
      <c r="U806" t="s">
        <v>209</v>
      </c>
      <c r="W806" t="s">
        <v>135</v>
      </c>
      <c r="X806">
        <v>2</v>
      </c>
      <c r="AC806" t="s">
        <v>136</v>
      </c>
      <c r="AE806" t="s">
        <v>137</v>
      </c>
    </row>
    <row r="807" spans="1:78" x14ac:dyDescent="0.2">
      <c r="A807" t="s">
        <v>119</v>
      </c>
      <c r="B807" t="s">
        <v>120</v>
      </c>
      <c r="C807" t="s">
        <v>1999</v>
      </c>
      <c r="D807">
        <v>3</v>
      </c>
      <c r="E807" t="s">
        <v>145</v>
      </c>
      <c r="F807" t="s">
        <v>146</v>
      </c>
      <c r="G807" t="s">
        <v>124</v>
      </c>
      <c r="H807" t="s">
        <v>125</v>
      </c>
      <c r="I807">
        <v>0</v>
      </c>
      <c r="J807" t="s">
        <v>126</v>
      </c>
      <c r="K807" t="s">
        <v>125</v>
      </c>
      <c r="L807" t="s">
        <v>2000</v>
      </c>
      <c r="U807" t="s">
        <v>149</v>
      </c>
      <c r="W807" t="s">
        <v>135</v>
      </c>
      <c r="X807">
        <v>3</v>
      </c>
      <c r="AC807" t="s">
        <v>136</v>
      </c>
      <c r="AE807" t="s">
        <v>137</v>
      </c>
    </row>
    <row r="808" spans="1:78" x14ac:dyDescent="0.2">
      <c r="A808" t="s">
        <v>119</v>
      </c>
      <c r="B808" t="s">
        <v>120</v>
      </c>
      <c r="C808" t="s">
        <v>2001</v>
      </c>
      <c r="D808">
        <v>3</v>
      </c>
      <c r="E808" t="s">
        <v>145</v>
      </c>
      <c r="F808" t="s">
        <v>146</v>
      </c>
      <c r="G808" t="s">
        <v>124</v>
      </c>
      <c r="H808" t="s">
        <v>125</v>
      </c>
      <c r="I808">
        <v>0</v>
      </c>
      <c r="J808" t="s">
        <v>126</v>
      </c>
      <c r="K808" t="s">
        <v>125</v>
      </c>
      <c r="L808" t="s">
        <v>2002</v>
      </c>
      <c r="U808" t="s">
        <v>149</v>
      </c>
      <c r="W808" t="s">
        <v>135</v>
      </c>
      <c r="X808">
        <v>3</v>
      </c>
      <c r="AC808" t="s">
        <v>136</v>
      </c>
      <c r="AE808" t="s">
        <v>137</v>
      </c>
    </row>
    <row r="809" spans="1:78" x14ac:dyDescent="0.2">
      <c r="A809" t="s">
        <v>119</v>
      </c>
      <c r="B809" t="s">
        <v>120</v>
      </c>
      <c r="C809" t="s">
        <v>2001</v>
      </c>
      <c r="D809">
        <v>7</v>
      </c>
      <c r="E809" t="s">
        <v>145</v>
      </c>
      <c r="F809" t="s">
        <v>146</v>
      </c>
      <c r="G809" t="s">
        <v>124</v>
      </c>
      <c r="H809" t="s">
        <v>125</v>
      </c>
      <c r="I809">
        <v>3</v>
      </c>
      <c r="J809" t="s">
        <v>161</v>
      </c>
      <c r="K809" t="s">
        <v>125</v>
      </c>
      <c r="L809" t="s">
        <v>2003</v>
      </c>
      <c r="U809" t="s">
        <v>149</v>
      </c>
      <c r="W809" t="s">
        <v>135</v>
      </c>
      <c r="X809">
        <v>3</v>
      </c>
      <c r="AC809" t="s">
        <v>136</v>
      </c>
      <c r="AE809" t="s">
        <v>137</v>
      </c>
    </row>
    <row r="810" spans="1:78" x14ac:dyDescent="0.2">
      <c r="A810" t="s">
        <v>119</v>
      </c>
      <c r="B810" t="s">
        <v>120</v>
      </c>
      <c r="C810" t="s">
        <v>2001</v>
      </c>
      <c r="D810">
        <v>13</v>
      </c>
      <c r="E810" t="s">
        <v>145</v>
      </c>
      <c r="F810" t="s">
        <v>146</v>
      </c>
      <c r="G810" t="s">
        <v>124</v>
      </c>
      <c r="H810" t="s">
        <v>125</v>
      </c>
      <c r="I810">
        <v>3</v>
      </c>
      <c r="J810" t="s">
        <v>161</v>
      </c>
      <c r="K810" t="s">
        <v>125</v>
      </c>
      <c r="L810" t="s">
        <v>2004</v>
      </c>
      <c r="U810" t="s">
        <v>149</v>
      </c>
      <c r="W810" t="s">
        <v>135</v>
      </c>
      <c r="X810">
        <v>3</v>
      </c>
      <c r="AC810" t="s">
        <v>136</v>
      </c>
      <c r="AE810" t="s">
        <v>137</v>
      </c>
    </row>
    <row r="811" spans="1:78" hidden="1" x14ac:dyDescent="0.2">
      <c r="A811" t="s">
        <v>119</v>
      </c>
      <c r="B811" t="s">
        <v>120</v>
      </c>
      <c r="C811" t="s">
        <v>2005</v>
      </c>
      <c r="D811">
        <v>1</v>
      </c>
      <c r="E811" t="s">
        <v>1936</v>
      </c>
      <c r="F811" t="s">
        <v>1886</v>
      </c>
      <c r="G811" t="s">
        <v>124</v>
      </c>
      <c r="H811" t="s">
        <v>125</v>
      </c>
      <c r="I811">
        <v>0</v>
      </c>
      <c r="J811" t="s">
        <v>126</v>
      </c>
      <c r="K811" t="s">
        <v>125</v>
      </c>
      <c r="L811" t="s">
        <v>2006</v>
      </c>
      <c r="T811" t="s">
        <v>154</v>
      </c>
      <c r="W811" t="s">
        <v>135</v>
      </c>
      <c r="AC811" t="s">
        <v>143</v>
      </c>
      <c r="AE811" t="s">
        <v>144</v>
      </c>
    </row>
    <row r="812" spans="1:78" hidden="1" x14ac:dyDescent="0.2">
      <c r="A812" t="s">
        <v>119</v>
      </c>
      <c r="B812" t="s">
        <v>120</v>
      </c>
      <c r="C812" t="s">
        <v>2007</v>
      </c>
      <c r="D812">
        <v>1</v>
      </c>
      <c r="E812" t="s">
        <v>2008</v>
      </c>
      <c r="F812" t="s">
        <v>331</v>
      </c>
      <c r="G812" t="s">
        <v>124</v>
      </c>
      <c r="H812" t="s">
        <v>125</v>
      </c>
      <c r="I812">
        <v>0</v>
      </c>
      <c r="J812" t="s">
        <v>126</v>
      </c>
      <c r="K812" t="s">
        <v>125</v>
      </c>
      <c r="L812" t="s">
        <v>2009</v>
      </c>
    </row>
    <row r="813" spans="1:78" x14ac:dyDescent="0.2">
      <c r="A813" t="s">
        <v>119</v>
      </c>
      <c r="B813" t="s">
        <v>120</v>
      </c>
      <c r="C813" t="s">
        <v>2010</v>
      </c>
      <c r="D813">
        <v>4</v>
      </c>
      <c r="E813" t="s">
        <v>2011</v>
      </c>
      <c r="F813" t="s">
        <v>1651</v>
      </c>
      <c r="G813" t="s">
        <v>124</v>
      </c>
      <c r="H813" t="s">
        <v>125</v>
      </c>
      <c r="I813">
        <v>0</v>
      </c>
      <c r="J813" t="s">
        <v>126</v>
      </c>
      <c r="K813" t="s">
        <v>125</v>
      </c>
      <c r="L813" t="s">
        <v>2012</v>
      </c>
      <c r="U813" t="s">
        <v>209</v>
      </c>
      <c r="W813" t="s">
        <v>155</v>
      </c>
      <c r="X813">
        <v>1</v>
      </c>
      <c r="AC813" t="s">
        <v>136</v>
      </c>
      <c r="AE813" t="s">
        <v>137</v>
      </c>
    </row>
    <row r="814" spans="1:78" hidden="1" x14ac:dyDescent="0.2">
      <c r="A814" t="s">
        <v>119</v>
      </c>
      <c r="B814" t="s">
        <v>120</v>
      </c>
      <c r="C814" t="s">
        <v>2013</v>
      </c>
      <c r="D814">
        <v>2</v>
      </c>
      <c r="E814" t="s">
        <v>2014</v>
      </c>
      <c r="F814" t="s">
        <v>1651</v>
      </c>
      <c r="G814" t="s">
        <v>124</v>
      </c>
      <c r="H814" t="s">
        <v>125</v>
      </c>
      <c r="I814">
        <v>0</v>
      </c>
      <c r="J814" t="s">
        <v>126</v>
      </c>
      <c r="K814" t="s">
        <v>125</v>
      </c>
      <c r="L814" t="s">
        <v>2015</v>
      </c>
      <c r="U814" t="s">
        <v>149</v>
      </c>
      <c r="W814" t="s">
        <v>155</v>
      </c>
      <c r="X814">
        <v>1</v>
      </c>
      <c r="AC814" t="s">
        <v>903</v>
      </c>
      <c r="AE814" t="s">
        <v>137</v>
      </c>
    </row>
    <row r="815" spans="1:78" x14ac:dyDescent="0.2">
      <c r="A815" t="s">
        <v>119</v>
      </c>
      <c r="B815" t="s">
        <v>120</v>
      </c>
      <c r="C815" t="s">
        <v>2013</v>
      </c>
      <c r="D815">
        <v>4</v>
      </c>
      <c r="E815" t="s">
        <v>2016</v>
      </c>
      <c r="F815" t="s">
        <v>390</v>
      </c>
      <c r="G815" t="s">
        <v>124</v>
      </c>
      <c r="H815" t="s">
        <v>125</v>
      </c>
      <c r="I815">
        <v>2</v>
      </c>
      <c r="J815" t="s">
        <v>268</v>
      </c>
      <c r="K815" t="s">
        <v>125</v>
      </c>
      <c r="L815" t="s">
        <v>2017</v>
      </c>
      <c r="U815" t="s">
        <v>149</v>
      </c>
      <c r="W815" t="s">
        <v>155</v>
      </c>
      <c r="X815">
        <v>1</v>
      </c>
      <c r="AC815" t="s">
        <v>136</v>
      </c>
      <c r="AE815" t="s">
        <v>137</v>
      </c>
    </row>
    <row r="816" spans="1:78" x14ac:dyDescent="0.2">
      <c r="A816" t="s">
        <v>119</v>
      </c>
      <c r="B816" t="s">
        <v>120</v>
      </c>
      <c r="C816" t="s">
        <v>2018</v>
      </c>
      <c r="D816">
        <v>2</v>
      </c>
      <c r="E816" t="s">
        <v>537</v>
      </c>
      <c r="F816" t="s">
        <v>261</v>
      </c>
      <c r="G816" t="s">
        <v>124</v>
      </c>
      <c r="H816" t="s">
        <v>125</v>
      </c>
      <c r="I816">
        <v>4</v>
      </c>
      <c r="J816" t="s">
        <v>210</v>
      </c>
      <c r="K816" t="s">
        <v>125</v>
      </c>
      <c r="L816" t="s">
        <v>2019</v>
      </c>
      <c r="U816" t="s">
        <v>149</v>
      </c>
      <c r="W816" t="s">
        <v>135</v>
      </c>
      <c r="X816">
        <v>2</v>
      </c>
      <c r="AC816" t="s">
        <v>136</v>
      </c>
      <c r="AE816" t="s">
        <v>137</v>
      </c>
    </row>
    <row r="817" spans="1:78" x14ac:dyDescent="0.2">
      <c r="A817" t="s">
        <v>119</v>
      </c>
      <c r="B817" t="s">
        <v>120</v>
      </c>
      <c r="C817" t="s">
        <v>2018</v>
      </c>
      <c r="D817">
        <v>4</v>
      </c>
      <c r="E817" t="s">
        <v>537</v>
      </c>
      <c r="F817" t="s">
        <v>261</v>
      </c>
      <c r="G817" t="s">
        <v>124</v>
      </c>
      <c r="H817" t="s">
        <v>125</v>
      </c>
      <c r="I817">
        <v>0</v>
      </c>
      <c r="J817" t="s">
        <v>126</v>
      </c>
      <c r="K817" t="s">
        <v>125</v>
      </c>
      <c r="L817" t="s">
        <v>2020</v>
      </c>
      <c r="U817" t="s">
        <v>149</v>
      </c>
      <c r="W817" t="s">
        <v>135</v>
      </c>
      <c r="X817">
        <v>2</v>
      </c>
      <c r="AC817" t="s">
        <v>136</v>
      </c>
      <c r="AE817" t="s">
        <v>137</v>
      </c>
    </row>
    <row r="818" spans="1:78" x14ac:dyDescent="0.2">
      <c r="A818" t="s">
        <v>119</v>
      </c>
      <c r="B818" t="s">
        <v>120</v>
      </c>
      <c r="C818" t="s">
        <v>2021</v>
      </c>
      <c r="D818">
        <v>1</v>
      </c>
      <c r="E818" t="s">
        <v>801</v>
      </c>
      <c r="F818" t="s">
        <v>667</v>
      </c>
      <c r="G818" t="s">
        <v>124</v>
      </c>
      <c r="H818" t="s">
        <v>125</v>
      </c>
      <c r="I818">
        <v>0</v>
      </c>
      <c r="J818" t="s">
        <v>126</v>
      </c>
      <c r="K818" t="s">
        <v>125</v>
      </c>
      <c r="L818" t="s">
        <v>2022</v>
      </c>
      <c r="U818" t="s">
        <v>149</v>
      </c>
      <c r="W818" t="s">
        <v>135</v>
      </c>
      <c r="X818">
        <v>2</v>
      </c>
      <c r="AC818" t="s">
        <v>136</v>
      </c>
      <c r="AE818" t="s">
        <v>137</v>
      </c>
    </row>
    <row r="819" spans="1:78" x14ac:dyDescent="0.2">
      <c r="A819" t="s">
        <v>119</v>
      </c>
      <c r="B819" t="s">
        <v>120</v>
      </c>
      <c r="C819" t="s">
        <v>2023</v>
      </c>
      <c r="D819">
        <v>3</v>
      </c>
      <c r="E819" t="s">
        <v>327</v>
      </c>
      <c r="F819" t="s">
        <v>198</v>
      </c>
      <c r="G819" t="s">
        <v>124</v>
      </c>
      <c r="H819" t="s">
        <v>125</v>
      </c>
      <c r="I819">
        <v>0</v>
      </c>
      <c r="J819" t="s">
        <v>126</v>
      </c>
      <c r="K819" t="s">
        <v>125</v>
      </c>
      <c r="L819" t="s">
        <v>2024</v>
      </c>
      <c r="U819" t="s">
        <v>149</v>
      </c>
      <c r="W819" t="s">
        <v>135</v>
      </c>
      <c r="X819">
        <v>3</v>
      </c>
      <c r="AC819" t="s">
        <v>136</v>
      </c>
      <c r="AE819" t="s">
        <v>137</v>
      </c>
    </row>
    <row r="820" spans="1:78" hidden="1" x14ac:dyDescent="0.2">
      <c r="A820" t="s">
        <v>119</v>
      </c>
      <c r="B820" t="s">
        <v>120</v>
      </c>
      <c r="C820" t="s">
        <v>2023</v>
      </c>
      <c r="D820">
        <v>6</v>
      </c>
      <c r="E820" t="s">
        <v>123</v>
      </c>
      <c r="F820" t="s">
        <v>123</v>
      </c>
      <c r="G820" t="s">
        <v>124</v>
      </c>
      <c r="H820" t="s">
        <v>125</v>
      </c>
      <c r="I820">
        <v>3</v>
      </c>
      <c r="J820" t="s">
        <v>264</v>
      </c>
      <c r="K820" t="s">
        <v>125</v>
      </c>
      <c r="L820" t="s">
        <v>2025</v>
      </c>
      <c r="AE820" t="s">
        <v>128</v>
      </c>
      <c r="AG820">
        <v>5</v>
      </c>
      <c r="AH820" t="s">
        <v>2026</v>
      </c>
      <c r="AI820" t="s">
        <v>130</v>
      </c>
      <c r="AJ820" t="s">
        <v>131</v>
      </c>
      <c r="AK820" t="s">
        <v>125</v>
      </c>
      <c r="AL820">
        <v>6</v>
      </c>
      <c r="AM820" t="s">
        <v>132</v>
      </c>
      <c r="AN820" t="s">
        <v>125</v>
      </c>
      <c r="AO820" t="s">
        <v>2027</v>
      </c>
      <c r="BP820" t="s">
        <v>149</v>
      </c>
      <c r="BR820" t="s">
        <v>155</v>
      </c>
      <c r="BS820">
        <v>2</v>
      </c>
      <c r="BX820" t="s">
        <v>136</v>
      </c>
      <c r="BZ820" t="s">
        <v>137</v>
      </c>
    </row>
    <row r="821" spans="1:78" x14ac:dyDescent="0.2">
      <c r="A821" t="s">
        <v>119</v>
      </c>
      <c r="B821" t="s">
        <v>120</v>
      </c>
      <c r="C821" t="s">
        <v>2023</v>
      </c>
      <c r="D821">
        <v>14</v>
      </c>
      <c r="E821" t="s">
        <v>2028</v>
      </c>
      <c r="F821" t="s">
        <v>632</v>
      </c>
      <c r="G821" t="s">
        <v>124</v>
      </c>
      <c r="H821" t="s">
        <v>125</v>
      </c>
      <c r="I821">
        <v>3</v>
      </c>
      <c r="J821" t="s">
        <v>161</v>
      </c>
      <c r="K821" t="s">
        <v>125</v>
      </c>
      <c r="L821" t="s">
        <v>2029</v>
      </c>
      <c r="U821" t="s">
        <v>149</v>
      </c>
      <c r="W821" t="s">
        <v>135</v>
      </c>
      <c r="X821">
        <v>3</v>
      </c>
      <c r="AC821" t="s">
        <v>136</v>
      </c>
      <c r="AE821" t="s">
        <v>137</v>
      </c>
    </row>
    <row r="822" spans="1:78" hidden="1" x14ac:dyDescent="0.2">
      <c r="A822" t="s">
        <v>119</v>
      </c>
      <c r="B822" t="s">
        <v>120</v>
      </c>
      <c r="C822" t="s">
        <v>2030</v>
      </c>
      <c r="D822">
        <v>1</v>
      </c>
      <c r="E822" t="s">
        <v>2031</v>
      </c>
      <c r="F822" t="s">
        <v>140</v>
      </c>
      <c r="G822" t="s">
        <v>124</v>
      </c>
      <c r="H822" t="s">
        <v>125</v>
      </c>
      <c r="I822">
        <v>0</v>
      </c>
      <c r="J822" t="s">
        <v>126</v>
      </c>
      <c r="K822" t="s">
        <v>125</v>
      </c>
      <c r="L822" t="s">
        <v>2032</v>
      </c>
    </row>
    <row r="823" spans="1:78" x14ac:dyDescent="0.2">
      <c r="A823" t="s">
        <v>119</v>
      </c>
      <c r="B823" t="s">
        <v>120</v>
      </c>
      <c r="C823" t="s">
        <v>2033</v>
      </c>
      <c r="D823">
        <v>5</v>
      </c>
      <c r="E823" t="s">
        <v>727</v>
      </c>
      <c r="F823" t="s">
        <v>728</v>
      </c>
      <c r="G823" t="s">
        <v>124</v>
      </c>
      <c r="H823" t="s">
        <v>125</v>
      </c>
      <c r="I823">
        <v>7</v>
      </c>
      <c r="J823" t="s">
        <v>268</v>
      </c>
      <c r="K823" t="s">
        <v>125</v>
      </c>
      <c r="L823" t="s">
        <v>2034</v>
      </c>
      <c r="U823" t="s">
        <v>149</v>
      </c>
      <c r="W823" t="s">
        <v>135</v>
      </c>
      <c r="X823">
        <v>1</v>
      </c>
      <c r="AC823" t="s">
        <v>136</v>
      </c>
      <c r="AE823" t="s">
        <v>137</v>
      </c>
    </row>
    <row r="824" spans="1:78" x14ac:dyDescent="0.2">
      <c r="A824" t="s">
        <v>119</v>
      </c>
      <c r="B824" t="s">
        <v>120</v>
      </c>
      <c r="C824" t="s">
        <v>2033</v>
      </c>
      <c r="D824">
        <v>7</v>
      </c>
      <c r="E824" t="s">
        <v>2035</v>
      </c>
      <c r="F824" t="s">
        <v>1399</v>
      </c>
      <c r="G824" t="s">
        <v>124</v>
      </c>
      <c r="H824" t="s">
        <v>125</v>
      </c>
      <c r="I824">
        <v>0</v>
      </c>
      <c r="J824" t="s">
        <v>126</v>
      </c>
      <c r="K824" t="s">
        <v>125</v>
      </c>
      <c r="L824" t="s">
        <v>2036</v>
      </c>
      <c r="U824" t="s">
        <v>149</v>
      </c>
      <c r="W824" t="s">
        <v>135</v>
      </c>
      <c r="X824">
        <v>1</v>
      </c>
      <c r="AC824" t="s">
        <v>136</v>
      </c>
      <c r="AE824" t="s">
        <v>137</v>
      </c>
    </row>
    <row r="825" spans="1:78" hidden="1" x14ac:dyDescent="0.2">
      <c r="A825" t="s">
        <v>119</v>
      </c>
      <c r="B825" t="s">
        <v>120</v>
      </c>
      <c r="C825" t="s">
        <v>2037</v>
      </c>
      <c r="D825">
        <v>2</v>
      </c>
      <c r="E825" t="s">
        <v>140</v>
      </c>
      <c r="F825" t="s">
        <v>140</v>
      </c>
      <c r="G825" t="s">
        <v>124</v>
      </c>
      <c r="H825" t="s">
        <v>125</v>
      </c>
      <c r="I825">
        <v>0</v>
      </c>
      <c r="J825" t="s">
        <v>126</v>
      </c>
      <c r="K825" t="s">
        <v>125</v>
      </c>
      <c r="L825" t="s">
        <v>2038</v>
      </c>
      <c r="AE825" t="s">
        <v>128</v>
      </c>
      <c r="AG825">
        <v>1</v>
      </c>
      <c r="AH825" t="s">
        <v>666</v>
      </c>
      <c r="AI825" t="s">
        <v>667</v>
      </c>
      <c r="AJ825" t="s">
        <v>131</v>
      </c>
      <c r="AK825" t="s">
        <v>125</v>
      </c>
      <c r="AL825">
        <v>2</v>
      </c>
      <c r="AM825" t="s">
        <v>132</v>
      </c>
      <c r="AN825" t="s">
        <v>125</v>
      </c>
      <c r="AO825" t="s">
        <v>2039</v>
      </c>
      <c r="BP825" t="s">
        <v>149</v>
      </c>
      <c r="BR825" t="s">
        <v>135</v>
      </c>
      <c r="BS825">
        <v>1</v>
      </c>
      <c r="BX825" t="s">
        <v>209</v>
      </c>
      <c r="BZ825" t="s">
        <v>137</v>
      </c>
    </row>
    <row r="826" spans="1:78" x14ac:dyDescent="0.2">
      <c r="A826" t="s">
        <v>119</v>
      </c>
      <c r="B826" t="s">
        <v>120</v>
      </c>
      <c r="C826" t="s">
        <v>2037</v>
      </c>
      <c r="D826">
        <v>7</v>
      </c>
      <c r="E826" t="s">
        <v>2040</v>
      </c>
      <c r="F826" t="s">
        <v>2041</v>
      </c>
      <c r="G826" t="s">
        <v>124</v>
      </c>
      <c r="H826" t="s">
        <v>125</v>
      </c>
      <c r="I826">
        <v>4</v>
      </c>
      <c r="J826" t="s">
        <v>170</v>
      </c>
      <c r="K826" t="s">
        <v>125</v>
      </c>
      <c r="L826" t="s">
        <v>2042</v>
      </c>
      <c r="U826" t="s">
        <v>149</v>
      </c>
      <c r="W826" t="s">
        <v>135</v>
      </c>
      <c r="X826">
        <v>2</v>
      </c>
      <c r="AC826" t="s">
        <v>136</v>
      </c>
      <c r="AE826" t="s">
        <v>137</v>
      </c>
    </row>
    <row r="827" spans="1:78" hidden="1" x14ac:dyDescent="0.2">
      <c r="A827" t="s">
        <v>119</v>
      </c>
      <c r="B827" t="s">
        <v>120</v>
      </c>
      <c r="C827" t="s">
        <v>2043</v>
      </c>
      <c r="D827">
        <v>2</v>
      </c>
      <c r="E827" t="s">
        <v>2044</v>
      </c>
      <c r="F827" t="s">
        <v>261</v>
      </c>
      <c r="G827" t="s">
        <v>124</v>
      </c>
      <c r="H827" t="s">
        <v>125</v>
      </c>
      <c r="I827">
        <v>0</v>
      </c>
      <c r="J827" t="s">
        <v>126</v>
      </c>
      <c r="K827" t="s">
        <v>125</v>
      </c>
      <c r="L827" t="s">
        <v>2045</v>
      </c>
    </row>
    <row r="828" spans="1:78" hidden="1" x14ac:dyDescent="0.2">
      <c r="A828" t="s">
        <v>119</v>
      </c>
      <c r="B828" t="s">
        <v>120</v>
      </c>
      <c r="C828" t="s">
        <v>2043</v>
      </c>
      <c r="D828">
        <v>3</v>
      </c>
      <c r="E828" t="s">
        <v>2044</v>
      </c>
      <c r="F828" t="s">
        <v>261</v>
      </c>
      <c r="G828" t="s">
        <v>124</v>
      </c>
      <c r="H828" t="s">
        <v>125</v>
      </c>
      <c r="I828">
        <v>2</v>
      </c>
      <c r="J828" t="s">
        <v>199</v>
      </c>
      <c r="K828" t="s">
        <v>125</v>
      </c>
      <c r="L828" t="s">
        <v>2046</v>
      </c>
    </row>
    <row r="829" spans="1:78" hidden="1" x14ac:dyDescent="0.2">
      <c r="A829" t="s">
        <v>119</v>
      </c>
      <c r="B829" t="s">
        <v>120</v>
      </c>
      <c r="C829" t="s">
        <v>2043</v>
      </c>
      <c r="D829">
        <v>5</v>
      </c>
      <c r="E829" t="s">
        <v>2047</v>
      </c>
      <c r="F829" t="s">
        <v>198</v>
      </c>
      <c r="G829" t="s">
        <v>124</v>
      </c>
      <c r="H829" t="s">
        <v>125</v>
      </c>
      <c r="I829">
        <v>2</v>
      </c>
      <c r="J829" t="s">
        <v>161</v>
      </c>
      <c r="K829" t="s">
        <v>125</v>
      </c>
      <c r="L829" t="s">
        <v>2048</v>
      </c>
      <c r="AG829">
        <v>4</v>
      </c>
      <c r="AH829" t="s">
        <v>1526</v>
      </c>
      <c r="AI829" t="s">
        <v>667</v>
      </c>
      <c r="AJ829" t="s">
        <v>131</v>
      </c>
      <c r="AK829" t="s">
        <v>125</v>
      </c>
      <c r="AL829">
        <v>5</v>
      </c>
      <c r="AM829" t="s">
        <v>132</v>
      </c>
      <c r="AN829" t="s">
        <v>125</v>
      </c>
      <c r="AO829" t="s">
        <v>2049</v>
      </c>
    </row>
    <row r="830" spans="1:78" hidden="1" x14ac:dyDescent="0.2">
      <c r="A830" t="s">
        <v>119</v>
      </c>
      <c r="B830" t="s">
        <v>120</v>
      </c>
      <c r="C830" t="s">
        <v>2050</v>
      </c>
      <c r="D830">
        <v>6</v>
      </c>
      <c r="E830" t="s">
        <v>631</v>
      </c>
      <c r="F830" t="s">
        <v>632</v>
      </c>
      <c r="G830" t="s">
        <v>124</v>
      </c>
      <c r="H830" t="s">
        <v>125</v>
      </c>
      <c r="I830">
        <v>0</v>
      </c>
      <c r="J830" t="s">
        <v>126</v>
      </c>
      <c r="K830" t="s">
        <v>125</v>
      </c>
      <c r="L830" t="s">
        <v>2051</v>
      </c>
      <c r="T830" t="s">
        <v>154</v>
      </c>
      <c r="W830" t="s">
        <v>135</v>
      </c>
      <c r="AC830" t="s">
        <v>143</v>
      </c>
      <c r="AE830" t="s">
        <v>144</v>
      </c>
      <c r="AG830">
        <v>4</v>
      </c>
      <c r="AH830" t="s">
        <v>229</v>
      </c>
      <c r="AI830" t="s">
        <v>205</v>
      </c>
      <c r="AJ830" t="s">
        <v>131</v>
      </c>
      <c r="AK830" t="s">
        <v>125</v>
      </c>
      <c r="AL830">
        <v>6</v>
      </c>
      <c r="AM830" t="s">
        <v>132</v>
      </c>
      <c r="AN830" t="s">
        <v>125</v>
      </c>
      <c r="AO830" t="s">
        <v>2052</v>
      </c>
      <c r="BP830" t="s">
        <v>149</v>
      </c>
      <c r="BR830" t="s">
        <v>155</v>
      </c>
      <c r="BS830">
        <v>2</v>
      </c>
      <c r="BX830" t="s">
        <v>136</v>
      </c>
      <c r="BZ830" t="s">
        <v>137</v>
      </c>
    </row>
    <row r="831" spans="1:78" hidden="1" x14ac:dyDescent="0.2">
      <c r="A831" t="s">
        <v>119</v>
      </c>
      <c r="B831" t="s">
        <v>120</v>
      </c>
      <c r="C831" t="s">
        <v>2050</v>
      </c>
      <c r="D831">
        <v>7</v>
      </c>
      <c r="E831" t="s">
        <v>2053</v>
      </c>
      <c r="F831" t="s">
        <v>2053</v>
      </c>
      <c r="G831" t="s">
        <v>124</v>
      </c>
      <c r="H831" t="s">
        <v>125</v>
      </c>
      <c r="I831">
        <v>6</v>
      </c>
      <c r="J831" t="s">
        <v>294</v>
      </c>
      <c r="K831" t="s">
        <v>125</v>
      </c>
      <c r="L831" t="s">
        <v>2054</v>
      </c>
      <c r="AE831" t="s">
        <v>128</v>
      </c>
    </row>
    <row r="832" spans="1:78" hidden="1" x14ac:dyDescent="0.2">
      <c r="A832" t="s">
        <v>119</v>
      </c>
      <c r="B832" t="s">
        <v>120</v>
      </c>
      <c r="C832" t="s">
        <v>2055</v>
      </c>
      <c r="D832">
        <v>2</v>
      </c>
      <c r="E832" t="s">
        <v>2056</v>
      </c>
      <c r="F832" t="s">
        <v>331</v>
      </c>
      <c r="G832" t="s">
        <v>124</v>
      </c>
      <c r="H832" t="s">
        <v>125</v>
      </c>
      <c r="I832">
        <v>0</v>
      </c>
      <c r="J832" t="s">
        <v>126</v>
      </c>
      <c r="K832" t="s">
        <v>125</v>
      </c>
      <c r="L832" t="s">
        <v>2057</v>
      </c>
      <c r="AE832" t="s">
        <v>128</v>
      </c>
      <c r="AG832">
        <v>1</v>
      </c>
      <c r="AH832" t="s">
        <v>1747</v>
      </c>
      <c r="AI832" t="s">
        <v>572</v>
      </c>
      <c r="AJ832" t="s">
        <v>131</v>
      </c>
      <c r="AK832" t="s">
        <v>125</v>
      </c>
      <c r="AL832">
        <v>2</v>
      </c>
      <c r="AM832" t="s">
        <v>132</v>
      </c>
      <c r="AN832" t="s">
        <v>125</v>
      </c>
      <c r="AO832" t="s">
        <v>2058</v>
      </c>
      <c r="BP832" t="s">
        <v>149</v>
      </c>
      <c r="BR832" t="s">
        <v>135</v>
      </c>
      <c r="BS832">
        <v>3</v>
      </c>
      <c r="BX832" t="s">
        <v>136</v>
      </c>
      <c r="BZ832" t="s">
        <v>137</v>
      </c>
    </row>
    <row r="833" spans="1:78" x14ac:dyDescent="0.2">
      <c r="A833" t="s">
        <v>119</v>
      </c>
      <c r="B833" t="s">
        <v>120</v>
      </c>
      <c r="C833" t="s">
        <v>2059</v>
      </c>
      <c r="D833">
        <v>4</v>
      </c>
      <c r="E833" t="s">
        <v>1486</v>
      </c>
      <c r="F833" t="s">
        <v>202</v>
      </c>
      <c r="G833" t="s">
        <v>124</v>
      </c>
      <c r="H833" t="s">
        <v>125</v>
      </c>
      <c r="I833">
        <v>10</v>
      </c>
      <c r="J833" t="s">
        <v>210</v>
      </c>
      <c r="K833" t="s">
        <v>125</v>
      </c>
      <c r="L833" t="s">
        <v>2060</v>
      </c>
      <c r="U833" t="s">
        <v>149</v>
      </c>
      <c r="W833" t="s">
        <v>135</v>
      </c>
      <c r="X833">
        <v>3</v>
      </c>
      <c r="AC833" t="s">
        <v>136</v>
      </c>
      <c r="AE833" t="s">
        <v>137</v>
      </c>
    </row>
    <row r="834" spans="1:78" x14ac:dyDescent="0.2">
      <c r="A834" t="s">
        <v>119</v>
      </c>
      <c r="B834" t="s">
        <v>120</v>
      </c>
      <c r="C834" t="s">
        <v>2059</v>
      </c>
      <c r="D834">
        <v>10</v>
      </c>
      <c r="E834" t="s">
        <v>1486</v>
      </c>
      <c r="F834" t="s">
        <v>202</v>
      </c>
      <c r="G834" t="s">
        <v>124</v>
      </c>
      <c r="H834" t="s">
        <v>125</v>
      </c>
      <c r="I834">
        <v>0</v>
      </c>
      <c r="J834" t="s">
        <v>126</v>
      </c>
      <c r="K834" t="s">
        <v>125</v>
      </c>
      <c r="L834" t="s">
        <v>2061</v>
      </c>
      <c r="U834" t="s">
        <v>149</v>
      </c>
      <c r="W834" t="s">
        <v>135</v>
      </c>
      <c r="X834">
        <v>3</v>
      </c>
      <c r="AC834" t="s">
        <v>136</v>
      </c>
      <c r="AE834" t="s">
        <v>137</v>
      </c>
    </row>
    <row r="835" spans="1:78" x14ac:dyDescent="0.2">
      <c r="A835" t="s">
        <v>119</v>
      </c>
      <c r="B835" t="s">
        <v>120</v>
      </c>
      <c r="C835" t="s">
        <v>2059</v>
      </c>
      <c r="D835">
        <v>17</v>
      </c>
      <c r="E835" t="s">
        <v>2062</v>
      </c>
      <c r="F835" t="s">
        <v>449</v>
      </c>
      <c r="G835" t="s">
        <v>124</v>
      </c>
      <c r="H835" t="s">
        <v>125</v>
      </c>
      <c r="I835">
        <v>10</v>
      </c>
      <c r="J835" t="s">
        <v>264</v>
      </c>
      <c r="K835" t="s">
        <v>125</v>
      </c>
      <c r="L835" t="s">
        <v>2063</v>
      </c>
      <c r="U835" t="s">
        <v>149</v>
      </c>
      <c r="W835" t="s">
        <v>135</v>
      </c>
      <c r="X835">
        <v>3</v>
      </c>
      <c r="AC835" t="s">
        <v>136</v>
      </c>
      <c r="AE835" t="s">
        <v>137</v>
      </c>
    </row>
    <row r="836" spans="1:78" hidden="1" x14ac:dyDescent="0.2">
      <c r="A836" t="s">
        <v>119</v>
      </c>
      <c r="B836" t="s">
        <v>120</v>
      </c>
      <c r="C836" t="s">
        <v>2064</v>
      </c>
      <c r="D836">
        <v>2</v>
      </c>
      <c r="E836" t="s">
        <v>2056</v>
      </c>
      <c r="F836" t="s">
        <v>331</v>
      </c>
      <c r="G836" t="s">
        <v>124</v>
      </c>
      <c r="H836" t="s">
        <v>125</v>
      </c>
      <c r="I836">
        <v>0</v>
      </c>
      <c r="J836" t="s">
        <v>126</v>
      </c>
      <c r="K836" t="s">
        <v>125</v>
      </c>
      <c r="L836" t="s">
        <v>2065</v>
      </c>
      <c r="AE836" t="s">
        <v>128</v>
      </c>
      <c r="AG836">
        <v>1</v>
      </c>
      <c r="AH836" t="s">
        <v>1747</v>
      </c>
      <c r="AI836" t="s">
        <v>572</v>
      </c>
      <c r="AJ836" t="s">
        <v>131</v>
      </c>
      <c r="AK836" t="s">
        <v>125</v>
      </c>
      <c r="AL836">
        <v>2</v>
      </c>
      <c r="AM836" t="s">
        <v>132</v>
      </c>
      <c r="AN836" t="s">
        <v>125</v>
      </c>
      <c r="AO836" t="s">
        <v>2066</v>
      </c>
      <c r="BP836" t="s">
        <v>149</v>
      </c>
      <c r="BR836" t="s">
        <v>135</v>
      </c>
      <c r="BS836">
        <v>3</v>
      </c>
      <c r="BX836" t="s">
        <v>136</v>
      </c>
      <c r="BZ836" t="s">
        <v>137</v>
      </c>
    </row>
    <row r="837" spans="1:78" hidden="1" x14ac:dyDescent="0.2">
      <c r="A837" t="s">
        <v>119</v>
      </c>
      <c r="B837" t="s">
        <v>120</v>
      </c>
      <c r="C837" t="s">
        <v>2067</v>
      </c>
      <c r="D837">
        <v>16</v>
      </c>
      <c r="E837" t="s">
        <v>139</v>
      </c>
      <c r="F837" t="s">
        <v>140</v>
      </c>
      <c r="G837" t="s">
        <v>124</v>
      </c>
      <c r="H837" t="s">
        <v>125</v>
      </c>
      <c r="I837">
        <v>13</v>
      </c>
      <c r="J837" t="s">
        <v>161</v>
      </c>
      <c r="K837" t="s">
        <v>125</v>
      </c>
      <c r="L837" t="s">
        <v>2068</v>
      </c>
      <c r="T837" t="s">
        <v>142</v>
      </c>
      <c r="W837" t="s">
        <v>135</v>
      </c>
      <c r="AC837" t="s">
        <v>143</v>
      </c>
      <c r="AE837" t="s">
        <v>144</v>
      </c>
      <c r="AG837">
        <v>15</v>
      </c>
      <c r="AH837" t="s">
        <v>145</v>
      </c>
      <c r="AI837" t="s">
        <v>146</v>
      </c>
      <c r="AJ837" t="s">
        <v>131</v>
      </c>
      <c r="AK837" t="s">
        <v>125</v>
      </c>
      <c r="AL837">
        <v>16</v>
      </c>
      <c r="AM837" t="s">
        <v>147</v>
      </c>
      <c r="AN837" t="s">
        <v>125</v>
      </c>
      <c r="AO837" t="s">
        <v>2069</v>
      </c>
      <c r="BP837" t="s">
        <v>149</v>
      </c>
      <c r="BR837" t="s">
        <v>135</v>
      </c>
      <c r="BS837">
        <v>3</v>
      </c>
      <c r="BX837" t="s">
        <v>136</v>
      </c>
      <c r="BZ837" t="s">
        <v>137</v>
      </c>
    </row>
    <row r="838" spans="1:78" x14ac:dyDescent="0.2">
      <c r="A838" t="s">
        <v>119</v>
      </c>
      <c r="B838" t="s">
        <v>120</v>
      </c>
      <c r="C838" t="s">
        <v>2070</v>
      </c>
      <c r="D838">
        <v>1</v>
      </c>
      <c r="E838" t="s">
        <v>472</v>
      </c>
      <c r="F838" t="s">
        <v>202</v>
      </c>
      <c r="G838" t="s">
        <v>124</v>
      </c>
      <c r="H838" t="s">
        <v>125</v>
      </c>
      <c r="I838">
        <v>0</v>
      </c>
      <c r="J838" t="s">
        <v>126</v>
      </c>
      <c r="K838" t="s">
        <v>125</v>
      </c>
      <c r="L838" t="s">
        <v>2071</v>
      </c>
      <c r="U838" t="s">
        <v>209</v>
      </c>
      <c r="W838" t="s">
        <v>135</v>
      </c>
      <c r="X838">
        <v>2</v>
      </c>
      <c r="AC838" t="s">
        <v>136</v>
      </c>
      <c r="AE838" t="s">
        <v>137</v>
      </c>
    </row>
    <row r="839" spans="1:78" x14ac:dyDescent="0.2">
      <c r="A839" t="s">
        <v>119</v>
      </c>
      <c r="B839" t="s">
        <v>120</v>
      </c>
      <c r="C839" t="s">
        <v>2072</v>
      </c>
      <c r="D839">
        <v>5</v>
      </c>
      <c r="E839" t="s">
        <v>1825</v>
      </c>
      <c r="F839" t="s">
        <v>198</v>
      </c>
      <c r="G839" t="s">
        <v>124</v>
      </c>
      <c r="H839" t="s">
        <v>125</v>
      </c>
      <c r="I839">
        <v>1</v>
      </c>
      <c r="J839" t="s">
        <v>1249</v>
      </c>
      <c r="K839" t="s">
        <v>125</v>
      </c>
      <c r="L839" t="s">
        <v>2073</v>
      </c>
      <c r="U839" t="s">
        <v>149</v>
      </c>
      <c r="W839" t="s">
        <v>135</v>
      </c>
      <c r="X839">
        <v>2</v>
      </c>
      <c r="AC839" t="s">
        <v>136</v>
      </c>
      <c r="AE839" t="s">
        <v>137</v>
      </c>
    </row>
    <row r="840" spans="1:78" x14ac:dyDescent="0.2">
      <c r="A840" t="s">
        <v>119</v>
      </c>
      <c r="B840" t="s">
        <v>120</v>
      </c>
      <c r="C840" t="s">
        <v>2074</v>
      </c>
      <c r="D840">
        <v>7</v>
      </c>
      <c r="E840" t="s">
        <v>2062</v>
      </c>
      <c r="F840" t="s">
        <v>449</v>
      </c>
      <c r="G840" t="s">
        <v>124</v>
      </c>
      <c r="H840" t="s">
        <v>125</v>
      </c>
      <c r="I840">
        <v>4</v>
      </c>
      <c r="J840" t="s">
        <v>161</v>
      </c>
      <c r="K840" t="s">
        <v>125</v>
      </c>
      <c r="L840" t="s">
        <v>2075</v>
      </c>
      <c r="U840" t="s">
        <v>149</v>
      </c>
      <c r="W840" t="s">
        <v>135</v>
      </c>
      <c r="X840">
        <v>3</v>
      </c>
      <c r="AC840" t="s">
        <v>136</v>
      </c>
      <c r="AE840" t="s">
        <v>137</v>
      </c>
    </row>
    <row r="841" spans="1:78" x14ac:dyDescent="0.2">
      <c r="A841" t="s">
        <v>119</v>
      </c>
      <c r="B841" t="s">
        <v>120</v>
      </c>
      <c r="C841" t="s">
        <v>2076</v>
      </c>
      <c r="D841">
        <v>3</v>
      </c>
      <c r="E841" t="s">
        <v>1309</v>
      </c>
      <c r="F841" t="s">
        <v>728</v>
      </c>
      <c r="G841" t="s">
        <v>124</v>
      </c>
      <c r="H841" t="s">
        <v>125</v>
      </c>
      <c r="I841">
        <v>0</v>
      </c>
      <c r="J841" t="s">
        <v>126</v>
      </c>
      <c r="K841" t="s">
        <v>125</v>
      </c>
      <c r="L841" t="s">
        <v>2077</v>
      </c>
      <c r="U841" t="s">
        <v>149</v>
      </c>
      <c r="W841" t="s">
        <v>135</v>
      </c>
      <c r="X841">
        <v>1</v>
      </c>
      <c r="AC841" t="s">
        <v>136</v>
      </c>
      <c r="AE841" t="s">
        <v>137</v>
      </c>
      <c r="AG841">
        <v>2</v>
      </c>
      <c r="AH841" t="s">
        <v>204</v>
      </c>
      <c r="AI841" t="s">
        <v>205</v>
      </c>
      <c r="AJ841" t="s">
        <v>131</v>
      </c>
      <c r="AK841" t="s">
        <v>125</v>
      </c>
      <c r="AL841">
        <v>3</v>
      </c>
      <c r="AM841" t="s">
        <v>132</v>
      </c>
      <c r="AN841" t="s">
        <v>125</v>
      </c>
      <c r="AO841" t="s">
        <v>2078</v>
      </c>
      <c r="BP841" t="s">
        <v>149</v>
      </c>
      <c r="BR841" t="s">
        <v>135</v>
      </c>
      <c r="BS841">
        <v>1</v>
      </c>
      <c r="BX841" t="s">
        <v>136</v>
      </c>
      <c r="BZ841" t="s">
        <v>137</v>
      </c>
    </row>
    <row r="842" spans="1:78" x14ac:dyDescent="0.2">
      <c r="A842" t="s">
        <v>119</v>
      </c>
      <c r="B842" t="s">
        <v>120</v>
      </c>
      <c r="C842" t="s">
        <v>2076</v>
      </c>
      <c r="D842">
        <v>11</v>
      </c>
      <c r="E842" t="s">
        <v>1825</v>
      </c>
      <c r="F842" t="s">
        <v>198</v>
      </c>
      <c r="G842" t="s">
        <v>124</v>
      </c>
      <c r="H842" t="s">
        <v>125</v>
      </c>
      <c r="I842">
        <v>3</v>
      </c>
      <c r="J842" t="s">
        <v>161</v>
      </c>
      <c r="K842" t="s">
        <v>125</v>
      </c>
      <c r="L842" t="s">
        <v>2079</v>
      </c>
      <c r="U842" t="s">
        <v>149</v>
      </c>
      <c r="W842" t="s">
        <v>135</v>
      </c>
      <c r="X842">
        <v>2</v>
      </c>
      <c r="AC842" t="s">
        <v>136</v>
      </c>
      <c r="AE842" t="s">
        <v>137</v>
      </c>
    </row>
    <row r="843" spans="1:78" x14ac:dyDescent="0.2">
      <c r="A843" t="s">
        <v>119</v>
      </c>
      <c r="B843" t="s">
        <v>120</v>
      </c>
      <c r="C843" t="s">
        <v>2076</v>
      </c>
      <c r="D843">
        <v>14</v>
      </c>
      <c r="E843" t="s">
        <v>145</v>
      </c>
      <c r="F843" t="s">
        <v>146</v>
      </c>
      <c r="G843" t="s">
        <v>124</v>
      </c>
      <c r="H843" t="s">
        <v>125</v>
      </c>
      <c r="I843">
        <v>11</v>
      </c>
      <c r="J843" t="s">
        <v>264</v>
      </c>
      <c r="K843" t="s">
        <v>125</v>
      </c>
      <c r="L843" t="s">
        <v>2080</v>
      </c>
      <c r="U843" t="s">
        <v>149</v>
      </c>
      <c r="W843" t="s">
        <v>135</v>
      </c>
      <c r="X843">
        <v>3</v>
      </c>
      <c r="AC843" t="s">
        <v>136</v>
      </c>
      <c r="AE843" t="s">
        <v>137</v>
      </c>
    </row>
    <row r="844" spans="1:78" hidden="1" x14ac:dyDescent="0.2">
      <c r="A844" t="s">
        <v>119</v>
      </c>
      <c r="B844" t="s">
        <v>120</v>
      </c>
      <c r="C844" t="s">
        <v>2076</v>
      </c>
      <c r="D844">
        <v>18</v>
      </c>
      <c r="E844" t="s">
        <v>2081</v>
      </c>
      <c r="F844" t="s">
        <v>2082</v>
      </c>
      <c r="G844" t="s">
        <v>124</v>
      </c>
      <c r="H844" t="s">
        <v>125</v>
      </c>
      <c r="I844">
        <v>14</v>
      </c>
      <c r="J844" t="s">
        <v>264</v>
      </c>
      <c r="K844" t="s">
        <v>125</v>
      </c>
      <c r="L844" t="s">
        <v>2083</v>
      </c>
      <c r="AG844">
        <v>16</v>
      </c>
      <c r="AH844" t="s">
        <v>1446</v>
      </c>
      <c r="AI844" t="s">
        <v>146</v>
      </c>
      <c r="AJ844" t="s">
        <v>131</v>
      </c>
      <c r="AK844" t="s">
        <v>125</v>
      </c>
      <c r="AL844">
        <v>18</v>
      </c>
      <c r="AM844" t="s">
        <v>338</v>
      </c>
      <c r="AN844" t="s">
        <v>125</v>
      </c>
      <c r="AO844" t="s">
        <v>2084</v>
      </c>
      <c r="BP844" t="s">
        <v>149</v>
      </c>
      <c r="BR844" t="s">
        <v>155</v>
      </c>
      <c r="BS844">
        <v>1</v>
      </c>
      <c r="BX844" t="s">
        <v>136</v>
      </c>
      <c r="BZ844" t="s">
        <v>137</v>
      </c>
    </row>
    <row r="845" spans="1:78" x14ac:dyDescent="0.2">
      <c r="A845" t="s">
        <v>119</v>
      </c>
      <c r="B845" t="s">
        <v>120</v>
      </c>
      <c r="C845" t="s">
        <v>2085</v>
      </c>
      <c r="D845">
        <v>2</v>
      </c>
      <c r="E845" t="s">
        <v>145</v>
      </c>
      <c r="F845" t="s">
        <v>146</v>
      </c>
      <c r="G845" t="s">
        <v>124</v>
      </c>
      <c r="H845" t="s">
        <v>125</v>
      </c>
      <c r="I845">
        <v>0</v>
      </c>
      <c r="J845" t="s">
        <v>126</v>
      </c>
      <c r="K845" t="s">
        <v>125</v>
      </c>
      <c r="L845" t="s">
        <v>2086</v>
      </c>
      <c r="U845" t="s">
        <v>149</v>
      </c>
      <c r="W845" t="s">
        <v>135</v>
      </c>
      <c r="X845">
        <v>3</v>
      </c>
      <c r="AC845" t="s">
        <v>136</v>
      </c>
      <c r="AE845" t="s">
        <v>137</v>
      </c>
    </row>
    <row r="846" spans="1:78" x14ac:dyDescent="0.2">
      <c r="A846" t="s">
        <v>119</v>
      </c>
      <c r="B846" t="s">
        <v>120</v>
      </c>
      <c r="C846" t="s">
        <v>2087</v>
      </c>
      <c r="D846">
        <v>3</v>
      </c>
      <c r="E846" t="s">
        <v>197</v>
      </c>
      <c r="F846" t="s">
        <v>146</v>
      </c>
      <c r="G846" t="s">
        <v>124</v>
      </c>
      <c r="H846" t="s">
        <v>125</v>
      </c>
      <c r="I846">
        <v>0</v>
      </c>
      <c r="J846" t="s">
        <v>126</v>
      </c>
      <c r="K846" t="s">
        <v>125</v>
      </c>
      <c r="L846" t="s">
        <v>2088</v>
      </c>
      <c r="U846" t="s">
        <v>149</v>
      </c>
      <c r="W846" t="s">
        <v>135</v>
      </c>
      <c r="X846">
        <v>1</v>
      </c>
      <c r="AC846" t="s">
        <v>136</v>
      </c>
      <c r="AE846" t="s">
        <v>137</v>
      </c>
    </row>
    <row r="847" spans="1:78" hidden="1" x14ac:dyDescent="0.2">
      <c r="A847" t="s">
        <v>119</v>
      </c>
      <c r="B847" t="s">
        <v>120</v>
      </c>
      <c r="C847" t="s">
        <v>2087</v>
      </c>
      <c r="D847">
        <v>7</v>
      </c>
      <c r="E847" t="s">
        <v>2089</v>
      </c>
      <c r="F847" t="s">
        <v>2090</v>
      </c>
      <c r="G847" t="s">
        <v>124</v>
      </c>
      <c r="H847" t="s">
        <v>125</v>
      </c>
      <c r="I847">
        <v>3</v>
      </c>
      <c r="J847" t="s">
        <v>161</v>
      </c>
      <c r="K847" t="s">
        <v>125</v>
      </c>
      <c r="L847" t="s">
        <v>2091</v>
      </c>
      <c r="T847" t="s">
        <v>154</v>
      </c>
      <c r="W847" t="s">
        <v>135</v>
      </c>
      <c r="AC847" t="s">
        <v>143</v>
      </c>
      <c r="AE847" t="s">
        <v>144</v>
      </c>
      <c r="AG847">
        <v>6</v>
      </c>
      <c r="AH847" t="s">
        <v>614</v>
      </c>
      <c r="AI847" t="s">
        <v>205</v>
      </c>
      <c r="AJ847" t="s">
        <v>131</v>
      </c>
      <c r="AK847" t="s">
        <v>125</v>
      </c>
      <c r="AL847">
        <v>7</v>
      </c>
      <c r="AM847" t="s">
        <v>132</v>
      </c>
      <c r="AN847" t="s">
        <v>125</v>
      </c>
      <c r="AO847" t="s">
        <v>2092</v>
      </c>
      <c r="BP847" t="s">
        <v>149</v>
      </c>
      <c r="BR847" t="s">
        <v>135</v>
      </c>
      <c r="BS847">
        <v>3</v>
      </c>
      <c r="BX847" t="s">
        <v>136</v>
      </c>
      <c r="BZ847" t="s">
        <v>137</v>
      </c>
    </row>
    <row r="848" spans="1:78" hidden="1" x14ac:dyDescent="0.2">
      <c r="A848" t="s">
        <v>119</v>
      </c>
      <c r="B848" t="s">
        <v>120</v>
      </c>
      <c r="C848" t="s">
        <v>2087</v>
      </c>
      <c r="D848">
        <v>9</v>
      </c>
      <c r="E848" t="s">
        <v>2093</v>
      </c>
      <c r="F848" t="s">
        <v>198</v>
      </c>
      <c r="G848" t="s">
        <v>124</v>
      </c>
      <c r="H848" t="s">
        <v>125</v>
      </c>
      <c r="I848">
        <v>3</v>
      </c>
      <c r="J848" t="s">
        <v>161</v>
      </c>
      <c r="K848" t="s">
        <v>125</v>
      </c>
      <c r="L848" t="s">
        <v>2094</v>
      </c>
      <c r="U848" t="s">
        <v>149</v>
      </c>
      <c r="W848" t="s">
        <v>135</v>
      </c>
      <c r="X848">
        <v>1</v>
      </c>
      <c r="AC848" t="s">
        <v>209</v>
      </c>
      <c r="AE848" t="s">
        <v>137</v>
      </c>
    </row>
    <row r="849" spans="1:78" x14ac:dyDescent="0.2">
      <c r="A849" t="s">
        <v>119</v>
      </c>
      <c r="B849" t="s">
        <v>120</v>
      </c>
      <c r="C849" t="s">
        <v>2095</v>
      </c>
      <c r="D849">
        <v>4</v>
      </c>
      <c r="E849" t="s">
        <v>1764</v>
      </c>
      <c r="F849" t="s">
        <v>261</v>
      </c>
      <c r="G849" t="s">
        <v>124</v>
      </c>
      <c r="H849" t="s">
        <v>125</v>
      </c>
      <c r="I849">
        <v>0</v>
      </c>
      <c r="J849" t="s">
        <v>126</v>
      </c>
      <c r="K849" t="s">
        <v>125</v>
      </c>
      <c r="L849" t="s">
        <v>2096</v>
      </c>
      <c r="U849" t="s">
        <v>149</v>
      </c>
      <c r="W849" t="s">
        <v>135</v>
      </c>
      <c r="X849">
        <v>3</v>
      </c>
      <c r="AC849" t="s">
        <v>136</v>
      </c>
      <c r="AE849" t="s">
        <v>137</v>
      </c>
    </row>
    <row r="850" spans="1:78" x14ac:dyDescent="0.2">
      <c r="A850" t="s">
        <v>119</v>
      </c>
      <c r="B850" t="s">
        <v>120</v>
      </c>
      <c r="C850" t="s">
        <v>2097</v>
      </c>
      <c r="D850">
        <v>4</v>
      </c>
      <c r="E850" t="s">
        <v>1764</v>
      </c>
      <c r="F850" t="s">
        <v>261</v>
      </c>
      <c r="G850" t="s">
        <v>124</v>
      </c>
      <c r="H850" t="s">
        <v>125</v>
      </c>
      <c r="I850">
        <v>0</v>
      </c>
      <c r="J850" t="s">
        <v>126</v>
      </c>
      <c r="K850" t="s">
        <v>125</v>
      </c>
      <c r="L850" t="s">
        <v>2098</v>
      </c>
      <c r="U850" t="s">
        <v>149</v>
      </c>
      <c r="W850" t="s">
        <v>135</v>
      </c>
      <c r="X850">
        <v>3</v>
      </c>
      <c r="AC850" t="s">
        <v>136</v>
      </c>
      <c r="AE850" t="s">
        <v>137</v>
      </c>
    </row>
    <row r="851" spans="1:78" hidden="1" x14ac:dyDescent="0.2">
      <c r="A851" t="s">
        <v>119</v>
      </c>
      <c r="B851" t="s">
        <v>120</v>
      </c>
      <c r="C851" t="s">
        <v>2097</v>
      </c>
      <c r="D851">
        <v>7</v>
      </c>
      <c r="E851" t="s">
        <v>350</v>
      </c>
      <c r="F851" t="s">
        <v>350</v>
      </c>
      <c r="G851" t="s">
        <v>124</v>
      </c>
      <c r="H851" t="s">
        <v>125</v>
      </c>
      <c r="I851">
        <v>4</v>
      </c>
      <c r="J851" t="s">
        <v>264</v>
      </c>
      <c r="K851" t="s">
        <v>125</v>
      </c>
      <c r="L851" t="s">
        <v>2099</v>
      </c>
      <c r="AE851" t="s">
        <v>128</v>
      </c>
    </row>
    <row r="852" spans="1:78" hidden="1" x14ac:dyDescent="0.2">
      <c r="A852" t="s">
        <v>119</v>
      </c>
      <c r="B852" t="s">
        <v>120</v>
      </c>
      <c r="C852" t="s">
        <v>2100</v>
      </c>
      <c r="D852">
        <v>9</v>
      </c>
      <c r="E852" t="s">
        <v>2101</v>
      </c>
      <c r="F852" t="s">
        <v>257</v>
      </c>
      <c r="G852" t="s">
        <v>124</v>
      </c>
      <c r="H852" t="s">
        <v>125</v>
      </c>
      <c r="I852">
        <v>12</v>
      </c>
      <c r="J852" t="s">
        <v>210</v>
      </c>
      <c r="K852" t="s">
        <v>125</v>
      </c>
      <c r="L852" t="s">
        <v>2102</v>
      </c>
      <c r="T852" t="s">
        <v>154</v>
      </c>
      <c r="W852" t="s">
        <v>135</v>
      </c>
      <c r="AC852" t="s">
        <v>143</v>
      </c>
      <c r="AE852" t="s">
        <v>144</v>
      </c>
      <c r="AG852">
        <v>8</v>
      </c>
      <c r="AH852" t="s">
        <v>232</v>
      </c>
      <c r="AI852" t="s">
        <v>205</v>
      </c>
      <c r="AJ852" t="s">
        <v>131</v>
      </c>
      <c r="AK852" t="s">
        <v>125</v>
      </c>
      <c r="AL852">
        <v>9</v>
      </c>
      <c r="AM852" t="s">
        <v>132</v>
      </c>
      <c r="AN852" t="s">
        <v>125</v>
      </c>
      <c r="AO852" t="s">
        <v>2103</v>
      </c>
      <c r="BP852" t="s">
        <v>209</v>
      </c>
      <c r="BR852" t="s">
        <v>155</v>
      </c>
      <c r="BS852">
        <v>1</v>
      </c>
      <c r="BX852" t="s">
        <v>136</v>
      </c>
      <c r="BZ852" t="s">
        <v>137</v>
      </c>
    </row>
    <row r="853" spans="1:78" hidden="1" x14ac:dyDescent="0.2">
      <c r="A853" t="s">
        <v>119</v>
      </c>
      <c r="B853" t="s">
        <v>120</v>
      </c>
      <c r="C853" t="s">
        <v>2100</v>
      </c>
      <c r="D853">
        <v>12</v>
      </c>
      <c r="E853" t="s">
        <v>2101</v>
      </c>
      <c r="F853" t="s">
        <v>257</v>
      </c>
      <c r="G853" t="s">
        <v>124</v>
      </c>
      <c r="H853" t="s">
        <v>125</v>
      </c>
      <c r="I853">
        <v>4</v>
      </c>
      <c r="J853" t="s">
        <v>170</v>
      </c>
      <c r="K853" t="s">
        <v>125</v>
      </c>
      <c r="L853" t="s">
        <v>2104</v>
      </c>
      <c r="T853" t="s">
        <v>154</v>
      </c>
      <c r="W853" t="s">
        <v>135</v>
      </c>
      <c r="AC853" t="s">
        <v>143</v>
      </c>
      <c r="AE853" t="s">
        <v>144</v>
      </c>
      <c r="AG853">
        <v>11</v>
      </c>
      <c r="AH853" t="s">
        <v>232</v>
      </c>
      <c r="AI853" t="s">
        <v>205</v>
      </c>
      <c r="AJ853" t="s">
        <v>131</v>
      </c>
      <c r="AK853" t="s">
        <v>125</v>
      </c>
      <c r="AL853">
        <v>12</v>
      </c>
      <c r="AM853" t="s">
        <v>132</v>
      </c>
      <c r="AN853" t="s">
        <v>125</v>
      </c>
      <c r="AO853" t="s">
        <v>2105</v>
      </c>
      <c r="BP853" t="s">
        <v>209</v>
      </c>
      <c r="BR853" t="s">
        <v>155</v>
      </c>
      <c r="BS853">
        <v>1</v>
      </c>
      <c r="BX853" t="s">
        <v>136</v>
      </c>
      <c r="BZ853" t="s">
        <v>137</v>
      </c>
    </row>
    <row r="854" spans="1:78" hidden="1" x14ac:dyDescent="0.2">
      <c r="A854" t="s">
        <v>119</v>
      </c>
      <c r="B854" t="s">
        <v>120</v>
      </c>
      <c r="C854" t="s">
        <v>2106</v>
      </c>
      <c r="D854">
        <v>1</v>
      </c>
      <c r="E854" t="s">
        <v>888</v>
      </c>
      <c r="F854" t="s">
        <v>140</v>
      </c>
      <c r="G854" t="s">
        <v>124</v>
      </c>
      <c r="H854" t="s">
        <v>125</v>
      </c>
      <c r="I854">
        <v>0</v>
      </c>
      <c r="J854" t="s">
        <v>126</v>
      </c>
      <c r="K854" t="s">
        <v>125</v>
      </c>
      <c r="L854" t="s">
        <v>2107</v>
      </c>
    </row>
    <row r="855" spans="1:78" hidden="1" x14ac:dyDescent="0.2">
      <c r="A855" t="s">
        <v>119</v>
      </c>
      <c r="B855" t="s">
        <v>120</v>
      </c>
      <c r="C855" t="s">
        <v>2106</v>
      </c>
      <c r="D855">
        <v>2</v>
      </c>
      <c r="E855" t="s">
        <v>202</v>
      </c>
      <c r="F855" t="s">
        <v>202</v>
      </c>
      <c r="G855" t="s">
        <v>124</v>
      </c>
      <c r="H855" t="s">
        <v>125</v>
      </c>
      <c r="I855">
        <v>1</v>
      </c>
      <c r="J855" t="s">
        <v>294</v>
      </c>
      <c r="K855" t="s">
        <v>125</v>
      </c>
      <c r="L855" t="s">
        <v>2108</v>
      </c>
      <c r="AE855" t="s">
        <v>128</v>
      </c>
    </row>
    <row r="856" spans="1:78" x14ac:dyDescent="0.2">
      <c r="A856" t="s">
        <v>119</v>
      </c>
      <c r="B856" t="s">
        <v>120</v>
      </c>
      <c r="C856" t="s">
        <v>2109</v>
      </c>
      <c r="D856">
        <v>4</v>
      </c>
      <c r="E856" t="s">
        <v>1708</v>
      </c>
      <c r="F856" t="s">
        <v>773</v>
      </c>
      <c r="G856" t="s">
        <v>124</v>
      </c>
      <c r="H856" t="s">
        <v>125</v>
      </c>
      <c r="I856">
        <v>0</v>
      </c>
      <c r="J856" t="s">
        <v>126</v>
      </c>
      <c r="K856" t="s">
        <v>125</v>
      </c>
      <c r="L856" t="s">
        <v>2110</v>
      </c>
      <c r="U856" t="s">
        <v>149</v>
      </c>
      <c r="W856" t="s">
        <v>135</v>
      </c>
      <c r="X856">
        <v>3</v>
      </c>
      <c r="AC856" t="s">
        <v>136</v>
      </c>
      <c r="AE856" t="s">
        <v>137</v>
      </c>
    </row>
    <row r="857" spans="1:78" x14ac:dyDescent="0.2">
      <c r="A857" t="s">
        <v>119</v>
      </c>
      <c r="B857" t="s">
        <v>120</v>
      </c>
      <c r="C857" t="s">
        <v>2111</v>
      </c>
      <c r="D857">
        <v>11</v>
      </c>
      <c r="E857" t="s">
        <v>1148</v>
      </c>
      <c r="F857" t="s">
        <v>1149</v>
      </c>
      <c r="G857" t="s">
        <v>124</v>
      </c>
      <c r="H857" t="s">
        <v>125</v>
      </c>
      <c r="I857">
        <v>5</v>
      </c>
      <c r="J857" t="s">
        <v>161</v>
      </c>
      <c r="K857" t="s">
        <v>125</v>
      </c>
      <c r="L857" t="s">
        <v>2112</v>
      </c>
      <c r="U857" t="s">
        <v>149</v>
      </c>
      <c r="W857" t="s">
        <v>135</v>
      </c>
      <c r="X857">
        <v>3</v>
      </c>
      <c r="AC857" t="s">
        <v>136</v>
      </c>
      <c r="AE857" t="s">
        <v>137</v>
      </c>
    </row>
    <row r="858" spans="1:78" x14ac:dyDescent="0.2">
      <c r="A858" t="s">
        <v>119</v>
      </c>
      <c r="B858" t="s">
        <v>120</v>
      </c>
      <c r="C858" t="s">
        <v>2113</v>
      </c>
      <c r="D858">
        <v>2</v>
      </c>
      <c r="E858" t="s">
        <v>145</v>
      </c>
      <c r="F858" t="s">
        <v>146</v>
      </c>
      <c r="G858" t="s">
        <v>124</v>
      </c>
      <c r="H858" t="s">
        <v>125</v>
      </c>
      <c r="I858">
        <v>0</v>
      </c>
      <c r="J858" t="s">
        <v>126</v>
      </c>
      <c r="K858" t="s">
        <v>125</v>
      </c>
      <c r="L858" t="s">
        <v>2114</v>
      </c>
      <c r="U858" t="s">
        <v>149</v>
      </c>
      <c r="W858" t="s">
        <v>135</v>
      </c>
      <c r="X858">
        <v>3</v>
      </c>
      <c r="AC858" t="s">
        <v>136</v>
      </c>
      <c r="AE858" t="s">
        <v>137</v>
      </c>
    </row>
    <row r="859" spans="1:78" x14ac:dyDescent="0.2">
      <c r="A859" t="s">
        <v>119</v>
      </c>
      <c r="B859" t="s">
        <v>120</v>
      </c>
      <c r="C859" t="s">
        <v>2113</v>
      </c>
      <c r="D859">
        <v>11</v>
      </c>
      <c r="E859" t="s">
        <v>1708</v>
      </c>
      <c r="F859" t="s">
        <v>773</v>
      </c>
      <c r="G859" t="s">
        <v>124</v>
      </c>
      <c r="H859" t="s">
        <v>125</v>
      </c>
      <c r="I859">
        <v>5</v>
      </c>
      <c r="J859" t="s">
        <v>170</v>
      </c>
      <c r="K859" t="s">
        <v>125</v>
      </c>
      <c r="L859" t="s">
        <v>2115</v>
      </c>
      <c r="U859" t="s">
        <v>149</v>
      </c>
      <c r="W859" t="s">
        <v>135</v>
      </c>
      <c r="X859">
        <v>3</v>
      </c>
      <c r="AC859" t="s">
        <v>136</v>
      </c>
      <c r="AE859" t="s">
        <v>137</v>
      </c>
    </row>
    <row r="860" spans="1:78" x14ac:dyDescent="0.2">
      <c r="A860" t="s">
        <v>119</v>
      </c>
      <c r="B860" t="s">
        <v>120</v>
      </c>
      <c r="C860" t="s">
        <v>2116</v>
      </c>
      <c r="D860">
        <v>7</v>
      </c>
      <c r="E860" t="s">
        <v>414</v>
      </c>
      <c r="F860" t="s">
        <v>415</v>
      </c>
      <c r="G860" t="s">
        <v>124</v>
      </c>
      <c r="H860" t="s">
        <v>125</v>
      </c>
      <c r="I860">
        <v>3</v>
      </c>
      <c r="J860" t="s">
        <v>170</v>
      </c>
      <c r="K860" t="s">
        <v>125</v>
      </c>
      <c r="L860" t="s">
        <v>2117</v>
      </c>
      <c r="U860" t="s">
        <v>149</v>
      </c>
      <c r="W860" t="s">
        <v>135</v>
      </c>
      <c r="X860">
        <v>1</v>
      </c>
      <c r="AC860" t="s">
        <v>136</v>
      </c>
      <c r="AE860" t="s">
        <v>137</v>
      </c>
    </row>
    <row r="861" spans="1:78" x14ac:dyDescent="0.2">
      <c r="A861" t="s">
        <v>119</v>
      </c>
      <c r="B861" t="s">
        <v>120</v>
      </c>
      <c r="C861" t="s">
        <v>2118</v>
      </c>
      <c r="D861">
        <v>3</v>
      </c>
      <c r="E861" t="s">
        <v>2119</v>
      </c>
      <c r="F861" t="s">
        <v>2120</v>
      </c>
      <c r="G861" t="s">
        <v>124</v>
      </c>
      <c r="H861" t="s">
        <v>125</v>
      </c>
      <c r="I861">
        <v>0</v>
      </c>
      <c r="J861" t="s">
        <v>126</v>
      </c>
      <c r="K861" t="s">
        <v>125</v>
      </c>
      <c r="L861" t="s">
        <v>2121</v>
      </c>
      <c r="U861" t="s">
        <v>209</v>
      </c>
      <c r="W861" t="s">
        <v>135</v>
      </c>
      <c r="X861">
        <v>2</v>
      </c>
      <c r="AC861" t="s">
        <v>136</v>
      </c>
      <c r="AE861" t="s">
        <v>137</v>
      </c>
    </row>
    <row r="862" spans="1:78" hidden="1" x14ac:dyDescent="0.2">
      <c r="A862" t="s">
        <v>119</v>
      </c>
      <c r="B862" t="s">
        <v>120</v>
      </c>
      <c r="C862" t="s">
        <v>2122</v>
      </c>
      <c r="D862">
        <v>2</v>
      </c>
      <c r="E862" t="s">
        <v>310</v>
      </c>
      <c r="F862" t="s">
        <v>311</v>
      </c>
      <c r="G862" t="s">
        <v>124</v>
      </c>
      <c r="H862" t="s">
        <v>125</v>
      </c>
      <c r="I862">
        <v>0</v>
      </c>
      <c r="J862" t="s">
        <v>126</v>
      </c>
      <c r="K862" t="s">
        <v>125</v>
      </c>
      <c r="L862" t="s">
        <v>2123</v>
      </c>
      <c r="T862" t="s">
        <v>154</v>
      </c>
      <c r="W862" t="s">
        <v>135</v>
      </c>
      <c r="AC862" t="s">
        <v>143</v>
      </c>
      <c r="AE862" t="s">
        <v>144</v>
      </c>
    </row>
    <row r="863" spans="1:78" x14ac:dyDescent="0.2">
      <c r="A863" t="s">
        <v>119</v>
      </c>
      <c r="B863" t="s">
        <v>120</v>
      </c>
      <c r="C863" t="s">
        <v>2124</v>
      </c>
      <c r="D863">
        <v>4</v>
      </c>
      <c r="E863" t="s">
        <v>145</v>
      </c>
      <c r="F863" t="s">
        <v>146</v>
      </c>
      <c r="G863" t="s">
        <v>124</v>
      </c>
      <c r="H863" t="s">
        <v>125</v>
      </c>
      <c r="I863">
        <v>0</v>
      </c>
      <c r="J863" t="s">
        <v>126</v>
      </c>
      <c r="K863" t="s">
        <v>125</v>
      </c>
      <c r="L863" t="s">
        <v>2125</v>
      </c>
      <c r="U863" t="s">
        <v>149</v>
      </c>
      <c r="W863" t="s">
        <v>135</v>
      </c>
      <c r="X863">
        <v>3</v>
      </c>
      <c r="AC863" t="s">
        <v>136</v>
      </c>
      <c r="AE863" t="s">
        <v>137</v>
      </c>
    </row>
    <row r="864" spans="1:78" hidden="1" x14ac:dyDescent="0.2">
      <c r="A864" t="s">
        <v>119</v>
      </c>
      <c r="B864" t="s">
        <v>120</v>
      </c>
      <c r="C864" t="s">
        <v>2124</v>
      </c>
      <c r="D864">
        <v>10</v>
      </c>
      <c r="E864" t="s">
        <v>2126</v>
      </c>
      <c r="F864" t="s">
        <v>331</v>
      </c>
      <c r="G864" t="s">
        <v>124</v>
      </c>
      <c r="H864" t="s">
        <v>125</v>
      </c>
      <c r="I864">
        <v>4</v>
      </c>
      <c r="J864" t="s">
        <v>264</v>
      </c>
      <c r="K864" t="s">
        <v>125</v>
      </c>
      <c r="L864" t="s">
        <v>2127</v>
      </c>
      <c r="U864" t="s">
        <v>149</v>
      </c>
      <c r="W864" t="s">
        <v>135</v>
      </c>
      <c r="X864">
        <v>3</v>
      </c>
      <c r="AC864" t="s">
        <v>903</v>
      </c>
      <c r="AE864" t="s">
        <v>137</v>
      </c>
    </row>
    <row r="865" spans="1:78" x14ac:dyDescent="0.2">
      <c r="A865" t="s">
        <v>119</v>
      </c>
      <c r="B865" t="s">
        <v>120</v>
      </c>
      <c r="C865" t="s">
        <v>2124</v>
      </c>
      <c r="D865">
        <v>14</v>
      </c>
      <c r="E865" t="s">
        <v>343</v>
      </c>
      <c r="F865" t="s">
        <v>311</v>
      </c>
      <c r="G865" t="s">
        <v>124</v>
      </c>
      <c r="H865" t="s">
        <v>125</v>
      </c>
      <c r="I865">
        <v>10</v>
      </c>
      <c r="J865" t="s">
        <v>199</v>
      </c>
      <c r="K865" t="s">
        <v>125</v>
      </c>
      <c r="L865" t="s">
        <v>2128</v>
      </c>
      <c r="U865" t="s">
        <v>149</v>
      </c>
      <c r="W865" t="s">
        <v>135</v>
      </c>
      <c r="X865">
        <v>1</v>
      </c>
      <c r="AC865" t="s">
        <v>136</v>
      </c>
      <c r="AE865" t="s">
        <v>137</v>
      </c>
    </row>
    <row r="866" spans="1:78" x14ac:dyDescent="0.2">
      <c r="A866" t="s">
        <v>119</v>
      </c>
      <c r="B866" t="s">
        <v>120</v>
      </c>
      <c r="C866" t="s">
        <v>2129</v>
      </c>
      <c r="D866">
        <v>6</v>
      </c>
      <c r="E866" t="s">
        <v>2130</v>
      </c>
      <c r="F866" t="s">
        <v>2131</v>
      </c>
      <c r="G866" t="s">
        <v>124</v>
      </c>
      <c r="H866" t="s">
        <v>125</v>
      </c>
      <c r="I866">
        <v>0</v>
      </c>
      <c r="J866" t="s">
        <v>126</v>
      </c>
      <c r="K866" t="s">
        <v>125</v>
      </c>
      <c r="L866" t="s">
        <v>2132</v>
      </c>
      <c r="U866" t="s">
        <v>149</v>
      </c>
      <c r="W866" t="s">
        <v>135</v>
      </c>
      <c r="X866">
        <v>3</v>
      </c>
      <c r="AC866" t="s">
        <v>136</v>
      </c>
      <c r="AE866" t="s">
        <v>137</v>
      </c>
    </row>
    <row r="867" spans="1:78" x14ac:dyDescent="0.2">
      <c r="A867" t="s">
        <v>119</v>
      </c>
      <c r="B867" t="s">
        <v>120</v>
      </c>
      <c r="C867" t="s">
        <v>2129</v>
      </c>
      <c r="D867">
        <v>14</v>
      </c>
      <c r="E867" t="s">
        <v>370</v>
      </c>
      <c r="F867" t="s">
        <v>140</v>
      </c>
      <c r="G867" t="s">
        <v>124</v>
      </c>
      <c r="H867" t="s">
        <v>125</v>
      </c>
      <c r="I867">
        <v>6</v>
      </c>
      <c r="J867" t="s">
        <v>161</v>
      </c>
      <c r="K867" t="s">
        <v>125</v>
      </c>
      <c r="L867" t="s">
        <v>2133</v>
      </c>
      <c r="U867" t="s">
        <v>149</v>
      </c>
      <c r="W867" t="s">
        <v>135</v>
      </c>
      <c r="X867">
        <v>3</v>
      </c>
      <c r="AC867" t="s">
        <v>136</v>
      </c>
      <c r="AE867" t="s">
        <v>137</v>
      </c>
    </row>
    <row r="868" spans="1:78" hidden="1" x14ac:dyDescent="0.2">
      <c r="A868" t="s">
        <v>119</v>
      </c>
      <c r="B868" t="s">
        <v>120</v>
      </c>
      <c r="C868" t="s">
        <v>2134</v>
      </c>
      <c r="D868">
        <v>3</v>
      </c>
      <c r="E868" t="s">
        <v>691</v>
      </c>
      <c r="F868" t="s">
        <v>261</v>
      </c>
      <c r="G868" t="s">
        <v>124</v>
      </c>
      <c r="H868" t="s">
        <v>125</v>
      </c>
      <c r="I868">
        <v>0</v>
      </c>
      <c r="J868" t="s">
        <v>126</v>
      </c>
      <c r="K868" t="s">
        <v>125</v>
      </c>
      <c r="L868" t="s">
        <v>2135</v>
      </c>
      <c r="T868" t="s">
        <v>154</v>
      </c>
      <c r="W868" t="s">
        <v>135</v>
      </c>
      <c r="AC868" t="s">
        <v>143</v>
      </c>
      <c r="AE868" t="s">
        <v>144</v>
      </c>
      <c r="AG868">
        <v>2</v>
      </c>
      <c r="AH868" t="s">
        <v>496</v>
      </c>
      <c r="AI868" t="s">
        <v>205</v>
      </c>
      <c r="AJ868" t="s">
        <v>131</v>
      </c>
      <c r="AK868" t="s">
        <v>125</v>
      </c>
      <c r="AL868">
        <v>3</v>
      </c>
      <c r="AM868" t="s">
        <v>132</v>
      </c>
      <c r="AN868" t="s">
        <v>125</v>
      </c>
      <c r="AO868" t="s">
        <v>2136</v>
      </c>
      <c r="BP868" t="s">
        <v>149</v>
      </c>
      <c r="BR868" t="s">
        <v>135</v>
      </c>
      <c r="BS868">
        <v>2</v>
      </c>
      <c r="BX868" t="s">
        <v>136</v>
      </c>
      <c r="BZ868" t="s">
        <v>137</v>
      </c>
    </row>
    <row r="869" spans="1:78" x14ac:dyDescent="0.2">
      <c r="A869" t="s">
        <v>119</v>
      </c>
      <c r="B869" t="s">
        <v>120</v>
      </c>
      <c r="C869" t="s">
        <v>2137</v>
      </c>
      <c r="D869">
        <v>7</v>
      </c>
      <c r="E869" t="s">
        <v>370</v>
      </c>
      <c r="F869" t="s">
        <v>140</v>
      </c>
      <c r="G869" t="s">
        <v>124</v>
      </c>
      <c r="H869" t="s">
        <v>125</v>
      </c>
      <c r="I869">
        <v>0</v>
      </c>
      <c r="J869" t="s">
        <v>126</v>
      </c>
      <c r="K869" t="s">
        <v>125</v>
      </c>
      <c r="L869" t="s">
        <v>2138</v>
      </c>
      <c r="U869" t="s">
        <v>149</v>
      </c>
      <c r="W869" t="s">
        <v>135</v>
      </c>
      <c r="X869">
        <v>3</v>
      </c>
      <c r="AC869" t="s">
        <v>136</v>
      </c>
      <c r="AE869" t="s">
        <v>137</v>
      </c>
    </row>
    <row r="870" spans="1:78" hidden="1" x14ac:dyDescent="0.2">
      <c r="A870" t="s">
        <v>119</v>
      </c>
      <c r="B870" t="s">
        <v>120</v>
      </c>
      <c r="C870" t="s">
        <v>2139</v>
      </c>
      <c r="D870">
        <v>3</v>
      </c>
      <c r="E870" t="s">
        <v>691</v>
      </c>
      <c r="F870" t="s">
        <v>261</v>
      </c>
      <c r="G870" t="s">
        <v>124</v>
      </c>
      <c r="H870" t="s">
        <v>125</v>
      </c>
      <c r="I870">
        <v>0</v>
      </c>
      <c r="J870" t="s">
        <v>126</v>
      </c>
      <c r="K870" t="s">
        <v>125</v>
      </c>
      <c r="L870" t="s">
        <v>2140</v>
      </c>
      <c r="T870" t="s">
        <v>154</v>
      </c>
      <c r="W870" t="s">
        <v>135</v>
      </c>
      <c r="AC870" t="s">
        <v>143</v>
      </c>
      <c r="AE870" t="s">
        <v>144</v>
      </c>
      <c r="AG870">
        <v>2</v>
      </c>
      <c r="AH870" t="s">
        <v>204</v>
      </c>
      <c r="AI870" t="s">
        <v>205</v>
      </c>
      <c r="AJ870" t="s">
        <v>131</v>
      </c>
      <c r="AK870" t="s">
        <v>125</v>
      </c>
      <c r="AL870">
        <v>3</v>
      </c>
      <c r="AM870" t="s">
        <v>132</v>
      </c>
      <c r="AN870" t="s">
        <v>125</v>
      </c>
      <c r="AO870" t="s">
        <v>2141</v>
      </c>
      <c r="BP870" t="s">
        <v>149</v>
      </c>
      <c r="BR870" t="s">
        <v>135</v>
      </c>
      <c r="BS870">
        <v>1</v>
      </c>
      <c r="BX870" t="s">
        <v>136</v>
      </c>
      <c r="BZ870" t="s">
        <v>137</v>
      </c>
    </row>
    <row r="871" spans="1:78" x14ac:dyDescent="0.2">
      <c r="A871" t="s">
        <v>119</v>
      </c>
      <c r="B871" t="s">
        <v>120</v>
      </c>
      <c r="C871" t="s">
        <v>2139</v>
      </c>
      <c r="D871">
        <v>7</v>
      </c>
      <c r="E871" t="s">
        <v>2142</v>
      </c>
      <c r="F871" t="s">
        <v>2120</v>
      </c>
      <c r="G871" t="s">
        <v>124</v>
      </c>
      <c r="H871" t="s">
        <v>125</v>
      </c>
      <c r="I871">
        <v>3</v>
      </c>
      <c r="J871" t="s">
        <v>264</v>
      </c>
      <c r="K871" t="s">
        <v>125</v>
      </c>
      <c r="L871" t="s">
        <v>2143</v>
      </c>
      <c r="U871" t="s">
        <v>309</v>
      </c>
      <c r="W871" t="s">
        <v>135</v>
      </c>
      <c r="X871">
        <v>3</v>
      </c>
      <c r="AC871" t="s">
        <v>136</v>
      </c>
      <c r="AE871" t="s">
        <v>137</v>
      </c>
    </row>
    <row r="872" spans="1:78" x14ac:dyDescent="0.2">
      <c r="A872" t="s">
        <v>119</v>
      </c>
      <c r="B872" t="s">
        <v>120</v>
      </c>
      <c r="C872" t="s">
        <v>2144</v>
      </c>
      <c r="D872">
        <v>5</v>
      </c>
      <c r="E872" t="s">
        <v>2145</v>
      </c>
      <c r="F872" t="s">
        <v>2146</v>
      </c>
      <c r="G872" t="s">
        <v>124</v>
      </c>
      <c r="H872" t="s">
        <v>125</v>
      </c>
      <c r="I872">
        <v>0</v>
      </c>
      <c r="J872" t="s">
        <v>126</v>
      </c>
      <c r="K872" t="s">
        <v>125</v>
      </c>
      <c r="L872" t="s">
        <v>2147</v>
      </c>
      <c r="U872" t="s">
        <v>149</v>
      </c>
      <c r="W872" t="s">
        <v>135</v>
      </c>
      <c r="X872">
        <v>3</v>
      </c>
      <c r="AC872" t="s">
        <v>136</v>
      </c>
      <c r="AE872" t="s">
        <v>137</v>
      </c>
    </row>
    <row r="873" spans="1:78" x14ac:dyDescent="0.2">
      <c r="A873" t="s">
        <v>119</v>
      </c>
      <c r="B873" t="s">
        <v>120</v>
      </c>
      <c r="C873" t="s">
        <v>2148</v>
      </c>
      <c r="D873">
        <v>2</v>
      </c>
      <c r="E873" t="s">
        <v>2149</v>
      </c>
      <c r="F873" t="s">
        <v>242</v>
      </c>
      <c r="G873" t="s">
        <v>124</v>
      </c>
      <c r="H873" t="s">
        <v>125</v>
      </c>
      <c r="I873">
        <v>0</v>
      </c>
      <c r="J873" t="s">
        <v>126</v>
      </c>
      <c r="K873" t="s">
        <v>125</v>
      </c>
      <c r="L873" t="s">
        <v>2150</v>
      </c>
      <c r="U873" t="s">
        <v>149</v>
      </c>
      <c r="W873" t="s">
        <v>135</v>
      </c>
      <c r="X873">
        <v>1</v>
      </c>
      <c r="AC873" t="s">
        <v>136</v>
      </c>
      <c r="AE873" t="s">
        <v>137</v>
      </c>
    </row>
    <row r="874" spans="1:78" x14ac:dyDescent="0.2">
      <c r="A874" t="s">
        <v>119</v>
      </c>
      <c r="B874" t="s">
        <v>120</v>
      </c>
      <c r="C874" t="s">
        <v>2148</v>
      </c>
      <c r="D874">
        <v>9</v>
      </c>
      <c r="E874" t="s">
        <v>1903</v>
      </c>
      <c r="F874" t="s">
        <v>1886</v>
      </c>
      <c r="G874" t="s">
        <v>124</v>
      </c>
      <c r="H874" t="s">
        <v>125</v>
      </c>
      <c r="I874">
        <v>2</v>
      </c>
      <c r="J874" t="s">
        <v>161</v>
      </c>
      <c r="K874" t="s">
        <v>125</v>
      </c>
      <c r="L874" t="s">
        <v>2151</v>
      </c>
      <c r="U874" t="s">
        <v>149</v>
      </c>
      <c r="W874" t="s">
        <v>135</v>
      </c>
      <c r="X874">
        <v>1</v>
      </c>
      <c r="AC874" t="s">
        <v>136</v>
      </c>
      <c r="AE874" t="s">
        <v>137</v>
      </c>
    </row>
    <row r="875" spans="1:78" hidden="1" x14ac:dyDescent="0.2">
      <c r="A875" t="s">
        <v>119</v>
      </c>
      <c r="B875" t="s">
        <v>120</v>
      </c>
      <c r="C875" t="s">
        <v>2152</v>
      </c>
      <c r="D875">
        <v>5</v>
      </c>
      <c r="E875" t="s">
        <v>2153</v>
      </c>
      <c r="F875" t="s">
        <v>2154</v>
      </c>
      <c r="G875" t="s">
        <v>124</v>
      </c>
      <c r="H875" t="s">
        <v>125</v>
      </c>
      <c r="I875">
        <v>0</v>
      </c>
      <c r="J875" t="s">
        <v>126</v>
      </c>
      <c r="K875" t="s">
        <v>125</v>
      </c>
      <c r="L875" t="s">
        <v>2155</v>
      </c>
      <c r="AE875" t="s">
        <v>128</v>
      </c>
      <c r="AG875">
        <v>4</v>
      </c>
      <c r="AH875" t="s">
        <v>666</v>
      </c>
      <c r="AI875" t="s">
        <v>667</v>
      </c>
      <c r="AJ875" t="s">
        <v>131</v>
      </c>
      <c r="AK875" t="s">
        <v>125</v>
      </c>
      <c r="AL875">
        <v>5</v>
      </c>
      <c r="AM875" t="s">
        <v>132</v>
      </c>
      <c r="AN875" t="s">
        <v>125</v>
      </c>
      <c r="AO875" t="s">
        <v>2156</v>
      </c>
      <c r="BP875" t="s">
        <v>149</v>
      </c>
      <c r="BR875" t="s">
        <v>135</v>
      </c>
      <c r="BS875">
        <v>1</v>
      </c>
      <c r="BX875" t="s">
        <v>209</v>
      </c>
      <c r="BZ875" t="s">
        <v>137</v>
      </c>
    </row>
    <row r="876" spans="1:78" x14ac:dyDescent="0.2">
      <c r="A876" t="s">
        <v>119</v>
      </c>
      <c r="B876" t="s">
        <v>120</v>
      </c>
      <c r="C876" t="s">
        <v>2152</v>
      </c>
      <c r="D876">
        <v>8</v>
      </c>
      <c r="E876" t="s">
        <v>327</v>
      </c>
      <c r="F876" t="s">
        <v>198</v>
      </c>
      <c r="G876" t="s">
        <v>124</v>
      </c>
      <c r="H876" t="s">
        <v>125</v>
      </c>
      <c r="I876">
        <v>5</v>
      </c>
      <c r="J876" t="s">
        <v>161</v>
      </c>
      <c r="K876" t="s">
        <v>125</v>
      </c>
      <c r="L876" t="s">
        <v>2157</v>
      </c>
      <c r="U876" t="s">
        <v>149</v>
      </c>
      <c r="W876" t="s">
        <v>135</v>
      </c>
      <c r="X876">
        <v>3</v>
      </c>
      <c r="AC876" t="s">
        <v>136</v>
      </c>
      <c r="AE876" t="s">
        <v>137</v>
      </c>
    </row>
    <row r="877" spans="1:78" x14ac:dyDescent="0.2">
      <c r="A877" t="s">
        <v>119</v>
      </c>
      <c r="B877" t="s">
        <v>120</v>
      </c>
      <c r="C877" t="s">
        <v>2152</v>
      </c>
      <c r="D877">
        <v>13</v>
      </c>
      <c r="E877" t="s">
        <v>2158</v>
      </c>
      <c r="F877" t="s">
        <v>2154</v>
      </c>
      <c r="G877" t="s">
        <v>124</v>
      </c>
      <c r="H877" t="s">
        <v>125</v>
      </c>
      <c r="I877">
        <v>8</v>
      </c>
      <c r="J877" t="s">
        <v>264</v>
      </c>
      <c r="K877" t="s">
        <v>125</v>
      </c>
      <c r="L877" t="s">
        <v>2159</v>
      </c>
      <c r="U877" t="s">
        <v>149</v>
      </c>
      <c r="W877" t="s">
        <v>135</v>
      </c>
      <c r="X877">
        <v>1</v>
      </c>
      <c r="AC877" t="s">
        <v>136</v>
      </c>
      <c r="AE877" t="s">
        <v>137</v>
      </c>
    </row>
    <row r="878" spans="1:78" x14ac:dyDescent="0.2">
      <c r="A878" t="s">
        <v>119</v>
      </c>
      <c r="B878" t="s">
        <v>120</v>
      </c>
      <c r="C878" t="s">
        <v>2160</v>
      </c>
      <c r="D878">
        <v>2</v>
      </c>
      <c r="E878" t="s">
        <v>801</v>
      </c>
      <c r="F878" t="s">
        <v>667</v>
      </c>
      <c r="G878" t="s">
        <v>124</v>
      </c>
      <c r="H878" t="s">
        <v>125</v>
      </c>
      <c r="I878">
        <v>5</v>
      </c>
      <c r="J878" t="s">
        <v>268</v>
      </c>
      <c r="K878" t="s">
        <v>125</v>
      </c>
      <c r="L878" t="s">
        <v>2161</v>
      </c>
      <c r="U878" t="s">
        <v>149</v>
      </c>
      <c r="W878" t="s">
        <v>135</v>
      </c>
      <c r="X878">
        <v>2</v>
      </c>
      <c r="AC878" t="s">
        <v>136</v>
      </c>
      <c r="AE878" t="s">
        <v>137</v>
      </c>
    </row>
    <row r="879" spans="1:78" x14ac:dyDescent="0.2">
      <c r="A879" t="s">
        <v>119</v>
      </c>
      <c r="B879" t="s">
        <v>120</v>
      </c>
      <c r="C879" t="s">
        <v>2160</v>
      </c>
      <c r="D879">
        <v>5</v>
      </c>
      <c r="E879" t="s">
        <v>2158</v>
      </c>
      <c r="F879" t="s">
        <v>2154</v>
      </c>
      <c r="G879" t="s">
        <v>124</v>
      </c>
      <c r="H879" t="s">
        <v>125</v>
      </c>
      <c r="I879">
        <v>0</v>
      </c>
      <c r="J879" t="s">
        <v>126</v>
      </c>
      <c r="K879" t="s">
        <v>125</v>
      </c>
      <c r="L879" t="s">
        <v>2162</v>
      </c>
      <c r="U879" t="s">
        <v>149</v>
      </c>
      <c r="W879" t="s">
        <v>135</v>
      </c>
      <c r="X879">
        <v>1</v>
      </c>
      <c r="AC879" t="s">
        <v>136</v>
      </c>
      <c r="AE879" t="s">
        <v>137</v>
      </c>
    </row>
    <row r="880" spans="1:78" x14ac:dyDescent="0.2">
      <c r="A880" t="s">
        <v>119</v>
      </c>
      <c r="B880" t="s">
        <v>120</v>
      </c>
      <c r="C880" t="s">
        <v>2160</v>
      </c>
      <c r="D880">
        <v>12</v>
      </c>
      <c r="E880" t="s">
        <v>2163</v>
      </c>
      <c r="F880" t="s">
        <v>140</v>
      </c>
      <c r="G880" t="s">
        <v>124</v>
      </c>
      <c r="H880" t="s">
        <v>125</v>
      </c>
      <c r="I880">
        <v>5</v>
      </c>
      <c r="J880" t="s">
        <v>161</v>
      </c>
      <c r="K880" t="s">
        <v>125</v>
      </c>
      <c r="L880" t="s">
        <v>2164</v>
      </c>
      <c r="U880" t="s">
        <v>149</v>
      </c>
      <c r="W880" t="s">
        <v>135</v>
      </c>
      <c r="X880">
        <v>1</v>
      </c>
      <c r="AC880" t="s">
        <v>136</v>
      </c>
      <c r="AE880" t="s">
        <v>137</v>
      </c>
    </row>
    <row r="881" spans="1:78" x14ac:dyDescent="0.2">
      <c r="A881" t="s">
        <v>119</v>
      </c>
      <c r="B881" t="s">
        <v>120</v>
      </c>
      <c r="C881" t="s">
        <v>2165</v>
      </c>
      <c r="D881">
        <v>3</v>
      </c>
      <c r="E881" t="s">
        <v>2166</v>
      </c>
      <c r="F881" t="s">
        <v>2154</v>
      </c>
      <c r="G881" t="s">
        <v>124</v>
      </c>
      <c r="H881" t="s">
        <v>125</v>
      </c>
      <c r="I881">
        <v>15</v>
      </c>
      <c r="J881" t="s">
        <v>1249</v>
      </c>
      <c r="K881" t="s">
        <v>125</v>
      </c>
      <c r="L881" t="s">
        <v>2167</v>
      </c>
      <c r="U881" t="s">
        <v>149</v>
      </c>
      <c r="W881" t="s">
        <v>135</v>
      </c>
      <c r="X881">
        <v>2</v>
      </c>
      <c r="AC881" t="s">
        <v>136</v>
      </c>
      <c r="AE881" t="s">
        <v>137</v>
      </c>
    </row>
    <row r="882" spans="1:78" x14ac:dyDescent="0.2">
      <c r="A882" t="s">
        <v>119</v>
      </c>
      <c r="B882" t="s">
        <v>120</v>
      </c>
      <c r="C882" t="s">
        <v>2165</v>
      </c>
      <c r="D882">
        <v>9</v>
      </c>
      <c r="E882" t="s">
        <v>2163</v>
      </c>
      <c r="F882" t="s">
        <v>140</v>
      </c>
      <c r="G882" t="s">
        <v>124</v>
      </c>
      <c r="H882" t="s">
        <v>125</v>
      </c>
      <c r="I882">
        <v>3</v>
      </c>
      <c r="J882" t="s">
        <v>199</v>
      </c>
      <c r="K882" t="s">
        <v>125</v>
      </c>
      <c r="L882" t="s">
        <v>2168</v>
      </c>
      <c r="U882" t="s">
        <v>149</v>
      </c>
      <c r="W882" t="s">
        <v>135</v>
      </c>
      <c r="X882">
        <v>1</v>
      </c>
      <c r="AC882" t="s">
        <v>136</v>
      </c>
      <c r="AE882" t="s">
        <v>137</v>
      </c>
    </row>
    <row r="883" spans="1:78" x14ac:dyDescent="0.2">
      <c r="A883" t="s">
        <v>119</v>
      </c>
      <c r="B883" t="s">
        <v>120</v>
      </c>
      <c r="C883" t="s">
        <v>2169</v>
      </c>
      <c r="D883">
        <v>9</v>
      </c>
      <c r="E883" t="s">
        <v>2170</v>
      </c>
      <c r="F883" t="s">
        <v>2171</v>
      </c>
      <c r="G883" t="s">
        <v>124</v>
      </c>
      <c r="H883" t="s">
        <v>125</v>
      </c>
      <c r="I883">
        <v>0</v>
      </c>
      <c r="J883" t="s">
        <v>126</v>
      </c>
      <c r="K883" t="s">
        <v>125</v>
      </c>
      <c r="L883" t="s">
        <v>2172</v>
      </c>
      <c r="U883" t="s">
        <v>149</v>
      </c>
      <c r="W883" t="s">
        <v>135</v>
      </c>
      <c r="X883">
        <v>1</v>
      </c>
      <c r="AC883" t="s">
        <v>136</v>
      </c>
      <c r="AE883" t="s">
        <v>137</v>
      </c>
    </row>
    <row r="884" spans="1:78" x14ac:dyDescent="0.2">
      <c r="A884" t="s">
        <v>119</v>
      </c>
      <c r="B884" t="s">
        <v>120</v>
      </c>
      <c r="C884" t="s">
        <v>2173</v>
      </c>
      <c r="D884">
        <v>2</v>
      </c>
      <c r="E884" t="s">
        <v>1825</v>
      </c>
      <c r="F884" t="s">
        <v>198</v>
      </c>
      <c r="G884" t="s">
        <v>124</v>
      </c>
      <c r="H884" t="s">
        <v>125</v>
      </c>
      <c r="I884">
        <v>0</v>
      </c>
      <c r="J884" t="s">
        <v>126</v>
      </c>
      <c r="K884" t="s">
        <v>125</v>
      </c>
      <c r="L884" t="s">
        <v>2174</v>
      </c>
      <c r="U884" t="s">
        <v>149</v>
      </c>
      <c r="W884" t="s">
        <v>135</v>
      </c>
      <c r="X884">
        <v>2</v>
      </c>
      <c r="AC884" t="s">
        <v>136</v>
      </c>
      <c r="AE884" t="s">
        <v>137</v>
      </c>
    </row>
    <row r="885" spans="1:78" hidden="1" x14ac:dyDescent="0.2">
      <c r="A885" t="s">
        <v>119</v>
      </c>
      <c r="B885" t="s">
        <v>120</v>
      </c>
      <c r="C885" t="s">
        <v>2173</v>
      </c>
      <c r="D885">
        <v>7</v>
      </c>
      <c r="E885" t="s">
        <v>1936</v>
      </c>
      <c r="F885" t="s">
        <v>1886</v>
      </c>
      <c r="G885" t="s">
        <v>124</v>
      </c>
      <c r="H885" t="s">
        <v>125</v>
      </c>
      <c r="I885">
        <v>2</v>
      </c>
      <c r="J885" t="s">
        <v>264</v>
      </c>
      <c r="K885" t="s">
        <v>125</v>
      </c>
      <c r="L885" t="s">
        <v>2175</v>
      </c>
      <c r="T885" t="s">
        <v>154</v>
      </c>
      <c r="W885" t="s">
        <v>135</v>
      </c>
      <c r="AC885" t="s">
        <v>143</v>
      </c>
      <c r="AE885" t="s">
        <v>144</v>
      </c>
      <c r="AG885">
        <v>6</v>
      </c>
      <c r="AH885" t="s">
        <v>145</v>
      </c>
      <c r="AI885" t="s">
        <v>146</v>
      </c>
      <c r="AJ885" t="s">
        <v>131</v>
      </c>
      <c r="AK885" t="s">
        <v>125</v>
      </c>
      <c r="AL885">
        <v>7</v>
      </c>
      <c r="AM885" t="s">
        <v>132</v>
      </c>
      <c r="AN885" t="s">
        <v>125</v>
      </c>
      <c r="AO885" t="s">
        <v>2176</v>
      </c>
      <c r="BP885" t="s">
        <v>149</v>
      </c>
      <c r="BR885" t="s">
        <v>135</v>
      </c>
      <c r="BS885">
        <v>3</v>
      </c>
      <c r="BX885" t="s">
        <v>136</v>
      </c>
      <c r="BZ885" t="s">
        <v>137</v>
      </c>
    </row>
    <row r="886" spans="1:78" hidden="1" x14ac:dyDescent="0.2">
      <c r="A886" t="s">
        <v>119</v>
      </c>
      <c r="B886" t="s">
        <v>120</v>
      </c>
      <c r="C886" t="s">
        <v>2173</v>
      </c>
      <c r="D886">
        <v>14</v>
      </c>
      <c r="E886" t="s">
        <v>2177</v>
      </c>
      <c r="F886" t="s">
        <v>242</v>
      </c>
      <c r="G886" t="s">
        <v>124</v>
      </c>
      <c r="H886" t="s">
        <v>125</v>
      </c>
      <c r="I886">
        <v>7</v>
      </c>
      <c r="J886" t="s">
        <v>161</v>
      </c>
      <c r="K886" t="s">
        <v>125</v>
      </c>
      <c r="L886" t="s">
        <v>2178</v>
      </c>
      <c r="T886" t="s">
        <v>154</v>
      </c>
      <c r="W886" t="s">
        <v>135</v>
      </c>
      <c r="AC886" t="s">
        <v>143</v>
      </c>
      <c r="AE886" t="s">
        <v>144</v>
      </c>
      <c r="AG886">
        <v>13</v>
      </c>
      <c r="AH886" t="s">
        <v>204</v>
      </c>
      <c r="AI886" t="s">
        <v>205</v>
      </c>
      <c r="AJ886" t="s">
        <v>131</v>
      </c>
      <c r="AK886" t="s">
        <v>125</v>
      </c>
      <c r="AL886">
        <v>14</v>
      </c>
      <c r="AM886" t="s">
        <v>132</v>
      </c>
      <c r="AN886" t="s">
        <v>125</v>
      </c>
      <c r="AO886" t="s">
        <v>2179</v>
      </c>
      <c r="BP886" t="s">
        <v>149</v>
      </c>
      <c r="BR886" t="s">
        <v>135</v>
      </c>
      <c r="BS886">
        <v>1</v>
      </c>
      <c r="BX886" t="s">
        <v>136</v>
      </c>
      <c r="BZ886" t="s">
        <v>137</v>
      </c>
    </row>
    <row r="887" spans="1:78" hidden="1" x14ac:dyDescent="0.2">
      <c r="A887" t="s">
        <v>119</v>
      </c>
      <c r="B887" t="s">
        <v>120</v>
      </c>
      <c r="C887" t="s">
        <v>2173</v>
      </c>
      <c r="D887">
        <v>21</v>
      </c>
      <c r="E887" t="s">
        <v>1314</v>
      </c>
      <c r="F887" t="s">
        <v>735</v>
      </c>
      <c r="G887" t="s">
        <v>124</v>
      </c>
      <c r="H887" t="s">
        <v>125</v>
      </c>
      <c r="I887">
        <v>14</v>
      </c>
      <c r="J887" t="s">
        <v>161</v>
      </c>
      <c r="K887" t="s">
        <v>125</v>
      </c>
      <c r="L887" t="s">
        <v>2180</v>
      </c>
      <c r="T887" t="s">
        <v>154</v>
      </c>
      <c r="W887" t="s">
        <v>135</v>
      </c>
      <c r="AC887" t="s">
        <v>143</v>
      </c>
      <c r="AE887" t="s">
        <v>144</v>
      </c>
      <c r="AG887">
        <v>20</v>
      </c>
      <c r="AH887" t="s">
        <v>614</v>
      </c>
      <c r="AI887" t="s">
        <v>205</v>
      </c>
      <c r="AJ887" t="s">
        <v>131</v>
      </c>
      <c r="AK887" t="s">
        <v>125</v>
      </c>
      <c r="AL887">
        <v>21</v>
      </c>
      <c r="AM887" t="s">
        <v>132</v>
      </c>
      <c r="AN887" t="s">
        <v>125</v>
      </c>
      <c r="AO887" t="s">
        <v>2181</v>
      </c>
      <c r="BP887" t="s">
        <v>149</v>
      </c>
      <c r="BR887" t="s">
        <v>135</v>
      </c>
      <c r="BS887">
        <v>3</v>
      </c>
      <c r="BX887" t="s">
        <v>136</v>
      </c>
      <c r="BZ887" t="s">
        <v>137</v>
      </c>
    </row>
    <row r="888" spans="1:78" hidden="1" x14ac:dyDescent="0.2">
      <c r="A888" t="s">
        <v>119</v>
      </c>
      <c r="B888" t="s">
        <v>120</v>
      </c>
      <c r="C888" t="s">
        <v>2182</v>
      </c>
      <c r="D888">
        <v>7</v>
      </c>
      <c r="E888" t="s">
        <v>1073</v>
      </c>
      <c r="F888" t="s">
        <v>311</v>
      </c>
      <c r="G888" t="s">
        <v>124</v>
      </c>
      <c r="H888" t="s">
        <v>125</v>
      </c>
      <c r="I888">
        <v>5</v>
      </c>
      <c r="J888" t="s">
        <v>161</v>
      </c>
      <c r="K888" t="s">
        <v>125</v>
      </c>
      <c r="L888" t="s">
        <v>2183</v>
      </c>
      <c r="U888" t="s">
        <v>149</v>
      </c>
      <c r="W888" t="s">
        <v>135</v>
      </c>
      <c r="X888">
        <v>1</v>
      </c>
      <c r="AC888" t="s">
        <v>209</v>
      </c>
      <c r="AE888" t="s">
        <v>137</v>
      </c>
    </row>
    <row r="889" spans="1:78" hidden="1" x14ac:dyDescent="0.2">
      <c r="A889" t="s">
        <v>119</v>
      </c>
      <c r="B889" t="s">
        <v>120</v>
      </c>
      <c r="C889" t="s">
        <v>2184</v>
      </c>
      <c r="D889">
        <v>3</v>
      </c>
      <c r="E889" t="s">
        <v>146</v>
      </c>
      <c r="F889" t="s">
        <v>146</v>
      </c>
      <c r="G889" t="s">
        <v>124</v>
      </c>
      <c r="H889" t="s">
        <v>125</v>
      </c>
      <c r="I889">
        <v>0</v>
      </c>
      <c r="J889" t="s">
        <v>126</v>
      </c>
      <c r="K889" t="s">
        <v>125</v>
      </c>
      <c r="L889" t="s">
        <v>2185</v>
      </c>
      <c r="AE889" t="s">
        <v>128</v>
      </c>
      <c r="AG889">
        <v>2</v>
      </c>
      <c r="AH889" t="s">
        <v>1747</v>
      </c>
      <c r="AI889" t="s">
        <v>572</v>
      </c>
      <c r="AJ889" t="s">
        <v>131</v>
      </c>
      <c r="AK889" t="s">
        <v>125</v>
      </c>
      <c r="AL889">
        <v>3</v>
      </c>
      <c r="AM889" t="s">
        <v>132</v>
      </c>
      <c r="AN889" t="s">
        <v>125</v>
      </c>
      <c r="AO889" t="s">
        <v>2186</v>
      </c>
      <c r="BP889" t="s">
        <v>149</v>
      </c>
      <c r="BR889" t="s">
        <v>135</v>
      </c>
      <c r="BS889">
        <v>3</v>
      </c>
      <c r="BX889" t="s">
        <v>136</v>
      </c>
      <c r="BZ889" t="s">
        <v>137</v>
      </c>
    </row>
    <row r="890" spans="1:78" x14ac:dyDescent="0.2">
      <c r="A890" t="s">
        <v>119</v>
      </c>
      <c r="B890" t="s">
        <v>120</v>
      </c>
      <c r="C890" t="s">
        <v>2187</v>
      </c>
      <c r="D890">
        <v>2</v>
      </c>
      <c r="E890" t="s">
        <v>145</v>
      </c>
      <c r="F890" t="s">
        <v>146</v>
      </c>
      <c r="G890" t="s">
        <v>124</v>
      </c>
      <c r="H890" t="s">
        <v>125</v>
      </c>
      <c r="I890">
        <v>0</v>
      </c>
      <c r="J890" t="s">
        <v>126</v>
      </c>
      <c r="K890" t="s">
        <v>125</v>
      </c>
      <c r="L890" t="s">
        <v>2188</v>
      </c>
      <c r="U890" t="s">
        <v>149</v>
      </c>
      <c r="W890" t="s">
        <v>135</v>
      </c>
      <c r="X890">
        <v>3</v>
      </c>
      <c r="AC890" t="s">
        <v>136</v>
      </c>
      <c r="AE890" t="s">
        <v>137</v>
      </c>
    </row>
    <row r="891" spans="1:78" x14ac:dyDescent="0.2">
      <c r="A891" t="s">
        <v>119</v>
      </c>
      <c r="B891" t="s">
        <v>120</v>
      </c>
      <c r="C891" t="s">
        <v>2187</v>
      </c>
      <c r="D891">
        <v>7</v>
      </c>
      <c r="E891" t="s">
        <v>1903</v>
      </c>
      <c r="F891" t="s">
        <v>1886</v>
      </c>
      <c r="G891" t="s">
        <v>124</v>
      </c>
      <c r="H891" t="s">
        <v>125</v>
      </c>
      <c r="I891">
        <v>2</v>
      </c>
      <c r="J891" t="s">
        <v>264</v>
      </c>
      <c r="K891" t="s">
        <v>125</v>
      </c>
      <c r="L891" t="s">
        <v>2189</v>
      </c>
      <c r="U891" t="s">
        <v>149</v>
      </c>
      <c r="W891" t="s">
        <v>135</v>
      </c>
      <c r="X891">
        <v>1</v>
      </c>
      <c r="AC891" t="s">
        <v>136</v>
      </c>
      <c r="AE891" t="s">
        <v>137</v>
      </c>
    </row>
    <row r="892" spans="1:78" x14ac:dyDescent="0.2">
      <c r="A892" t="s">
        <v>119</v>
      </c>
      <c r="B892" t="s">
        <v>120</v>
      </c>
      <c r="C892" t="s">
        <v>2190</v>
      </c>
      <c r="D892">
        <v>2</v>
      </c>
      <c r="E892" t="s">
        <v>327</v>
      </c>
      <c r="F892" t="s">
        <v>198</v>
      </c>
      <c r="G892" t="s">
        <v>124</v>
      </c>
      <c r="H892" t="s">
        <v>125</v>
      </c>
      <c r="I892">
        <v>0</v>
      </c>
      <c r="J892" t="s">
        <v>126</v>
      </c>
      <c r="K892" t="s">
        <v>125</v>
      </c>
      <c r="L892" t="s">
        <v>2191</v>
      </c>
      <c r="U892" t="s">
        <v>149</v>
      </c>
      <c r="W892" t="s">
        <v>135</v>
      </c>
      <c r="X892">
        <v>3</v>
      </c>
      <c r="AC892" t="s">
        <v>136</v>
      </c>
      <c r="AE892" t="s">
        <v>137</v>
      </c>
      <c r="AG892">
        <v>4</v>
      </c>
      <c r="AH892" t="s">
        <v>145</v>
      </c>
      <c r="AI892" t="s">
        <v>146</v>
      </c>
      <c r="AJ892" t="s">
        <v>131</v>
      </c>
      <c r="AK892" t="s">
        <v>125</v>
      </c>
      <c r="AL892">
        <v>2</v>
      </c>
      <c r="AM892" t="s">
        <v>264</v>
      </c>
      <c r="AN892" t="s">
        <v>125</v>
      </c>
      <c r="AO892" t="s">
        <v>2192</v>
      </c>
      <c r="BP892" t="s">
        <v>149</v>
      </c>
      <c r="BR892" t="s">
        <v>135</v>
      </c>
      <c r="BS892">
        <v>3</v>
      </c>
      <c r="BX892" t="s">
        <v>136</v>
      </c>
      <c r="BZ892" t="s">
        <v>137</v>
      </c>
    </row>
    <row r="893" spans="1:78" x14ac:dyDescent="0.2">
      <c r="A893" t="s">
        <v>119</v>
      </c>
      <c r="B893" t="s">
        <v>120</v>
      </c>
      <c r="C893" t="s">
        <v>2193</v>
      </c>
      <c r="D893">
        <v>3</v>
      </c>
      <c r="E893" t="s">
        <v>2194</v>
      </c>
      <c r="F893" t="s">
        <v>1886</v>
      </c>
      <c r="G893" t="s">
        <v>124</v>
      </c>
      <c r="H893" t="s">
        <v>125</v>
      </c>
      <c r="I893">
        <v>0</v>
      </c>
      <c r="J893" t="s">
        <v>126</v>
      </c>
      <c r="K893" t="s">
        <v>125</v>
      </c>
      <c r="L893" t="s">
        <v>2195</v>
      </c>
      <c r="U893" t="s">
        <v>149</v>
      </c>
      <c r="W893" t="s">
        <v>135</v>
      </c>
      <c r="X893">
        <v>2</v>
      </c>
      <c r="AC893" t="s">
        <v>136</v>
      </c>
      <c r="AE893" t="s">
        <v>137</v>
      </c>
    </row>
    <row r="894" spans="1:78" x14ac:dyDescent="0.2">
      <c r="A894" t="s">
        <v>119</v>
      </c>
      <c r="B894" t="s">
        <v>120</v>
      </c>
      <c r="C894" t="s">
        <v>2196</v>
      </c>
      <c r="D894">
        <v>3</v>
      </c>
      <c r="E894" t="s">
        <v>457</v>
      </c>
      <c r="F894" t="s">
        <v>458</v>
      </c>
      <c r="G894" t="s">
        <v>124</v>
      </c>
      <c r="H894" t="s">
        <v>125</v>
      </c>
      <c r="I894">
        <v>0</v>
      </c>
      <c r="J894" t="s">
        <v>126</v>
      </c>
      <c r="K894" t="s">
        <v>125</v>
      </c>
      <c r="L894" t="s">
        <v>2197</v>
      </c>
      <c r="U894" t="s">
        <v>149</v>
      </c>
      <c r="W894" t="s">
        <v>135</v>
      </c>
      <c r="X894">
        <v>3</v>
      </c>
      <c r="AC894" t="s">
        <v>136</v>
      </c>
      <c r="AE894" t="s">
        <v>137</v>
      </c>
    </row>
    <row r="895" spans="1:78" x14ac:dyDescent="0.2">
      <c r="A895" t="s">
        <v>119</v>
      </c>
      <c r="B895" t="s">
        <v>120</v>
      </c>
      <c r="C895" t="s">
        <v>2198</v>
      </c>
      <c r="D895">
        <v>4</v>
      </c>
      <c r="E895" t="s">
        <v>457</v>
      </c>
      <c r="F895" t="s">
        <v>458</v>
      </c>
      <c r="G895" t="s">
        <v>124</v>
      </c>
      <c r="H895" t="s">
        <v>125</v>
      </c>
      <c r="I895">
        <v>0</v>
      </c>
      <c r="J895" t="s">
        <v>126</v>
      </c>
      <c r="K895" t="s">
        <v>125</v>
      </c>
      <c r="L895" t="s">
        <v>2199</v>
      </c>
      <c r="U895" t="s">
        <v>149</v>
      </c>
      <c r="W895" t="s">
        <v>135</v>
      </c>
      <c r="X895">
        <v>3</v>
      </c>
      <c r="AC895" t="s">
        <v>136</v>
      </c>
      <c r="AE895" t="s">
        <v>137</v>
      </c>
    </row>
    <row r="896" spans="1:78" x14ac:dyDescent="0.2">
      <c r="A896" t="s">
        <v>119</v>
      </c>
      <c r="B896" t="s">
        <v>120</v>
      </c>
      <c r="C896" t="s">
        <v>2198</v>
      </c>
      <c r="D896">
        <v>13</v>
      </c>
      <c r="E896" t="s">
        <v>145</v>
      </c>
      <c r="F896" t="s">
        <v>146</v>
      </c>
      <c r="G896" t="s">
        <v>124</v>
      </c>
      <c r="H896" t="s">
        <v>125</v>
      </c>
      <c r="I896">
        <v>18</v>
      </c>
      <c r="J896" t="s">
        <v>210</v>
      </c>
      <c r="K896" t="s">
        <v>125</v>
      </c>
      <c r="L896" t="s">
        <v>2200</v>
      </c>
      <c r="U896" t="s">
        <v>149</v>
      </c>
      <c r="W896" t="s">
        <v>135</v>
      </c>
      <c r="X896">
        <v>3</v>
      </c>
      <c r="AC896" t="s">
        <v>136</v>
      </c>
      <c r="AE896" t="s">
        <v>137</v>
      </c>
    </row>
    <row r="897" spans="1:78" x14ac:dyDescent="0.2">
      <c r="A897" t="s">
        <v>119</v>
      </c>
      <c r="B897" t="s">
        <v>120</v>
      </c>
      <c r="C897" t="s">
        <v>2198</v>
      </c>
      <c r="D897">
        <v>16</v>
      </c>
      <c r="E897" t="s">
        <v>2201</v>
      </c>
      <c r="F897" t="s">
        <v>2202</v>
      </c>
      <c r="G897" t="s">
        <v>124</v>
      </c>
      <c r="H897" t="s">
        <v>125</v>
      </c>
      <c r="I897">
        <v>13</v>
      </c>
      <c r="J897" t="s">
        <v>264</v>
      </c>
      <c r="K897" t="s">
        <v>125</v>
      </c>
      <c r="L897" t="s">
        <v>2203</v>
      </c>
      <c r="U897" t="s">
        <v>149</v>
      </c>
      <c r="W897" t="s">
        <v>135</v>
      </c>
      <c r="X897">
        <v>1</v>
      </c>
      <c r="AC897" t="s">
        <v>136</v>
      </c>
      <c r="AE897" t="s">
        <v>137</v>
      </c>
    </row>
    <row r="898" spans="1:78" x14ac:dyDescent="0.2">
      <c r="A898" t="s">
        <v>119</v>
      </c>
      <c r="B898" t="s">
        <v>120</v>
      </c>
      <c r="C898" t="s">
        <v>2198</v>
      </c>
      <c r="D898">
        <v>18</v>
      </c>
      <c r="E898" t="s">
        <v>145</v>
      </c>
      <c r="F898" t="s">
        <v>146</v>
      </c>
      <c r="G898" t="s">
        <v>124</v>
      </c>
      <c r="H898" t="s">
        <v>125</v>
      </c>
      <c r="I898">
        <v>4</v>
      </c>
      <c r="J898" t="s">
        <v>161</v>
      </c>
      <c r="K898" t="s">
        <v>125</v>
      </c>
      <c r="L898" t="s">
        <v>2204</v>
      </c>
      <c r="U898" t="s">
        <v>149</v>
      </c>
      <c r="W898" t="s">
        <v>135</v>
      </c>
      <c r="X898">
        <v>3</v>
      </c>
      <c r="AC898" t="s">
        <v>136</v>
      </c>
      <c r="AE898" t="s">
        <v>137</v>
      </c>
    </row>
    <row r="899" spans="1:78" x14ac:dyDescent="0.2">
      <c r="A899" t="s">
        <v>119</v>
      </c>
      <c r="B899" t="s">
        <v>120</v>
      </c>
      <c r="C899" t="s">
        <v>2198</v>
      </c>
      <c r="D899">
        <v>21</v>
      </c>
      <c r="E899" t="s">
        <v>2201</v>
      </c>
      <c r="F899" t="s">
        <v>2202</v>
      </c>
      <c r="G899" t="s">
        <v>124</v>
      </c>
      <c r="H899" t="s">
        <v>125</v>
      </c>
      <c r="I899">
        <v>18</v>
      </c>
      <c r="J899" t="s">
        <v>264</v>
      </c>
      <c r="K899" t="s">
        <v>125</v>
      </c>
      <c r="L899" t="s">
        <v>2205</v>
      </c>
      <c r="U899" t="s">
        <v>149</v>
      </c>
      <c r="W899" t="s">
        <v>135</v>
      </c>
      <c r="X899">
        <v>1</v>
      </c>
      <c r="AC899" t="s">
        <v>136</v>
      </c>
      <c r="AE899" t="s">
        <v>137</v>
      </c>
    </row>
    <row r="900" spans="1:78" hidden="1" x14ac:dyDescent="0.2">
      <c r="A900" t="s">
        <v>119</v>
      </c>
      <c r="B900" t="s">
        <v>120</v>
      </c>
      <c r="C900" t="s">
        <v>2206</v>
      </c>
      <c r="D900">
        <v>1</v>
      </c>
      <c r="E900" t="s">
        <v>241</v>
      </c>
      <c r="F900" t="s">
        <v>242</v>
      </c>
      <c r="G900" t="s">
        <v>124</v>
      </c>
      <c r="H900" t="s">
        <v>125</v>
      </c>
      <c r="I900">
        <v>0</v>
      </c>
      <c r="J900" t="s">
        <v>126</v>
      </c>
      <c r="K900" t="s">
        <v>125</v>
      </c>
      <c r="L900" t="s">
        <v>2207</v>
      </c>
      <c r="W900" t="s">
        <v>155</v>
      </c>
    </row>
    <row r="901" spans="1:78" hidden="1" x14ac:dyDescent="0.2">
      <c r="A901" t="s">
        <v>119</v>
      </c>
      <c r="B901" t="s">
        <v>120</v>
      </c>
      <c r="C901" t="s">
        <v>2206</v>
      </c>
      <c r="D901">
        <v>2</v>
      </c>
      <c r="E901" t="s">
        <v>2208</v>
      </c>
      <c r="F901" t="s">
        <v>2208</v>
      </c>
      <c r="G901" t="s">
        <v>124</v>
      </c>
      <c r="H901" t="s">
        <v>125</v>
      </c>
      <c r="I901">
        <v>1</v>
      </c>
      <c r="J901" t="s">
        <v>2209</v>
      </c>
      <c r="K901" t="s">
        <v>125</v>
      </c>
      <c r="L901" t="s">
        <v>2207</v>
      </c>
      <c r="W901" t="s">
        <v>155</v>
      </c>
    </row>
    <row r="902" spans="1:78" x14ac:dyDescent="0.2">
      <c r="A902" t="s">
        <v>119</v>
      </c>
      <c r="B902" t="s">
        <v>120</v>
      </c>
      <c r="C902" t="s">
        <v>2210</v>
      </c>
      <c r="D902">
        <v>2</v>
      </c>
      <c r="E902" t="s">
        <v>2211</v>
      </c>
      <c r="F902" t="s">
        <v>261</v>
      </c>
      <c r="G902" t="s">
        <v>124</v>
      </c>
      <c r="H902" t="s">
        <v>125</v>
      </c>
      <c r="I902">
        <v>7</v>
      </c>
      <c r="J902" t="s">
        <v>268</v>
      </c>
      <c r="K902" t="s">
        <v>125</v>
      </c>
      <c r="L902" t="s">
        <v>2212</v>
      </c>
      <c r="U902" t="s">
        <v>149</v>
      </c>
      <c r="W902" t="s">
        <v>135</v>
      </c>
      <c r="X902">
        <v>3</v>
      </c>
      <c r="AC902" t="s">
        <v>136</v>
      </c>
      <c r="AE902" t="s">
        <v>137</v>
      </c>
    </row>
    <row r="903" spans="1:78" x14ac:dyDescent="0.2">
      <c r="A903" t="s">
        <v>119</v>
      </c>
      <c r="B903" t="s">
        <v>120</v>
      </c>
      <c r="C903" t="s">
        <v>2210</v>
      </c>
      <c r="D903">
        <v>7</v>
      </c>
      <c r="E903" t="s">
        <v>1756</v>
      </c>
      <c r="F903" t="s">
        <v>1757</v>
      </c>
      <c r="G903" t="s">
        <v>124</v>
      </c>
      <c r="H903" t="s">
        <v>125</v>
      </c>
      <c r="I903">
        <v>0</v>
      </c>
      <c r="J903" t="s">
        <v>126</v>
      </c>
      <c r="K903" t="s">
        <v>125</v>
      </c>
      <c r="L903" t="s">
        <v>2213</v>
      </c>
      <c r="U903" t="s">
        <v>149</v>
      </c>
      <c r="W903" t="s">
        <v>135</v>
      </c>
      <c r="X903">
        <v>3</v>
      </c>
      <c r="AC903" t="s">
        <v>136</v>
      </c>
      <c r="AE903" t="s">
        <v>137</v>
      </c>
    </row>
    <row r="904" spans="1:78" hidden="1" x14ac:dyDescent="0.2">
      <c r="A904" t="s">
        <v>119</v>
      </c>
      <c r="B904" t="s">
        <v>120</v>
      </c>
      <c r="C904" t="s">
        <v>2210</v>
      </c>
      <c r="D904">
        <v>17</v>
      </c>
      <c r="E904" t="s">
        <v>2154</v>
      </c>
      <c r="F904" t="s">
        <v>2154</v>
      </c>
      <c r="G904" t="s">
        <v>124</v>
      </c>
      <c r="H904" t="s">
        <v>125</v>
      </c>
      <c r="I904">
        <v>19</v>
      </c>
      <c r="J904" t="s">
        <v>268</v>
      </c>
      <c r="K904" t="s">
        <v>125</v>
      </c>
      <c r="L904" t="s">
        <v>2214</v>
      </c>
      <c r="AE904" t="s">
        <v>128</v>
      </c>
      <c r="AG904">
        <v>16</v>
      </c>
      <c r="AH904" t="s">
        <v>801</v>
      </c>
      <c r="AI904" t="s">
        <v>667</v>
      </c>
      <c r="AJ904" t="s">
        <v>131</v>
      </c>
      <c r="AK904" t="s">
        <v>125</v>
      </c>
      <c r="AL904">
        <v>17</v>
      </c>
      <c r="AM904" t="s">
        <v>132</v>
      </c>
      <c r="AN904" t="s">
        <v>125</v>
      </c>
      <c r="AO904" t="s">
        <v>2215</v>
      </c>
      <c r="BP904" t="s">
        <v>149</v>
      </c>
      <c r="BR904" t="s">
        <v>135</v>
      </c>
      <c r="BS904">
        <v>2</v>
      </c>
      <c r="BX904" t="s">
        <v>136</v>
      </c>
      <c r="BZ904" t="s">
        <v>137</v>
      </c>
    </row>
    <row r="905" spans="1:78" x14ac:dyDescent="0.2">
      <c r="A905" t="s">
        <v>119</v>
      </c>
      <c r="B905" t="s">
        <v>120</v>
      </c>
      <c r="C905" t="s">
        <v>2210</v>
      </c>
      <c r="D905">
        <v>19</v>
      </c>
      <c r="E905" t="s">
        <v>370</v>
      </c>
      <c r="F905" t="s">
        <v>140</v>
      </c>
      <c r="G905" t="s">
        <v>124</v>
      </c>
      <c r="H905" t="s">
        <v>125</v>
      </c>
      <c r="I905">
        <v>7</v>
      </c>
      <c r="J905" t="s">
        <v>161</v>
      </c>
      <c r="K905" t="s">
        <v>125</v>
      </c>
      <c r="L905" t="s">
        <v>2216</v>
      </c>
      <c r="U905" t="s">
        <v>149</v>
      </c>
      <c r="W905" t="s">
        <v>135</v>
      </c>
      <c r="X905">
        <v>3</v>
      </c>
      <c r="AC905" t="s">
        <v>136</v>
      </c>
      <c r="AE905" t="s">
        <v>137</v>
      </c>
    </row>
    <row r="906" spans="1:78" hidden="1" x14ac:dyDescent="0.2">
      <c r="A906" t="s">
        <v>119</v>
      </c>
      <c r="B906" t="s">
        <v>120</v>
      </c>
      <c r="C906" t="s">
        <v>2210</v>
      </c>
      <c r="D906">
        <v>23</v>
      </c>
      <c r="E906" t="s">
        <v>145</v>
      </c>
      <c r="F906" t="s">
        <v>146</v>
      </c>
      <c r="G906" t="s">
        <v>124</v>
      </c>
      <c r="H906" t="s">
        <v>125</v>
      </c>
      <c r="I906">
        <v>19</v>
      </c>
      <c r="J906" t="s">
        <v>161</v>
      </c>
      <c r="K906" t="s">
        <v>125</v>
      </c>
      <c r="L906" t="s">
        <v>2217</v>
      </c>
    </row>
    <row r="907" spans="1:78" x14ac:dyDescent="0.2">
      <c r="A907" t="s">
        <v>119</v>
      </c>
      <c r="B907" t="s">
        <v>120</v>
      </c>
      <c r="C907" t="s">
        <v>2210</v>
      </c>
      <c r="D907">
        <v>28</v>
      </c>
      <c r="E907" t="s">
        <v>1412</v>
      </c>
      <c r="F907" t="s">
        <v>140</v>
      </c>
      <c r="G907" t="s">
        <v>124</v>
      </c>
      <c r="H907" t="s">
        <v>125</v>
      </c>
      <c r="I907">
        <v>23</v>
      </c>
      <c r="J907" t="s">
        <v>264</v>
      </c>
      <c r="K907" t="s">
        <v>125</v>
      </c>
      <c r="L907" t="s">
        <v>2218</v>
      </c>
      <c r="U907" t="s">
        <v>149</v>
      </c>
      <c r="W907" t="s">
        <v>135</v>
      </c>
      <c r="X907">
        <v>2</v>
      </c>
      <c r="AC907" t="s">
        <v>136</v>
      </c>
      <c r="AE907" t="s">
        <v>137</v>
      </c>
    </row>
    <row r="908" spans="1:78" hidden="1" x14ac:dyDescent="0.2">
      <c r="A908" t="s">
        <v>119</v>
      </c>
      <c r="B908" t="s">
        <v>120</v>
      </c>
      <c r="C908" t="s">
        <v>2219</v>
      </c>
      <c r="D908">
        <v>5</v>
      </c>
      <c r="E908" t="s">
        <v>205</v>
      </c>
      <c r="F908" t="s">
        <v>205</v>
      </c>
      <c r="G908" t="s">
        <v>124</v>
      </c>
      <c r="H908" t="s">
        <v>125</v>
      </c>
      <c r="I908">
        <v>11</v>
      </c>
      <c r="J908" t="s">
        <v>268</v>
      </c>
      <c r="K908" t="s">
        <v>125</v>
      </c>
      <c r="L908" t="s">
        <v>2220</v>
      </c>
      <c r="AE908" t="s">
        <v>128</v>
      </c>
      <c r="AG908">
        <v>4</v>
      </c>
      <c r="AH908" t="s">
        <v>375</v>
      </c>
      <c r="AI908" t="s">
        <v>130</v>
      </c>
      <c r="AJ908" t="s">
        <v>131</v>
      </c>
      <c r="AK908" t="s">
        <v>125</v>
      </c>
      <c r="AL908">
        <v>5</v>
      </c>
      <c r="AM908" t="s">
        <v>132</v>
      </c>
      <c r="AN908" t="s">
        <v>125</v>
      </c>
      <c r="AO908" t="s">
        <v>2221</v>
      </c>
      <c r="BP908" t="s">
        <v>149</v>
      </c>
      <c r="BR908" t="s">
        <v>135</v>
      </c>
      <c r="BS908">
        <v>2</v>
      </c>
      <c r="BX908" t="s">
        <v>136</v>
      </c>
      <c r="BZ908" t="s">
        <v>137</v>
      </c>
    </row>
    <row r="909" spans="1:78" x14ac:dyDescent="0.2">
      <c r="A909" t="s">
        <v>119</v>
      </c>
      <c r="B909" t="s">
        <v>120</v>
      </c>
      <c r="C909" t="s">
        <v>2219</v>
      </c>
      <c r="D909">
        <v>11</v>
      </c>
      <c r="E909" t="s">
        <v>2158</v>
      </c>
      <c r="F909" t="s">
        <v>2154</v>
      </c>
      <c r="G909" t="s">
        <v>124</v>
      </c>
      <c r="H909" t="s">
        <v>125</v>
      </c>
      <c r="I909">
        <v>0</v>
      </c>
      <c r="J909" t="s">
        <v>126</v>
      </c>
      <c r="K909" t="s">
        <v>125</v>
      </c>
      <c r="L909" t="s">
        <v>2222</v>
      </c>
      <c r="U909" t="s">
        <v>149</v>
      </c>
      <c r="W909" t="s">
        <v>135</v>
      </c>
      <c r="X909">
        <v>1</v>
      </c>
      <c r="AC909" t="s">
        <v>136</v>
      </c>
      <c r="AE909" t="s">
        <v>137</v>
      </c>
    </row>
    <row r="910" spans="1:78" x14ac:dyDescent="0.2">
      <c r="A910" t="s">
        <v>119</v>
      </c>
      <c r="B910" t="s">
        <v>120</v>
      </c>
      <c r="C910" t="s">
        <v>2223</v>
      </c>
      <c r="D910">
        <v>3</v>
      </c>
      <c r="E910" t="s">
        <v>145</v>
      </c>
      <c r="F910" t="s">
        <v>146</v>
      </c>
      <c r="G910" t="s">
        <v>124</v>
      </c>
      <c r="H910" t="s">
        <v>125</v>
      </c>
      <c r="I910">
        <v>0</v>
      </c>
      <c r="J910" t="s">
        <v>126</v>
      </c>
      <c r="K910" t="s">
        <v>125</v>
      </c>
      <c r="L910" t="s">
        <v>2224</v>
      </c>
      <c r="U910" t="s">
        <v>149</v>
      </c>
      <c r="W910" t="s">
        <v>135</v>
      </c>
      <c r="X910">
        <v>3</v>
      </c>
      <c r="AC910" t="s">
        <v>136</v>
      </c>
      <c r="AE910" t="s">
        <v>137</v>
      </c>
    </row>
    <row r="911" spans="1:78" x14ac:dyDescent="0.2">
      <c r="A911" t="s">
        <v>119</v>
      </c>
      <c r="B911" t="s">
        <v>120</v>
      </c>
      <c r="C911" t="s">
        <v>2225</v>
      </c>
      <c r="D911">
        <v>6</v>
      </c>
      <c r="E911" t="s">
        <v>616</v>
      </c>
      <c r="F911" t="s">
        <v>617</v>
      </c>
      <c r="G911" t="s">
        <v>124</v>
      </c>
      <c r="H911" t="s">
        <v>125</v>
      </c>
      <c r="I911">
        <v>0</v>
      </c>
      <c r="J911" t="s">
        <v>126</v>
      </c>
      <c r="K911" t="s">
        <v>125</v>
      </c>
      <c r="L911" t="s">
        <v>2226</v>
      </c>
      <c r="U911" t="s">
        <v>149</v>
      </c>
      <c r="W911" t="s">
        <v>135</v>
      </c>
      <c r="X911">
        <v>1</v>
      </c>
      <c r="AC911" t="s">
        <v>136</v>
      </c>
      <c r="AE911" t="s">
        <v>137</v>
      </c>
    </row>
    <row r="912" spans="1:78" x14ac:dyDescent="0.2">
      <c r="A912" t="s">
        <v>119</v>
      </c>
      <c r="B912" t="s">
        <v>120</v>
      </c>
      <c r="C912" t="s">
        <v>2225</v>
      </c>
      <c r="D912">
        <v>9</v>
      </c>
      <c r="E912" t="s">
        <v>457</v>
      </c>
      <c r="F912" t="s">
        <v>458</v>
      </c>
      <c r="G912" t="s">
        <v>124</v>
      </c>
      <c r="H912" t="s">
        <v>125</v>
      </c>
      <c r="I912">
        <v>6</v>
      </c>
      <c r="J912" t="s">
        <v>199</v>
      </c>
      <c r="K912" t="s">
        <v>125</v>
      </c>
      <c r="L912" t="s">
        <v>2227</v>
      </c>
      <c r="U912" t="s">
        <v>149</v>
      </c>
      <c r="W912" t="s">
        <v>135</v>
      </c>
      <c r="X912">
        <v>3</v>
      </c>
      <c r="AC912" t="s">
        <v>136</v>
      </c>
      <c r="AE912" t="s">
        <v>137</v>
      </c>
    </row>
    <row r="913" spans="1:78" x14ac:dyDescent="0.2">
      <c r="A913" t="s">
        <v>119</v>
      </c>
      <c r="B913" t="s">
        <v>120</v>
      </c>
      <c r="C913" t="s">
        <v>2225</v>
      </c>
      <c r="D913">
        <v>10</v>
      </c>
      <c r="E913" t="s">
        <v>145</v>
      </c>
      <c r="F913" t="s">
        <v>146</v>
      </c>
      <c r="G913" t="s">
        <v>124</v>
      </c>
      <c r="H913" t="s">
        <v>125</v>
      </c>
      <c r="I913">
        <v>6</v>
      </c>
      <c r="J913" t="s">
        <v>367</v>
      </c>
      <c r="K913" t="s">
        <v>125</v>
      </c>
      <c r="L913" t="s">
        <v>2228</v>
      </c>
      <c r="U913" t="s">
        <v>149</v>
      </c>
      <c r="W913" t="s">
        <v>135</v>
      </c>
      <c r="X913">
        <v>3</v>
      </c>
      <c r="AC913" t="s">
        <v>136</v>
      </c>
      <c r="AE913" t="s">
        <v>137</v>
      </c>
    </row>
    <row r="914" spans="1:78" x14ac:dyDescent="0.2">
      <c r="A914" t="s">
        <v>119</v>
      </c>
      <c r="B914" t="s">
        <v>120</v>
      </c>
      <c r="C914" t="s">
        <v>2229</v>
      </c>
      <c r="D914">
        <v>8</v>
      </c>
      <c r="E914" t="s">
        <v>2158</v>
      </c>
      <c r="F914" t="s">
        <v>2154</v>
      </c>
      <c r="G914" t="s">
        <v>124</v>
      </c>
      <c r="H914" t="s">
        <v>125</v>
      </c>
      <c r="I914">
        <v>0</v>
      </c>
      <c r="J914" t="s">
        <v>126</v>
      </c>
      <c r="K914" t="s">
        <v>125</v>
      </c>
      <c r="L914" t="s">
        <v>2230</v>
      </c>
      <c r="U914" t="s">
        <v>149</v>
      </c>
      <c r="W914" t="s">
        <v>135</v>
      </c>
      <c r="X914">
        <v>1</v>
      </c>
      <c r="AC914" t="s">
        <v>136</v>
      </c>
      <c r="AE914" t="s">
        <v>137</v>
      </c>
    </row>
    <row r="915" spans="1:78" x14ac:dyDescent="0.2">
      <c r="A915" t="s">
        <v>119</v>
      </c>
      <c r="B915" t="s">
        <v>120</v>
      </c>
      <c r="C915" t="s">
        <v>2231</v>
      </c>
      <c r="D915">
        <v>1</v>
      </c>
      <c r="E915" t="s">
        <v>1360</v>
      </c>
      <c r="F915" t="s">
        <v>350</v>
      </c>
      <c r="G915" t="s">
        <v>124</v>
      </c>
      <c r="H915" t="s">
        <v>125</v>
      </c>
      <c r="I915">
        <v>0</v>
      </c>
      <c r="J915" t="s">
        <v>126</v>
      </c>
      <c r="K915" t="s">
        <v>125</v>
      </c>
      <c r="L915" t="s">
        <v>2232</v>
      </c>
      <c r="U915" t="s">
        <v>149</v>
      </c>
      <c r="W915" t="s">
        <v>135</v>
      </c>
      <c r="X915">
        <v>3</v>
      </c>
      <c r="AC915" t="s">
        <v>136</v>
      </c>
      <c r="AE915" t="s">
        <v>137</v>
      </c>
    </row>
    <row r="916" spans="1:78" x14ac:dyDescent="0.2">
      <c r="A916" t="s">
        <v>119</v>
      </c>
      <c r="B916" t="s">
        <v>120</v>
      </c>
      <c r="C916" t="s">
        <v>2233</v>
      </c>
      <c r="D916">
        <v>1</v>
      </c>
      <c r="E916" t="s">
        <v>2234</v>
      </c>
      <c r="F916" t="s">
        <v>2235</v>
      </c>
      <c r="G916" t="s">
        <v>124</v>
      </c>
      <c r="H916" t="s">
        <v>125</v>
      </c>
      <c r="I916">
        <v>0</v>
      </c>
      <c r="J916" t="s">
        <v>126</v>
      </c>
      <c r="K916" t="s">
        <v>125</v>
      </c>
      <c r="L916" t="s">
        <v>2236</v>
      </c>
      <c r="U916" t="s">
        <v>149</v>
      </c>
      <c r="W916" t="s">
        <v>155</v>
      </c>
      <c r="X916">
        <v>1</v>
      </c>
      <c r="AC916" t="s">
        <v>136</v>
      </c>
      <c r="AE916" t="s">
        <v>137</v>
      </c>
    </row>
    <row r="917" spans="1:78" hidden="1" x14ac:dyDescent="0.2">
      <c r="A917" t="s">
        <v>119</v>
      </c>
      <c r="B917" t="s">
        <v>120</v>
      </c>
      <c r="C917" t="s">
        <v>2237</v>
      </c>
      <c r="D917">
        <v>4</v>
      </c>
      <c r="E917" t="s">
        <v>2238</v>
      </c>
      <c r="F917" t="s">
        <v>2154</v>
      </c>
      <c r="G917" t="s">
        <v>124</v>
      </c>
      <c r="H917" t="s">
        <v>125</v>
      </c>
      <c r="I917">
        <v>0</v>
      </c>
      <c r="J917" t="s">
        <v>126</v>
      </c>
      <c r="K917" t="s">
        <v>125</v>
      </c>
      <c r="L917" t="s">
        <v>2239</v>
      </c>
      <c r="T917" t="s">
        <v>154</v>
      </c>
      <c r="W917" t="s">
        <v>135</v>
      </c>
      <c r="AC917" t="s">
        <v>143</v>
      </c>
      <c r="AE917" t="s">
        <v>144</v>
      </c>
      <c r="AG917">
        <v>3</v>
      </c>
      <c r="AH917" t="s">
        <v>204</v>
      </c>
      <c r="AI917" t="s">
        <v>205</v>
      </c>
      <c r="AJ917" t="s">
        <v>131</v>
      </c>
      <c r="AK917" t="s">
        <v>125</v>
      </c>
      <c r="AL917">
        <v>4</v>
      </c>
      <c r="AM917" t="s">
        <v>132</v>
      </c>
      <c r="AN917" t="s">
        <v>125</v>
      </c>
      <c r="AO917" t="s">
        <v>2240</v>
      </c>
      <c r="BP917" t="s">
        <v>149</v>
      </c>
      <c r="BR917" t="s">
        <v>135</v>
      </c>
      <c r="BS917">
        <v>1</v>
      </c>
      <c r="BX917" t="s">
        <v>136</v>
      </c>
      <c r="BZ917" t="s">
        <v>137</v>
      </c>
    </row>
    <row r="918" spans="1:78" hidden="1" x14ac:dyDescent="0.2">
      <c r="A918" t="s">
        <v>119</v>
      </c>
      <c r="B918" t="s">
        <v>120</v>
      </c>
      <c r="C918" t="s">
        <v>2241</v>
      </c>
      <c r="D918">
        <v>5</v>
      </c>
      <c r="E918" t="s">
        <v>2242</v>
      </c>
      <c r="F918" t="s">
        <v>1886</v>
      </c>
      <c r="G918" t="s">
        <v>124</v>
      </c>
      <c r="H918" t="s">
        <v>125</v>
      </c>
      <c r="I918">
        <v>0</v>
      </c>
      <c r="J918" t="s">
        <v>126</v>
      </c>
      <c r="K918" t="s">
        <v>125</v>
      </c>
      <c r="L918" t="s">
        <v>2243</v>
      </c>
      <c r="AE918" t="s">
        <v>128</v>
      </c>
      <c r="AG918">
        <v>4</v>
      </c>
      <c r="AH918" t="s">
        <v>1515</v>
      </c>
      <c r="AI918" t="s">
        <v>572</v>
      </c>
      <c r="AJ918" t="s">
        <v>131</v>
      </c>
      <c r="AK918" t="s">
        <v>125</v>
      </c>
      <c r="AL918">
        <v>5</v>
      </c>
      <c r="AM918" t="s">
        <v>132</v>
      </c>
      <c r="AN918" t="s">
        <v>125</v>
      </c>
      <c r="AO918" t="s">
        <v>2244</v>
      </c>
      <c r="BP918" t="s">
        <v>149</v>
      </c>
      <c r="BR918" t="s">
        <v>135</v>
      </c>
      <c r="BS918">
        <v>2</v>
      </c>
      <c r="BX918" t="s">
        <v>136</v>
      </c>
      <c r="BZ918" t="s">
        <v>137</v>
      </c>
    </row>
    <row r="919" spans="1:78" x14ac:dyDescent="0.2">
      <c r="A919" t="s">
        <v>119</v>
      </c>
      <c r="B919" t="s">
        <v>120</v>
      </c>
      <c r="C919" t="s">
        <v>2245</v>
      </c>
      <c r="D919">
        <v>2</v>
      </c>
      <c r="E919" t="s">
        <v>801</v>
      </c>
      <c r="F919" t="s">
        <v>667</v>
      </c>
      <c r="G919" t="s">
        <v>124</v>
      </c>
      <c r="H919" t="s">
        <v>125</v>
      </c>
      <c r="I919">
        <v>0</v>
      </c>
      <c r="J919" t="s">
        <v>126</v>
      </c>
      <c r="K919" t="s">
        <v>125</v>
      </c>
      <c r="L919" t="s">
        <v>2246</v>
      </c>
      <c r="U919" t="s">
        <v>149</v>
      </c>
      <c r="W919" t="s">
        <v>135</v>
      </c>
      <c r="X919">
        <v>2</v>
      </c>
      <c r="AC919" t="s">
        <v>136</v>
      </c>
      <c r="AE919" t="s">
        <v>137</v>
      </c>
    </row>
    <row r="920" spans="1:78" x14ac:dyDescent="0.2">
      <c r="A920" t="s">
        <v>119</v>
      </c>
      <c r="B920" t="s">
        <v>120</v>
      </c>
      <c r="C920" t="s">
        <v>2247</v>
      </c>
      <c r="D920">
        <v>3</v>
      </c>
      <c r="E920" t="s">
        <v>801</v>
      </c>
      <c r="F920" t="s">
        <v>667</v>
      </c>
      <c r="G920" t="s">
        <v>124</v>
      </c>
      <c r="H920" t="s">
        <v>125</v>
      </c>
      <c r="I920">
        <v>1</v>
      </c>
      <c r="J920" t="s">
        <v>161</v>
      </c>
      <c r="K920" t="s">
        <v>125</v>
      </c>
      <c r="L920" t="s">
        <v>2248</v>
      </c>
      <c r="U920" t="s">
        <v>149</v>
      </c>
      <c r="W920" t="s">
        <v>135</v>
      </c>
      <c r="X920">
        <v>2</v>
      </c>
      <c r="AC920" t="s">
        <v>136</v>
      </c>
      <c r="AE920" t="s">
        <v>137</v>
      </c>
    </row>
    <row r="921" spans="1:78" x14ac:dyDescent="0.2">
      <c r="A921" t="s">
        <v>119</v>
      </c>
      <c r="B921" t="s">
        <v>120</v>
      </c>
      <c r="C921" t="s">
        <v>2247</v>
      </c>
      <c r="D921">
        <v>7</v>
      </c>
      <c r="E921" t="s">
        <v>1903</v>
      </c>
      <c r="F921" t="s">
        <v>1886</v>
      </c>
      <c r="G921" t="s">
        <v>124</v>
      </c>
      <c r="H921" t="s">
        <v>125</v>
      </c>
      <c r="I921">
        <v>3</v>
      </c>
      <c r="J921" t="s">
        <v>264</v>
      </c>
      <c r="K921" t="s">
        <v>125</v>
      </c>
      <c r="L921" t="s">
        <v>2249</v>
      </c>
      <c r="U921" t="s">
        <v>149</v>
      </c>
      <c r="W921" t="s">
        <v>135</v>
      </c>
      <c r="X921">
        <v>1</v>
      </c>
      <c r="AC921" t="s">
        <v>136</v>
      </c>
      <c r="AE921" t="s">
        <v>137</v>
      </c>
    </row>
    <row r="922" spans="1:78" x14ac:dyDescent="0.2">
      <c r="A922" t="s">
        <v>119</v>
      </c>
      <c r="B922" t="s">
        <v>120</v>
      </c>
      <c r="C922" t="s">
        <v>2250</v>
      </c>
      <c r="D922">
        <v>1</v>
      </c>
      <c r="E922" t="s">
        <v>801</v>
      </c>
      <c r="F922" t="s">
        <v>667</v>
      </c>
      <c r="G922" t="s">
        <v>124</v>
      </c>
      <c r="H922" t="s">
        <v>125</v>
      </c>
      <c r="I922">
        <v>0</v>
      </c>
      <c r="J922" t="s">
        <v>126</v>
      </c>
      <c r="K922" t="s">
        <v>125</v>
      </c>
      <c r="L922" t="s">
        <v>2251</v>
      </c>
      <c r="U922" t="s">
        <v>149</v>
      </c>
      <c r="W922" t="s">
        <v>135</v>
      </c>
      <c r="X922">
        <v>2</v>
      </c>
      <c r="AC922" t="s">
        <v>136</v>
      </c>
      <c r="AE922" t="s">
        <v>137</v>
      </c>
    </row>
    <row r="923" spans="1:78" x14ac:dyDescent="0.2">
      <c r="A923" t="s">
        <v>119</v>
      </c>
      <c r="B923" t="s">
        <v>120</v>
      </c>
      <c r="C923" t="s">
        <v>2252</v>
      </c>
      <c r="D923">
        <v>1</v>
      </c>
      <c r="E923" t="s">
        <v>1537</v>
      </c>
      <c r="F923" t="s">
        <v>1538</v>
      </c>
      <c r="G923" t="s">
        <v>124</v>
      </c>
      <c r="H923" t="s">
        <v>125</v>
      </c>
      <c r="I923">
        <v>3</v>
      </c>
      <c r="J923" t="s">
        <v>182</v>
      </c>
      <c r="K923" t="s">
        <v>125</v>
      </c>
      <c r="L923" t="s">
        <v>2253</v>
      </c>
      <c r="U923" t="s">
        <v>209</v>
      </c>
      <c r="W923" t="s">
        <v>135</v>
      </c>
      <c r="X923">
        <v>2</v>
      </c>
      <c r="AC923" t="s">
        <v>136</v>
      </c>
      <c r="AE923" t="s">
        <v>137</v>
      </c>
    </row>
    <row r="924" spans="1:78" x14ac:dyDescent="0.2">
      <c r="A924" t="s">
        <v>119</v>
      </c>
      <c r="B924" t="s">
        <v>120</v>
      </c>
      <c r="C924" t="s">
        <v>2252</v>
      </c>
      <c r="D924">
        <v>3</v>
      </c>
      <c r="E924" t="s">
        <v>924</v>
      </c>
      <c r="F924" t="s">
        <v>667</v>
      </c>
      <c r="G924" t="s">
        <v>124</v>
      </c>
      <c r="H924" t="s">
        <v>125</v>
      </c>
      <c r="I924">
        <v>0</v>
      </c>
      <c r="J924" t="s">
        <v>126</v>
      </c>
      <c r="K924" t="s">
        <v>125</v>
      </c>
      <c r="L924" t="s">
        <v>2254</v>
      </c>
      <c r="U924" t="s">
        <v>134</v>
      </c>
      <c r="W924" t="s">
        <v>135</v>
      </c>
      <c r="X924">
        <v>1</v>
      </c>
      <c r="AC924" t="s">
        <v>136</v>
      </c>
      <c r="AE924" t="s">
        <v>137</v>
      </c>
    </row>
    <row r="925" spans="1:78" x14ac:dyDescent="0.2">
      <c r="A925" t="s">
        <v>119</v>
      </c>
      <c r="B925" t="s">
        <v>120</v>
      </c>
      <c r="C925" t="s">
        <v>2252</v>
      </c>
      <c r="D925">
        <v>7</v>
      </c>
      <c r="E925" t="s">
        <v>1674</v>
      </c>
      <c r="F925" t="s">
        <v>261</v>
      </c>
      <c r="G925" t="s">
        <v>124</v>
      </c>
      <c r="H925" t="s">
        <v>125</v>
      </c>
      <c r="I925">
        <v>3</v>
      </c>
      <c r="J925" t="s">
        <v>161</v>
      </c>
      <c r="K925" t="s">
        <v>125</v>
      </c>
      <c r="L925" t="s">
        <v>2255</v>
      </c>
      <c r="U925" t="s">
        <v>149</v>
      </c>
      <c r="W925" t="s">
        <v>135</v>
      </c>
      <c r="X925">
        <v>1</v>
      </c>
      <c r="AC925" t="s">
        <v>136</v>
      </c>
      <c r="AE925" t="s">
        <v>137</v>
      </c>
    </row>
    <row r="926" spans="1:78" x14ac:dyDescent="0.2">
      <c r="A926" t="s">
        <v>119</v>
      </c>
      <c r="B926" t="s">
        <v>120</v>
      </c>
      <c r="C926" t="s">
        <v>2256</v>
      </c>
      <c r="D926">
        <v>8</v>
      </c>
      <c r="E926" t="s">
        <v>2257</v>
      </c>
      <c r="F926" t="s">
        <v>2258</v>
      </c>
      <c r="G926" t="s">
        <v>124</v>
      </c>
      <c r="H926" t="s">
        <v>125</v>
      </c>
      <c r="I926">
        <v>0</v>
      </c>
      <c r="J926" t="s">
        <v>126</v>
      </c>
      <c r="K926" t="s">
        <v>125</v>
      </c>
      <c r="L926" t="s">
        <v>2259</v>
      </c>
      <c r="U926" t="s">
        <v>149</v>
      </c>
      <c r="W926" t="s">
        <v>155</v>
      </c>
      <c r="X926">
        <v>1</v>
      </c>
      <c r="AC926" t="s">
        <v>136</v>
      </c>
      <c r="AE926" t="s">
        <v>137</v>
      </c>
    </row>
    <row r="927" spans="1:78" hidden="1" x14ac:dyDescent="0.2">
      <c r="A927" t="s">
        <v>119</v>
      </c>
      <c r="B927" t="s">
        <v>120</v>
      </c>
      <c r="C927" t="s">
        <v>2260</v>
      </c>
      <c r="D927">
        <v>5</v>
      </c>
      <c r="E927" t="s">
        <v>2261</v>
      </c>
      <c r="F927" t="s">
        <v>2258</v>
      </c>
      <c r="G927" t="s">
        <v>124</v>
      </c>
      <c r="H927" t="s">
        <v>125</v>
      </c>
      <c r="I927">
        <v>2</v>
      </c>
      <c r="J927" t="s">
        <v>161</v>
      </c>
      <c r="K927" t="s">
        <v>125</v>
      </c>
      <c r="L927" t="s">
        <v>2262</v>
      </c>
      <c r="AE927" t="s">
        <v>128</v>
      </c>
      <c r="AG927">
        <v>4</v>
      </c>
      <c r="AH927" t="s">
        <v>801</v>
      </c>
      <c r="AI927" t="s">
        <v>667</v>
      </c>
      <c r="AJ927" t="s">
        <v>131</v>
      </c>
      <c r="AK927" t="s">
        <v>125</v>
      </c>
      <c r="AL927">
        <v>5</v>
      </c>
      <c r="AM927" t="s">
        <v>132</v>
      </c>
      <c r="AN927" t="s">
        <v>125</v>
      </c>
      <c r="AO927" t="s">
        <v>2263</v>
      </c>
      <c r="BP927" t="s">
        <v>149</v>
      </c>
      <c r="BR927" t="s">
        <v>135</v>
      </c>
      <c r="BS927">
        <v>2</v>
      </c>
      <c r="BX927" t="s">
        <v>136</v>
      </c>
      <c r="BZ927" t="s">
        <v>137</v>
      </c>
    </row>
    <row r="928" spans="1:78" hidden="1" x14ac:dyDescent="0.2">
      <c r="A928" t="s">
        <v>119</v>
      </c>
      <c r="B928" t="s">
        <v>120</v>
      </c>
      <c r="C928" t="s">
        <v>2264</v>
      </c>
      <c r="D928">
        <v>9</v>
      </c>
      <c r="E928" t="s">
        <v>2261</v>
      </c>
      <c r="F928" t="s">
        <v>2258</v>
      </c>
      <c r="G928" t="s">
        <v>124</v>
      </c>
      <c r="H928" t="s">
        <v>125</v>
      </c>
      <c r="I928">
        <v>0</v>
      </c>
      <c r="J928" t="s">
        <v>126</v>
      </c>
      <c r="K928" t="s">
        <v>125</v>
      </c>
      <c r="L928" t="s">
        <v>2265</v>
      </c>
      <c r="AE928" t="s">
        <v>128</v>
      </c>
      <c r="AG928">
        <v>8</v>
      </c>
      <c r="AH928" t="s">
        <v>1405</v>
      </c>
      <c r="AI928" t="s">
        <v>130</v>
      </c>
      <c r="AJ928" t="s">
        <v>131</v>
      </c>
      <c r="AK928" t="s">
        <v>125</v>
      </c>
      <c r="AL928">
        <v>9</v>
      </c>
      <c r="AM928" t="s">
        <v>132</v>
      </c>
      <c r="AN928" t="s">
        <v>125</v>
      </c>
      <c r="AO928" t="s">
        <v>2266</v>
      </c>
      <c r="BP928" t="s">
        <v>149</v>
      </c>
      <c r="BR928" t="s">
        <v>155</v>
      </c>
      <c r="BS928">
        <v>1</v>
      </c>
      <c r="BX928" t="s">
        <v>136</v>
      </c>
      <c r="BZ928" t="s">
        <v>137</v>
      </c>
    </row>
    <row r="929" spans="1:78" x14ac:dyDescent="0.2">
      <c r="A929" t="s">
        <v>119</v>
      </c>
      <c r="B929" t="s">
        <v>120</v>
      </c>
      <c r="C929" t="s">
        <v>2267</v>
      </c>
      <c r="D929">
        <v>8</v>
      </c>
      <c r="E929" t="s">
        <v>2268</v>
      </c>
      <c r="F929" t="s">
        <v>1659</v>
      </c>
      <c r="G929" t="s">
        <v>124</v>
      </c>
      <c r="H929" t="s">
        <v>125</v>
      </c>
      <c r="I929">
        <v>0</v>
      </c>
      <c r="J929" t="s">
        <v>126</v>
      </c>
      <c r="K929" t="s">
        <v>125</v>
      </c>
      <c r="L929" t="s">
        <v>2269</v>
      </c>
      <c r="U929" t="s">
        <v>149</v>
      </c>
      <c r="W929" t="s">
        <v>135</v>
      </c>
      <c r="X929">
        <v>2</v>
      </c>
      <c r="AC929" t="s">
        <v>136</v>
      </c>
      <c r="AE929" t="s">
        <v>137</v>
      </c>
    </row>
    <row r="930" spans="1:78" hidden="1" x14ac:dyDescent="0.2">
      <c r="A930" t="s">
        <v>119</v>
      </c>
      <c r="B930" t="s">
        <v>120</v>
      </c>
      <c r="C930" t="s">
        <v>2270</v>
      </c>
      <c r="D930">
        <v>3</v>
      </c>
      <c r="E930" t="s">
        <v>140</v>
      </c>
      <c r="F930" t="s">
        <v>140</v>
      </c>
      <c r="G930" t="s">
        <v>124</v>
      </c>
      <c r="H930" t="s">
        <v>125</v>
      </c>
      <c r="I930">
        <v>0</v>
      </c>
      <c r="J930" t="s">
        <v>126</v>
      </c>
      <c r="K930" t="s">
        <v>125</v>
      </c>
      <c r="L930" t="s">
        <v>2271</v>
      </c>
      <c r="AE930" t="s">
        <v>128</v>
      </c>
      <c r="AG930">
        <v>2</v>
      </c>
      <c r="AH930" t="s">
        <v>1339</v>
      </c>
      <c r="AI930" t="s">
        <v>130</v>
      </c>
      <c r="AJ930" t="s">
        <v>131</v>
      </c>
      <c r="AK930" t="s">
        <v>125</v>
      </c>
      <c r="AL930">
        <v>3</v>
      </c>
      <c r="AM930" t="s">
        <v>132</v>
      </c>
      <c r="AN930" t="s">
        <v>125</v>
      </c>
      <c r="AO930" t="s">
        <v>2272</v>
      </c>
      <c r="BP930" t="s">
        <v>149</v>
      </c>
      <c r="BR930" t="s">
        <v>135</v>
      </c>
      <c r="BS930">
        <v>1</v>
      </c>
      <c r="BX930" t="s">
        <v>136</v>
      </c>
      <c r="BZ930" t="s">
        <v>137</v>
      </c>
    </row>
    <row r="931" spans="1:78" hidden="1" x14ac:dyDescent="0.2">
      <c r="A931" t="s">
        <v>119</v>
      </c>
      <c r="B931" t="s">
        <v>120</v>
      </c>
      <c r="C931" t="s">
        <v>2273</v>
      </c>
      <c r="D931">
        <v>7</v>
      </c>
      <c r="E931" t="s">
        <v>1073</v>
      </c>
      <c r="F931" t="s">
        <v>311</v>
      </c>
      <c r="G931" t="s">
        <v>124</v>
      </c>
      <c r="H931" t="s">
        <v>125</v>
      </c>
      <c r="I931">
        <v>0</v>
      </c>
      <c r="J931" t="s">
        <v>126</v>
      </c>
      <c r="K931" t="s">
        <v>125</v>
      </c>
      <c r="L931" t="s">
        <v>2274</v>
      </c>
      <c r="U931" t="s">
        <v>149</v>
      </c>
      <c r="W931" t="s">
        <v>135</v>
      </c>
      <c r="X931">
        <v>1</v>
      </c>
      <c r="AC931" t="s">
        <v>209</v>
      </c>
      <c r="AE931" t="s">
        <v>137</v>
      </c>
    </row>
    <row r="932" spans="1:78" x14ac:dyDescent="0.2">
      <c r="A932" t="s">
        <v>119</v>
      </c>
      <c r="B932" t="s">
        <v>120</v>
      </c>
      <c r="C932" t="s">
        <v>2273</v>
      </c>
      <c r="D932">
        <v>10</v>
      </c>
      <c r="E932" t="s">
        <v>197</v>
      </c>
      <c r="F932" t="s">
        <v>198</v>
      </c>
      <c r="G932" t="s">
        <v>124</v>
      </c>
      <c r="H932" t="s">
        <v>125</v>
      </c>
      <c r="I932">
        <v>7</v>
      </c>
      <c r="J932" t="s">
        <v>199</v>
      </c>
      <c r="K932" t="s">
        <v>125</v>
      </c>
      <c r="L932" t="s">
        <v>2275</v>
      </c>
      <c r="U932" t="s">
        <v>149</v>
      </c>
      <c r="W932" t="s">
        <v>135</v>
      </c>
      <c r="X932">
        <v>1</v>
      </c>
      <c r="AC932" t="s">
        <v>136</v>
      </c>
      <c r="AE932" t="s">
        <v>137</v>
      </c>
    </row>
    <row r="933" spans="1:78" hidden="1" x14ac:dyDescent="0.2">
      <c r="A933" t="s">
        <v>119</v>
      </c>
      <c r="B933" t="s">
        <v>120</v>
      </c>
      <c r="C933" t="s">
        <v>2273</v>
      </c>
      <c r="D933">
        <v>18</v>
      </c>
      <c r="E933" t="s">
        <v>2276</v>
      </c>
      <c r="F933" t="s">
        <v>1886</v>
      </c>
      <c r="G933" t="s">
        <v>124</v>
      </c>
      <c r="H933" t="s">
        <v>125</v>
      </c>
      <c r="I933">
        <v>7</v>
      </c>
      <c r="J933" t="s">
        <v>386</v>
      </c>
      <c r="K933" t="s">
        <v>125</v>
      </c>
      <c r="L933" t="s">
        <v>2277</v>
      </c>
      <c r="AE933" t="s">
        <v>128</v>
      </c>
    </row>
    <row r="934" spans="1:78" hidden="1" x14ac:dyDescent="0.2">
      <c r="A934" t="s">
        <v>119</v>
      </c>
      <c r="B934" t="s">
        <v>120</v>
      </c>
      <c r="C934" t="s">
        <v>2278</v>
      </c>
      <c r="D934">
        <v>9</v>
      </c>
      <c r="E934" t="s">
        <v>2279</v>
      </c>
      <c r="F934" t="s">
        <v>2279</v>
      </c>
      <c r="G934" t="s">
        <v>124</v>
      </c>
      <c r="H934" t="s">
        <v>125</v>
      </c>
      <c r="I934">
        <v>0</v>
      </c>
      <c r="J934" t="s">
        <v>126</v>
      </c>
      <c r="K934" t="s">
        <v>125</v>
      </c>
      <c r="L934" t="s">
        <v>2280</v>
      </c>
      <c r="AE934" t="s">
        <v>128</v>
      </c>
      <c r="AG934">
        <v>8</v>
      </c>
      <c r="AH934" t="s">
        <v>1405</v>
      </c>
      <c r="AI934" t="s">
        <v>130</v>
      </c>
      <c r="AJ934" t="s">
        <v>131</v>
      </c>
      <c r="AK934" t="s">
        <v>125</v>
      </c>
      <c r="AL934">
        <v>9</v>
      </c>
      <c r="AM934" t="s">
        <v>132</v>
      </c>
      <c r="AN934" t="s">
        <v>125</v>
      </c>
      <c r="AO934" t="s">
        <v>2281</v>
      </c>
      <c r="BP934" t="s">
        <v>149</v>
      </c>
      <c r="BR934" t="s">
        <v>155</v>
      </c>
      <c r="BS934">
        <v>1</v>
      </c>
      <c r="BX934" t="s">
        <v>136</v>
      </c>
      <c r="BZ934" t="s">
        <v>137</v>
      </c>
    </row>
    <row r="935" spans="1:78" hidden="1" x14ac:dyDescent="0.2">
      <c r="A935" t="s">
        <v>119</v>
      </c>
      <c r="B935" t="s">
        <v>120</v>
      </c>
      <c r="C935" t="s">
        <v>2282</v>
      </c>
      <c r="D935">
        <v>5</v>
      </c>
      <c r="E935" t="s">
        <v>140</v>
      </c>
      <c r="F935" t="s">
        <v>140</v>
      </c>
      <c r="G935" t="s">
        <v>124</v>
      </c>
      <c r="H935" t="s">
        <v>125</v>
      </c>
      <c r="I935">
        <v>0</v>
      </c>
      <c r="J935" t="s">
        <v>126</v>
      </c>
      <c r="K935" t="s">
        <v>125</v>
      </c>
      <c r="L935" t="s">
        <v>2283</v>
      </c>
      <c r="AE935" t="s">
        <v>128</v>
      </c>
      <c r="AG935">
        <v>4</v>
      </c>
      <c r="AH935" t="s">
        <v>1405</v>
      </c>
      <c r="AI935" t="s">
        <v>130</v>
      </c>
      <c r="AJ935" t="s">
        <v>131</v>
      </c>
      <c r="AK935" t="s">
        <v>125</v>
      </c>
      <c r="AL935">
        <v>5</v>
      </c>
      <c r="AM935" t="s">
        <v>132</v>
      </c>
      <c r="AN935" t="s">
        <v>125</v>
      </c>
      <c r="AO935" t="s">
        <v>2284</v>
      </c>
      <c r="BP935" t="s">
        <v>149</v>
      </c>
      <c r="BR935" t="s">
        <v>155</v>
      </c>
      <c r="BS935">
        <v>1</v>
      </c>
      <c r="BX935" t="s">
        <v>136</v>
      </c>
      <c r="BZ935" t="s">
        <v>137</v>
      </c>
    </row>
    <row r="936" spans="1:78" hidden="1" x14ac:dyDescent="0.2">
      <c r="A936" t="s">
        <v>119</v>
      </c>
      <c r="B936" t="s">
        <v>120</v>
      </c>
      <c r="C936" t="s">
        <v>2285</v>
      </c>
      <c r="D936">
        <v>2</v>
      </c>
      <c r="E936" t="s">
        <v>1073</v>
      </c>
      <c r="F936" t="s">
        <v>311</v>
      </c>
      <c r="G936" t="s">
        <v>124</v>
      </c>
      <c r="H936" t="s">
        <v>125</v>
      </c>
      <c r="I936">
        <v>0</v>
      </c>
      <c r="J936" t="s">
        <v>126</v>
      </c>
      <c r="K936" t="s">
        <v>125</v>
      </c>
      <c r="L936" t="s">
        <v>2286</v>
      </c>
      <c r="U936" t="s">
        <v>149</v>
      </c>
      <c r="W936" t="s">
        <v>135</v>
      </c>
      <c r="X936">
        <v>1</v>
      </c>
      <c r="AC936" t="s">
        <v>209</v>
      </c>
      <c r="AE936" t="s">
        <v>137</v>
      </c>
    </row>
    <row r="937" spans="1:78" hidden="1" x14ac:dyDescent="0.2">
      <c r="A937" t="s">
        <v>119</v>
      </c>
      <c r="B937" t="s">
        <v>120</v>
      </c>
      <c r="C937" t="s">
        <v>2285</v>
      </c>
      <c r="D937">
        <v>4</v>
      </c>
      <c r="E937" t="s">
        <v>390</v>
      </c>
      <c r="F937" t="s">
        <v>390</v>
      </c>
      <c r="G937" t="s">
        <v>124</v>
      </c>
      <c r="H937" t="s">
        <v>125</v>
      </c>
      <c r="I937">
        <v>2</v>
      </c>
      <c r="J937" t="s">
        <v>294</v>
      </c>
      <c r="K937" t="s">
        <v>125</v>
      </c>
      <c r="L937" t="s">
        <v>2287</v>
      </c>
      <c r="AE937" t="s">
        <v>128</v>
      </c>
    </row>
    <row r="938" spans="1:78" x14ac:dyDescent="0.2">
      <c r="A938" t="s">
        <v>119</v>
      </c>
      <c r="B938" t="s">
        <v>120</v>
      </c>
      <c r="C938" t="s">
        <v>2285</v>
      </c>
      <c r="D938">
        <v>7</v>
      </c>
      <c r="E938" t="s">
        <v>197</v>
      </c>
      <c r="F938" t="s">
        <v>198</v>
      </c>
      <c r="G938" t="s">
        <v>124</v>
      </c>
      <c r="H938" t="s">
        <v>125</v>
      </c>
      <c r="I938">
        <v>2</v>
      </c>
      <c r="J938" t="s">
        <v>161</v>
      </c>
      <c r="K938" t="s">
        <v>125</v>
      </c>
      <c r="L938" t="s">
        <v>2288</v>
      </c>
      <c r="U938" t="s">
        <v>149</v>
      </c>
      <c r="W938" t="s">
        <v>135</v>
      </c>
      <c r="X938">
        <v>1</v>
      </c>
      <c r="AC938" t="s">
        <v>136</v>
      </c>
      <c r="AE938" t="s">
        <v>137</v>
      </c>
    </row>
    <row r="939" spans="1:78" x14ac:dyDescent="0.2">
      <c r="A939" t="s">
        <v>119</v>
      </c>
      <c r="B939" t="s">
        <v>120</v>
      </c>
      <c r="C939" t="s">
        <v>2285</v>
      </c>
      <c r="D939">
        <v>12</v>
      </c>
      <c r="E939" t="s">
        <v>218</v>
      </c>
      <c r="F939" t="s">
        <v>205</v>
      </c>
      <c r="G939" t="s">
        <v>124</v>
      </c>
      <c r="H939" t="s">
        <v>125</v>
      </c>
      <c r="I939">
        <v>7</v>
      </c>
      <c r="J939" t="s">
        <v>264</v>
      </c>
      <c r="K939" t="s">
        <v>125</v>
      </c>
      <c r="L939" t="s">
        <v>2289</v>
      </c>
      <c r="U939" t="s">
        <v>149</v>
      </c>
      <c r="W939" t="s">
        <v>155</v>
      </c>
      <c r="X939">
        <v>3</v>
      </c>
      <c r="AC939" t="s">
        <v>136</v>
      </c>
      <c r="AE939" t="s">
        <v>137</v>
      </c>
    </row>
    <row r="940" spans="1:78" hidden="1" x14ac:dyDescent="0.2">
      <c r="A940" t="s">
        <v>119</v>
      </c>
      <c r="B940" t="s">
        <v>120</v>
      </c>
      <c r="C940" t="s">
        <v>2285</v>
      </c>
      <c r="D940">
        <v>15</v>
      </c>
      <c r="E940" t="s">
        <v>140</v>
      </c>
      <c r="F940" t="s">
        <v>140</v>
      </c>
      <c r="G940" t="s">
        <v>124</v>
      </c>
      <c r="H940" t="s">
        <v>125</v>
      </c>
      <c r="I940">
        <v>12</v>
      </c>
      <c r="J940" t="s">
        <v>294</v>
      </c>
      <c r="K940" t="s">
        <v>125</v>
      </c>
      <c r="L940" t="s">
        <v>2290</v>
      </c>
      <c r="AE940" t="s">
        <v>128</v>
      </c>
    </row>
    <row r="941" spans="1:78" hidden="1" x14ac:dyDescent="0.2">
      <c r="A941" t="s">
        <v>119</v>
      </c>
      <c r="B941" t="s">
        <v>120</v>
      </c>
      <c r="C941" t="s">
        <v>2285</v>
      </c>
      <c r="D941">
        <v>21</v>
      </c>
      <c r="E941" t="s">
        <v>146</v>
      </c>
      <c r="F941" t="s">
        <v>146</v>
      </c>
      <c r="G941" t="s">
        <v>124</v>
      </c>
      <c r="H941" t="s">
        <v>125</v>
      </c>
      <c r="I941">
        <v>7</v>
      </c>
      <c r="J941" t="s">
        <v>161</v>
      </c>
      <c r="K941" t="s">
        <v>125</v>
      </c>
      <c r="L941" t="s">
        <v>2291</v>
      </c>
      <c r="AE941" t="s">
        <v>128</v>
      </c>
      <c r="AG941">
        <v>20</v>
      </c>
      <c r="AH941" t="s">
        <v>924</v>
      </c>
      <c r="AI941" t="s">
        <v>667</v>
      </c>
      <c r="AJ941" t="s">
        <v>131</v>
      </c>
      <c r="AK941" t="s">
        <v>125</v>
      </c>
      <c r="AL941">
        <v>21</v>
      </c>
      <c r="AM941" t="s">
        <v>132</v>
      </c>
      <c r="AN941" t="s">
        <v>125</v>
      </c>
      <c r="AO941" t="s">
        <v>2292</v>
      </c>
      <c r="BP941" t="s">
        <v>134</v>
      </c>
      <c r="BR941" t="s">
        <v>135</v>
      </c>
      <c r="BS941">
        <v>1</v>
      </c>
      <c r="BX941" t="s">
        <v>136</v>
      </c>
      <c r="BZ941" t="s">
        <v>137</v>
      </c>
    </row>
    <row r="942" spans="1:78" x14ac:dyDescent="0.2">
      <c r="A942" t="s">
        <v>119</v>
      </c>
      <c r="B942" t="s">
        <v>120</v>
      </c>
      <c r="C942" t="s">
        <v>2293</v>
      </c>
      <c r="D942">
        <v>3</v>
      </c>
      <c r="E942" t="s">
        <v>282</v>
      </c>
      <c r="F942" t="s">
        <v>283</v>
      </c>
      <c r="G942" t="s">
        <v>124</v>
      </c>
      <c r="H942" t="s">
        <v>125</v>
      </c>
      <c r="I942">
        <v>0</v>
      </c>
      <c r="J942" t="s">
        <v>126</v>
      </c>
      <c r="K942" t="s">
        <v>125</v>
      </c>
      <c r="L942" t="s">
        <v>2294</v>
      </c>
      <c r="U942" t="s">
        <v>149</v>
      </c>
      <c r="W942" t="s">
        <v>155</v>
      </c>
      <c r="X942">
        <v>1</v>
      </c>
      <c r="AC942" t="s">
        <v>136</v>
      </c>
      <c r="AE942" t="s">
        <v>137</v>
      </c>
    </row>
    <row r="943" spans="1:78" x14ac:dyDescent="0.2">
      <c r="A943" t="s">
        <v>119</v>
      </c>
      <c r="B943" t="s">
        <v>120</v>
      </c>
      <c r="C943" t="s">
        <v>2295</v>
      </c>
      <c r="D943">
        <v>3</v>
      </c>
      <c r="E943" t="s">
        <v>2296</v>
      </c>
      <c r="F943" t="s">
        <v>2297</v>
      </c>
      <c r="G943" t="s">
        <v>124</v>
      </c>
      <c r="H943" t="s">
        <v>125</v>
      </c>
      <c r="I943">
        <v>0</v>
      </c>
      <c r="J943" t="s">
        <v>126</v>
      </c>
      <c r="K943" t="s">
        <v>125</v>
      </c>
      <c r="L943" t="s">
        <v>2298</v>
      </c>
      <c r="U943" t="s">
        <v>149</v>
      </c>
      <c r="W943" t="s">
        <v>135</v>
      </c>
      <c r="X943">
        <v>3</v>
      </c>
      <c r="AC943" t="s">
        <v>136</v>
      </c>
      <c r="AE943" t="s">
        <v>137</v>
      </c>
    </row>
    <row r="944" spans="1:78" x14ac:dyDescent="0.2">
      <c r="A944" t="s">
        <v>119</v>
      </c>
      <c r="B944" t="s">
        <v>120</v>
      </c>
      <c r="C944" t="s">
        <v>2299</v>
      </c>
      <c r="D944">
        <v>5</v>
      </c>
      <c r="E944" t="s">
        <v>145</v>
      </c>
      <c r="F944" t="s">
        <v>146</v>
      </c>
      <c r="G944" t="s">
        <v>124</v>
      </c>
      <c r="H944" t="s">
        <v>125</v>
      </c>
      <c r="I944">
        <v>0</v>
      </c>
      <c r="J944" t="s">
        <v>126</v>
      </c>
      <c r="K944" t="s">
        <v>125</v>
      </c>
      <c r="L944" t="s">
        <v>2300</v>
      </c>
      <c r="U944" t="s">
        <v>149</v>
      </c>
      <c r="W944" t="s">
        <v>135</v>
      </c>
      <c r="X944">
        <v>3</v>
      </c>
      <c r="AC944" t="s">
        <v>136</v>
      </c>
      <c r="AE944" t="s">
        <v>137</v>
      </c>
    </row>
    <row r="945" spans="1:78" x14ac:dyDescent="0.2">
      <c r="A945" t="s">
        <v>119</v>
      </c>
      <c r="B945" t="s">
        <v>120</v>
      </c>
      <c r="C945" t="s">
        <v>2299</v>
      </c>
      <c r="D945">
        <v>15</v>
      </c>
      <c r="E945" t="s">
        <v>1497</v>
      </c>
      <c r="F945" t="s">
        <v>1498</v>
      </c>
      <c r="G945" t="s">
        <v>124</v>
      </c>
      <c r="H945" t="s">
        <v>125</v>
      </c>
      <c r="I945">
        <v>5</v>
      </c>
      <c r="J945" t="s">
        <v>161</v>
      </c>
      <c r="K945" t="s">
        <v>125</v>
      </c>
      <c r="L945" t="s">
        <v>2301</v>
      </c>
      <c r="U945" t="s">
        <v>149</v>
      </c>
      <c r="W945" t="s">
        <v>135</v>
      </c>
      <c r="X945">
        <v>3</v>
      </c>
      <c r="AC945" t="s">
        <v>136</v>
      </c>
      <c r="AE945" t="s">
        <v>137</v>
      </c>
    </row>
    <row r="946" spans="1:78" x14ac:dyDescent="0.2">
      <c r="A946" t="s">
        <v>119</v>
      </c>
      <c r="B946" t="s">
        <v>120</v>
      </c>
      <c r="C946" t="s">
        <v>2302</v>
      </c>
      <c r="D946">
        <v>5</v>
      </c>
      <c r="E946" t="s">
        <v>2303</v>
      </c>
      <c r="F946" t="s">
        <v>424</v>
      </c>
      <c r="G946" t="s">
        <v>124</v>
      </c>
      <c r="H946" t="s">
        <v>125</v>
      </c>
      <c r="I946">
        <v>0</v>
      </c>
      <c r="J946" t="s">
        <v>126</v>
      </c>
      <c r="K946" t="s">
        <v>125</v>
      </c>
      <c r="L946" t="s">
        <v>2304</v>
      </c>
      <c r="U946" t="s">
        <v>149</v>
      </c>
      <c r="W946" t="s">
        <v>135</v>
      </c>
      <c r="X946">
        <v>3</v>
      </c>
      <c r="AC946" t="s">
        <v>136</v>
      </c>
      <c r="AE946" t="s">
        <v>137</v>
      </c>
    </row>
    <row r="947" spans="1:78" x14ac:dyDescent="0.2">
      <c r="A947" t="s">
        <v>119</v>
      </c>
      <c r="B947" t="s">
        <v>120</v>
      </c>
      <c r="C947" t="s">
        <v>2302</v>
      </c>
      <c r="D947">
        <v>8</v>
      </c>
      <c r="E947" t="s">
        <v>327</v>
      </c>
      <c r="F947" t="s">
        <v>198</v>
      </c>
      <c r="G947" t="s">
        <v>124</v>
      </c>
      <c r="H947" t="s">
        <v>125</v>
      </c>
      <c r="I947">
        <v>5</v>
      </c>
      <c r="J947" t="s">
        <v>199</v>
      </c>
      <c r="K947" t="s">
        <v>125</v>
      </c>
      <c r="L947" t="s">
        <v>2305</v>
      </c>
      <c r="U947" t="s">
        <v>149</v>
      </c>
      <c r="W947" t="s">
        <v>135</v>
      </c>
      <c r="X947">
        <v>3</v>
      </c>
      <c r="AC947" t="s">
        <v>136</v>
      </c>
      <c r="AE947" t="s">
        <v>137</v>
      </c>
    </row>
    <row r="948" spans="1:78" hidden="1" x14ac:dyDescent="0.2">
      <c r="A948" t="s">
        <v>119</v>
      </c>
      <c r="B948" t="s">
        <v>120</v>
      </c>
      <c r="C948" t="s">
        <v>2306</v>
      </c>
      <c r="D948">
        <v>3</v>
      </c>
      <c r="E948" t="s">
        <v>691</v>
      </c>
      <c r="F948" t="s">
        <v>261</v>
      </c>
      <c r="G948" t="s">
        <v>124</v>
      </c>
      <c r="H948" t="s">
        <v>125</v>
      </c>
      <c r="I948">
        <v>0</v>
      </c>
      <c r="J948" t="s">
        <v>126</v>
      </c>
      <c r="K948" t="s">
        <v>125</v>
      </c>
      <c r="L948" t="s">
        <v>2307</v>
      </c>
      <c r="T948" t="s">
        <v>154</v>
      </c>
      <c r="W948" t="s">
        <v>135</v>
      </c>
      <c r="AC948" t="s">
        <v>143</v>
      </c>
      <c r="AE948" t="s">
        <v>144</v>
      </c>
      <c r="AG948">
        <v>2</v>
      </c>
      <c r="AH948" t="s">
        <v>614</v>
      </c>
      <c r="AI948" t="s">
        <v>205</v>
      </c>
      <c r="AJ948" t="s">
        <v>131</v>
      </c>
      <c r="AK948" t="s">
        <v>125</v>
      </c>
      <c r="AL948">
        <v>3</v>
      </c>
      <c r="AM948" t="s">
        <v>132</v>
      </c>
      <c r="AN948" t="s">
        <v>125</v>
      </c>
      <c r="AO948" t="s">
        <v>2308</v>
      </c>
      <c r="BP948" t="s">
        <v>149</v>
      </c>
      <c r="BR948" t="s">
        <v>135</v>
      </c>
      <c r="BS948">
        <v>3</v>
      </c>
      <c r="BX948" t="s">
        <v>136</v>
      </c>
      <c r="BZ948" t="s">
        <v>137</v>
      </c>
    </row>
    <row r="949" spans="1:78" x14ac:dyDescent="0.2">
      <c r="A949" t="s">
        <v>119</v>
      </c>
      <c r="B949" t="s">
        <v>120</v>
      </c>
      <c r="C949" t="s">
        <v>2306</v>
      </c>
      <c r="D949">
        <v>6</v>
      </c>
      <c r="E949" t="s">
        <v>614</v>
      </c>
      <c r="F949" t="s">
        <v>205</v>
      </c>
      <c r="G949" t="s">
        <v>124</v>
      </c>
      <c r="H949" t="s">
        <v>125</v>
      </c>
      <c r="I949">
        <v>3</v>
      </c>
      <c r="J949" t="s">
        <v>264</v>
      </c>
      <c r="K949" t="s">
        <v>125</v>
      </c>
      <c r="L949" t="s">
        <v>2309</v>
      </c>
      <c r="U949" t="s">
        <v>149</v>
      </c>
      <c r="W949" t="s">
        <v>135</v>
      </c>
      <c r="X949">
        <v>3</v>
      </c>
      <c r="AC949" t="s">
        <v>136</v>
      </c>
      <c r="AE949" t="s">
        <v>137</v>
      </c>
    </row>
    <row r="950" spans="1:78" x14ac:dyDescent="0.2">
      <c r="A950" t="s">
        <v>119</v>
      </c>
      <c r="B950" t="s">
        <v>120</v>
      </c>
      <c r="C950" t="s">
        <v>2310</v>
      </c>
      <c r="D950">
        <v>3</v>
      </c>
      <c r="E950" t="s">
        <v>197</v>
      </c>
      <c r="F950" t="s">
        <v>198</v>
      </c>
      <c r="G950" t="s">
        <v>124</v>
      </c>
      <c r="H950" t="s">
        <v>125</v>
      </c>
      <c r="I950">
        <v>0</v>
      </c>
      <c r="J950" t="s">
        <v>126</v>
      </c>
      <c r="K950" t="s">
        <v>125</v>
      </c>
      <c r="L950" t="s">
        <v>2311</v>
      </c>
      <c r="U950" t="s">
        <v>149</v>
      </c>
      <c r="W950" t="s">
        <v>135</v>
      </c>
      <c r="X950">
        <v>1</v>
      </c>
      <c r="AC950" t="s">
        <v>136</v>
      </c>
      <c r="AE950" t="s">
        <v>137</v>
      </c>
    </row>
    <row r="951" spans="1:78" x14ac:dyDescent="0.2">
      <c r="A951" t="s">
        <v>119</v>
      </c>
      <c r="B951" t="s">
        <v>120</v>
      </c>
      <c r="C951" t="s">
        <v>2312</v>
      </c>
      <c r="D951">
        <v>2</v>
      </c>
      <c r="E951" t="s">
        <v>1872</v>
      </c>
      <c r="F951" t="s">
        <v>534</v>
      </c>
      <c r="G951" t="s">
        <v>124</v>
      </c>
      <c r="H951" t="s">
        <v>125</v>
      </c>
      <c r="I951">
        <v>0</v>
      </c>
      <c r="J951" t="s">
        <v>126</v>
      </c>
      <c r="K951" t="s">
        <v>125</v>
      </c>
      <c r="L951" t="s">
        <v>2313</v>
      </c>
      <c r="U951" t="s">
        <v>309</v>
      </c>
      <c r="W951" t="s">
        <v>135</v>
      </c>
      <c r="X951">
        <v>3</v>
      </c>
      <c r="AC951" t="s">
        <v>136</v>
      </c>
      <c r="AE951" t="s">
        <v>137</v>
      </c>
    </row>
    <row r="952" spans="1:78" x14ac:dyDescent="0.2">
      <c r="A952" t="s">
        <v>119</v>
      </c>
      <c r="B952" t="s">
        <v>120</v>
      </c>
      <c r="C952" t="s">
        <v>2314</v>
      </c>
      <c r="D952">
        <v>2</v>
      </c>
      <c r="E952" t="s">
        <v>145</v>
      </c>
      <c r="F952" t="s">
        <v>146</v>
      </c>
      <c r="G952" t="s">
        <v>124</v>
      </c>
      <c r="H952" t="s">
        <v>125</v>
      </c>
      <c r="I952">
        <v>0</v>
      </c>
      <c r="J952" t="s">
        <v>126</v>
      </c>
      <c r="K952" t="s">
        <v>125</v>
      </c>
      <c r="L952" t="s">
        <v>2315</v>
      </c>
      <c r="U952" t="s">
        <v>149</v>
      </c>
      <c r="W952" t="s">
        <v>135</v>
      </c>
      <c r="X952">
        <v>3</v>
      </c>
      <c r="AC952" t="s">
        <v>136</v>
      </c>
      <c r="AE952" t="s">
        <v>137</v>
      </c>
    </row>
    <row r="953" spans="1:78" x14ac:dyDescent="0.2">
      <c r="A953" t="s">
        <v>119</v>
      </c>
      <c r="B953" t="s">
        <v>120</v>
      </c>
      <c r="C953" t="s">
        <v>2316</v>
      </c>
      <c r="D953">
        <v>5</v>
      </c>
      <c r="E953" t="s">
        <v>201</v>
      </c>
      <c r="F953" t="s">
        <v>202</v>
      </c>
      <c r="G953" t="s">
        <v>124</v>
      </c>
      <c r="H953" t="s">
        <v>125</v>
      </c>
      <c r="I953">
        <v>0</v>
      </c>
      <c r="J953" t="s">
        <v>126</v>
      </c>
      <c r="K953" t="s">
        <v>125</v>
      </c>
      <c r="L953" t="s">
        <v>2317</v>
      </c>
      <c r="U953" t="s">
        <v>149</v>
      </c>
      <c r="W953" t="s">
        <v>135</v>
      </c>
      <c r="X953">
        <v>1</v>
      </c>
      <c r="AC953" t="s">
        <v>136</v>
      </c>
      <c r="AE953" t="s">
        <v>137</v>
      </c>
      <c r="AG953">
        <v>4</v>
      </c>
      <c r="AH953" t="s">
        <v>421</v>
      </c>
      <c r="AI953" t="s">
        <v>205</v>
      </c>
      <c r="AJ953" t="s">
        <v>131</v>
      </c>
      <c r="AK953" t="s">
        <v>125</v>
      </c>
      <c r="AL953">
        <v>5</v>
      </c>
      <c r="AM953" t="s">
        <v>132</v>
      </c>
      <c r="AN953" t="s">
        <v>125</v>
      </c>
      <c r="AO953" t="s">
        <v>2318</v>
      </c>
      <c r="BP953" t="s">
        <v>149</v>
      </c>
      <c r="BR953" t="s">
        <v>135</v>
      </c>
      <c r="BS953">
        <v>1</v>
      </c>
      <c r="BX953" t="s">
        <v>209</v>
      </c>
      <c r="BZ953" t="s">
        <v>137</v>
      </c>
    </row>
    <row r="954" spans="1:78" x14ac:dyDescent="0.2">
      <c r="A954" t="s">
        <v>119</v>
      </c>
      <c r="B954" t="s">
        <v>120</v>
      </c>
      <c r="C954" t="s">
        <v>2319</v>
      </c>
      <c r="D954">
        <v>1</v>
      </c>
      <c r="E954" t="s">
        <v>801</v>
      </c>
      <c r="F954" t="s">
        <v>667</v>
      </c>
      <c r="G954" t="s">
        <v>124</v>
      </c>
      <c r="H954" t="s">
        <v>125</v>
      </c>
      <c r="I954">
        <v>0</v>
      </c>
      <c r="J954" t="s">
        <v>126</v>
      </c>
      <c r="K954" t="s">
        <v>125</v>
      </c>
      <c r="L954" t="s">
        <v>2320</v>
      </c>
      <c r="U954" t="s">
        <v>149</v>
      </c>
      <c r="W954" t="s">
        <v>135</v>
      </c>
      <c r="X954">
        <v>2</v>
      </c>
      <c r="AC954" t="s">
        <v>136</v>
      </c>
      <c r="AE954" t="s">
        <v>137</v>
      </c>
    </row>
    <row r="955" spans="1:78" hidden="1" x14ac:dyDescent="0.2">
      <c r="A955" t="s">
        <v>119</v>
      </c>
      <c r="B955" t="s">
        <v>120</v>
      </c>
      <c r="C955" t="s">
        <v>2321</v>
      </c>
      <c r="D955">
        <v>4</v>
      </c>
      <c r="E955" t="s">
        <v>2322</v>
      </c>
      <c r="F955" t="s">
        <v>373</v>
      </c>
      <c r="G955" t="s">
        <v>124</v>
      </c>
      <c r="H955" t="s">
        <v>125</v>
      </c>
      <c r="I955">
        <v>0</v>
      </c>
      <c r="J955" t="s">
        <v>126</v>
      </c>
      <c r="K955" t="s">
        <v>125</v>
      </c>
      <c r="L955" t="s">
        <v>2323</v>
      </c>
      <c r="T955" t="s">
        <v>142</v>
      </c>
      <c r="W955" t="s">
        <v>135</v>
      </c>
      <c r="AC955" t="s">
        <v>143</v>
      </c>
      <c r="AE955" t="s">
        <v>144</v>
      </c>
      <c r="AG955">
        <v>3</v>
      </c>
      <c r="AH955" t="s">
        <v>2324</v>
      </c>
      <c r="AI955" t="s">
        <v>146</v>
      </c>
      <c r="AJ955" t="s">
        <v>131</v>
      </c>
      <c r="AK955" t="s">
        <v>125</v>
      </c>
      <c r="AL955">
        <v>4</v>
      </c>
      <c r="AM955" t="s">
        <v>132</v>
      </c>
      <c r="AN955" t="s">
        <v>125</v>
      </c>
      <c r="AO955" t="s">
        <v>2325</v>
      </c>
      <c r="BP955" t="s">
        <v>149</v>
      </c>
      <c r="BR955" t="s">
        <v>135</v>
      </c>
      <c r="BS955">
        <v>2</v>
      </c>
      <c r="BX955" t="s">
        <v>136</v>
      </c>
      <c r="BZ955" t="s">
        <v>137</v>
      </c>
    </row>
    <row r="956" spans="1:78" hidden="1" x14ac:dyDescent="0.2">
      <c r="A956" t="s">
        <v>119</v>
      </c>
      <c r="B956" t="s">
        <v>120</v>
      </c>
      <c r="C956" t="s">
        <v>2326</v>
      </c>
      <c r="D956">
        <v>7</v>
      </c>
      <c r="E956" t="s">
        <v>2154</v>
      </c>
      <c r="F956" t="s">
        <v>2154</v>
      </c>
      <c r="G956" t="s">
        <v>124</v>
      </c>
      <c r="H956" t="s">
        <v>125</v>
      </c>
      <c r="I956">
        <v>11</v>
      </c>
      <c r="J956" t="s">
        <v>268</v>
      </c>
      <c r="K956" t="s">
        <v>125</v>
      </c>
      <c r="L956" t="s">
        <v>2327</v>
      </c>
      <c r="AE956" t="s">
        <v>128</v>
      </c>
      <c r="AG956">
        <v>6</v>
      </c>
      <c r="AH956" t="s">
        <v>801</v>
      </c>
      <c r="AI956" t="s">
        <v>667</v>
      </c>
      <c r="AJ956" t="s">
        <v>131</v>
      </c>
      <c r="AK956" t="s">
        <v>125</v>
      </c>
      <c r="AL956">
        <v>7</v>
      </c>
      <c r="AM956" t="s">
        <v>132</v>
      </c>
      <c r="AN956" t="s">
        <v>125</v>
      </c>
      <c r="AO956" t="s">
        <v>2328</v>
      </c>
      <c r="BP956" t="s">
        <v>149</v>
      </c>
      <c r="BR956" t="s">
        <v>135</v>
      </c>
      <c r="BS956">
        <v>2</v>
      </c>
      <c r="BX956" t="s">
        <v>136</v>
      </c>
      <c r="BZ956" t="s">
        <v>137</v>
      </c>
    </row>
    <row r="957" spans="1:78" hidden="1" x14ac:dyDescent="0.2">
      <c r="A957" t="s">
        <v>119</v>
      </c>
      <c r="B957" t="s">
        <v>120</v>
      </c>
      <c r="C957" t="s">
        <v>2326</v>
      </c>
      <c r="D957">
        <v>11</v>
      </c>
      <c r="E957" t="s">
        <v>2154</v>
      </c>
      <c r="F957" t="s">
        <v>2154</v>
      </c>
      <c r="G957" t="s">
        <v>124</v>
      </c>
      <c r="H957" t="s">
        <v>125</v>
      </c>
      <c r="I957">
        <v>0</v>
      </c>
      <c r="J957" t="s">
        <v>126</v>
      </c>
      <c r="K957" t="s">
        <v>125</v>
      </c>
      <c r="L957" t="s">
        <v>2329</v>
      </c>
      <c r="AE957" t="s">
        <v>128</v>
      </c>
      <c r="AG957">
        <v>10</v>
      </c>
      <c r="AH957" t="s">
        <v>1515</v>
      </c>
      <c r="AI957" t="s">
        <v>572</v>
      </c>
      <c r="AJ957" t="s">
        <v>131</v>
      </c>
      <c r="AK957" t="s">
        <v>125</v>
      </c>
      <c r="AL957">
        <v>11</v>
      </c>
      <c r="AM957" t="s">
        <v>132</v>
      </c>
      <c r="AN957" t="s">
        <v>125</v>
      </c>
      <c r="AO957" t="s">
        <v>2330</v>
      </c>
      <c r="BP957" t="s">
        <v>149</v>
      </c>
      <c r="BR957" t="s">
        <v>135</v>
      </c>
      <c r="BS957">
        <v>2</v>
      </c>
      <c r="BX957" t="s">
        <v>136</v>
      </c>
      <c r="BZ957" t="s">
        <v>137</v>
      </c>
    </row>
    <row r="958" spans="1:78" x14ac:dyDescent="0.2">
      <c r="A958" t="s">
        <v>119</v>
      </c>
      <c r="B958" t="s">
        <v>120</v>
      </c>
      <c r="C958" t="s">
        <v>2331</v>
      </c>
      <c r="D958">
        <v>3</v>
      </c>
      <c r="E958" t="s">
        <v>392</v>
      </c>
      <c r="F958" t="s">
        <v>373</v>
      </c>
      <c r="G958" t="s">
        <v>124</v>
      </c>
      <c r="H958" t="s">
        <v>125</v>
      </c>
      <c r="I958">
        <v>0</v>
      </c>
      <c r="J958" t="s">
        <v>126</v>
      </c>
      <c r="K958" t="s">
        <v>125</v>
      </c>
      <c r="L958" t="s">
        <v>2332</v>
      </c>
      <c r="U958" t="s">
        <v>149</v>
      </c>
      <c r="W958" t="s">
        <v>135</v>
      </c>
      <c r="X958">
        <v>1</v>
      </c>
      <c r="AC958" t="s">
        <v>136</v>
      </c>
      <c r="AE958" t="s">
        <v>137</v>
      </c>
    </row>
    <row r="959" spans="1:78" hidden="1" x14ac:dyDescent="0.2">
      <c r="A959" t="s">
        <v>119</v>
      </c>
      <c r="B959" t="s">
        <v>120</v>
      </c>
      <c r="C959" t="s">
        <v>2333</v>
      </c>
      <c r="D959">
        <v>9</v>
      </c>
      <c r="E959" t="s">
        <v>2334</v>
      </c>
      <c r="F959" t="s">
        <v>2334</v>
      </c>
      <c r="G959" t="s">
        <v>124</v>
      </c>
      <c r="H959" t="s">
        <v>125</v>
      </c>
      <c r="I959">
        <v>0</v>
      </c>
      <c r="J959" t="s">
        <v>126</v>
      </c>
      <c r="K959" t="s">
        <v>125</v>
      </c>
      <c r="L959" t="s">
        <v>2335</v>
      </c>
      <c r="T959" t="s">
        <v>154</v>
      </c>
      <c r="W959" t="s">
        <v>135</v>
      </c>
      <c r="AG959">
        <v>8</v>
      </c>
      <c r="AH959" t="s">
        <v>826</v>
      </c>
      <c r="AI959" t="s">
        <v>667</v>
      </c>
      <c r="AJ959" t="s">
        <v>131</v>
      </c>
      <c r="AK959" t="s">
        <v>125</v>
      </c>
      <c r="AL959">
        <v>9</v>
      </c>
      <c r="AM959" t="s">
        <v>268</v>
      </c>
      <c r="AN959" t="s">
        <v>125</v>
      </c>
      <c r="AO959" t="s">
        <v>2336</v>
      </c>
      <c r="BP959" t="s">
        <v>149</v>
      </c>
      <c r="BR959" t="s">
        <v>135</v>
      </c>
      <c r="BS959">
        <v>3</v>
      </c>
      <c r="BX959" t="s">
        <v>136</v>
      </c>
      <c r="BZ959" t="s">
        <v>137</v>
      </c>
    </row>
    <row r="960" spans="1:78" hidden="1" x14ac:dyDescent="0.2">
      <c r="A960" t="s">
        <v>119</v>
      </c>
      <c r="B960" t="s">
        <v>120</v>
      </c>
      <c r="C960" t="s">
        <v>2333</v>
      </c>
      <c r="D960">
        <v>15</v>
      </c>
      <c r="E960" t="s">
        <v>2337</v>
      </c>
      <c r="F960" t="s">
        <v>2338</v>
      </c>
      <c r="G960" t="s">
        <v>124</v>
      </c>
      <c r="H960" t="s">
        <v>125</v>
      </c>
      <c r="I960">
        <v>9</v>
      </c>
      <c r="J960" t="s">
        <v>161</v>
      </c>
      <c r="K960" t="s">
        <v>125</v>
      </c>
      <c r="L960" t="s">
        <v>2339</v>
      </c>
      <c r="T960" t="s">
        <v>154</v>
      </c>
      <c r="W960" t="s">
        <v>135</v>
      </c>
    </row>
    <row r="961" spans="1:78" hidden="1" x14ac:dyDescent="0.2">
      <c r="A961" t="s">
        <v>119</v>
      </c>
      <c r="B961" t="s">
        <v>120</v>
      </c>
      <c r="C961" t="s">
        <v>2340</v>
      </c>
      <c r="D961">
        <v>8</v>
      </c>
      <c r="E961" t="s">
        <v>2341</v>
      </c>
      <c r="F961" t="s">
        <v>598</v>
      </c>
      <c r="G961" t="s">
        <v>124</v>
      </c>
      <c r="H961" t="s">
        <v>125</v>
      </c>
      <c r="I961">
        <v>0</v>
      </c>
      <c r="J961" t="s">
        <v>126</v>
      </c>
      <c r="K961" t="s">
        <v>125</v>
      </c>
      <c r="L961" t="s">
        <v>2342</v>
      </c>
      <c r="T961" t="s">
        <v>154</v>
      </c>
      <c r="W961" t="s">
        <v>135</v>
      </c>
      <c r="AC961" t="s">
        <v>143</v>
      </c>
      <c r="AE961" t="s">
        <v>144</v>
      </c>
      <c r="AG961">
        <v>6</v>
      </c>
      <c r="AH961" t="s">
        <v>207</v>
      </c>
      <c r="AI961" t="s">
        <v>146</v>
      </c>
      <c r="AJ961" t="s">
        <v>131</v>
      </c>
      <c r="AK961" t="s">
        <v>125</v>
      </c>
      <c r="AL961">
        <v>8</v>
      </c>
      <c r="AM961" t="s">
        <v>132</v>
      </c>
      <c r="AN961" t="s">
        <v>125</v>
      </c>
      <c r="AO961" t="s">
        <v>2343</v>
      </c>
      <c r="BP961" t="s">
        <v>149</v>
      </c>
      <c r="BR961" t="s">
        <v>135</v>
      </c>
      <c r="BS961">
        <v>3</v>
      </c>
      <c r="BX961" t="s">
        <v>209</v>
      </c>
      <c r="BZ961" t="s">
        <v>137</v>
      </c>
    </row>
    <row r="962" spans="1:78" x14ac:dyDescent="0.2">
      <c r="A962" t="s">
        <v>119</v>
      </c>
      <c r="B962" t="s">
        <v>120</v>
      </c>
      <c r="C962" t="s">
        <v>2344</v>
      </c>
      <c r="D962">
        <v>6</v>
      </c>
      <c r="E962" t="s">
        <v>1063</v>
      </c>
      <c r="F962" t="s">
        <v>373</v>
      </c>
      <c r="G962" t="s">
        <v>124</v>
      </c>
      <c r="H962" t="s">
        <v>125</v>
      </c>
      <c r="I962">
        <v>11</v>
      </c>
      <c r="J962" t="s">
        <v>210</v>
      </c>
      <c r="K962" t="s">
        <v>125</v>
      </c>
      <c r="L962" t="s">
        <v>2345</v>
      </c>
      <c r="U962" t="s">
        <v>209</v>
      </c>
      <c r="W962" t="s">
        <v>135</v>
      </c>
      <c r="X962">
        <v>2</v>
      </c>
      <c r="AC962" t="s">
        <v>136</v>
      </c>
      <c r="AE962" t="s">
        <v>137</v>
      </c>
    </row>
    <row r="963" spans="1:78" x14ac:dyDescent="0.2">
      <c r="A963" t="s">
        <v>119</v>
      </c>
      <c r="B963" t="s">
        <v>120</v>
      </c>
      <c r="C963" t="s">
        <v>2344</v>
      </c>
      <c r="D963">
        <v>11</v>
      </c>
      <c r="E963" t="s">
        <v>1063</v>
      </c>
      <c r="F963" t="s">
        <v>373</v>
      </c>
      <c r="G963" t="s">
        <v>124</v>
      </c>
      <c r="H963" t="s">
        <v>125</v>
      </c>
      <c r="I963">
        <v>0</v>
      </c>
      <c r="J963" t="s">
        <v>126</v>
      </c>
      <c r="K963" t="s">
        <v>125</v>
      </c>
      <c r="L963" t="s">
        <v>2346</v>
      </c>
      <c r="U963" t="s">
        <v>209</v>
      </c>
      <c r="W963" t="s">
        <v>135</v>
      </c>
      <c r="X963">
        <v>2</v>
      </c>
      <c r="AC963" t="s">
        <v>136</v>
      </c>
      <c r="AE963" t="s">
        <v>137</v>
      </c>
    </row>
    <row r="964" spans="1:78" x14ac:dyDescent="0.2">
      <c r="A964" t="s">
        <v>119</v>
      </c>
      <c r="B964" t="s">
        <v>120</v>
      </c>
      <c r="C964" t="s">
        <v>2347</v>
      </c>
      <c r="D964">
        <v>7</v>
      </c>
      <c r="E964" t="s">
        <v>1063</v>
      </c>
      <c r="F964" t="s">
        <v>373</v>
      </c>
      <c r="G964" t="s">
        <v>124</v>
      </c>
      <c r="H964" t="s">
        <v>125</v>
      </c>
      <c r="I964">
        <v>0</v>
      </c>
      <c r="J964" t="s">
        <v>126</v>
      </c>
      <c r="K964" t="s">
        <v>125</v>
      </c>
      <c r="L964" t="s">
        <v>2348</v>
      </c>
      <c r="U964" t="s">
        <v>209</v>
      </c>
      <c r="W964" t="s">
        <v>135</v>
      </c>
      <c r="X964">
        <v>2</v>
      </c>
      <c r="AC964" t="s">
        <v>136</v>
      </c>
      <c r="AE964" t="s">
        <v>137</v>
      </c>
    </row>
    <row r="965" spans="1:78" hidden="1" x14ac:dyDescent="0.2">
      <c r="A965" t="s">
        <v>119</v>
      </c>
      <c r="B965" t="s">
        <v>120</v>
      </c>
      <c r="C965" t="s">
        <v>2349</v>
      </c>
      <c r="D965">
        <v>4</v>
      </c>
      <c r="E965" t="s">
        <v>2350</v>
      </c>
      <c r="F965" t="s">
        <v>2120</v>
      </c>
      <c r="G965" t="s">
        <v>124</v>
      </c>
      <c r="H965" t="s">
        <v>125</v>
      </c>
      <c r="I965">
        <v>0</v>
      </c>
      <c r="J965" t="s">
        <v>126</v>
      </c>
      <c r="K965" t="s">
        <v>125</v>
      </c>
      <c r="L965" t="s">
        <v>2351</v>
      </c>
      <c r="AE965" t="s">
        <v>128</v>
      </c>
    </row>
    <row r="966" spans="1:78" x14ac:dyDescent="0.2">
      <c r="A966" t="s">
        <v>119</v>
      </c>
      <c r="B966" t="s">
        <v>120</v>
      </c>
      <c r="C966" t="s">
        <v>2352</v>
      </c>
      <c r="D966">
        <v>2</v>
      </c>
      <c r="E966" t="s">
        <v>1537</v>
      </c>
      <c r="F966" t="s">
        <v>1538</v>
      </c>
      <c r="G966" t="s">
        <v>124</v>
      </c>
      <c r="H966" t="s">
        <v>125</v>
      </c>
      <c r="I966">
        <v>0</v>
      </c>
      <c r="J966" t="s">
        <v>126</v>
      </c>
      <c r="K966" t="s">
        <v>125</v>
      </c>
      <c r="L966" t="s">
        <v>2353</v>
      </c>
      <c r="U966" t="s">
        <v>149</v>
      </c>
      <c r="W966" t="s">
        <v>135</v>
      </c>
      <c r="X966">
        <v>3</v>
      </c>
      <c r="AC966" t="s">
        <v>136</v>
      </c>
      <c r="AE966" t="s">
        <v>137</v>
      </c>
    </row>
    <row r="967" spans="1:78" x14ac:dyDescent="0.2">
      <c r="A967" t="s">
        <v>119</v>
      </c>
      <c r="B967" t="s">
        <v>120</v>
      </c>
      <c r="C967" t="s">
        <v>2352</v>
      </c>
      <c r="D967">
        <v>9</v>
      </c>
      <c r="E967" t="s">
        <v>2354</v>
      </c>
      <c r="F967" t="s">
        <v>350</v>
      </c>
      <c r="G967" t="s">
        <v>124</v>
      </c>
      <c r="H967" t="s">
        <v>125</v>
      </c>
      <c r="I967">
        <v>7</v>
      </c>
      <c r="J967" t="s">
        <v>170</v>
      </c>
      <c r="K967" t="s">
        <v>125</v>
      </c>
      <c r="L967" t="s">
        <v>2355</v>
      </c>
      <c r="U967" t="s">
        <v>149</v>
      </c>
      <c r="W967" t="s">
        <v>155</v>
      </c>
      <c r="X967">
        <v>3</v>
      </c>
      <c r="AC967" t="s">
        <v>136</v>
      </c>
      <c r="AE967" t="s">
        <v>137</v>
      </c>
    </row>
    <row r="968" spans="1:78" hidden="1" x14ac:dyDescent="0.2">
      <c r="A968" t="s">
        <v>119</v>
      </c>
      <c r="B968" t="s">
        <v>120</v>
      </c>
      <c r="C968" t="s">
        <v>2356</v>
      </c>
      <c r="D968">
        <v>1</v>
      </c>
      <c r="E968" t="s">
        <v>2357</v>
      </c>
      <c r="F968" t="s">
        <v>1441</v>
      </c>
      <c r="G968" t="s">
        <v>124</v>
      </c>
      <c r="H968" t="s">
        <v>125</v>
      </c>
      <c r="I968">
        <v>0</v>
      </c>
      <c r="J968" t="s">
        <v>126</v>
      </c>
      <c r="K968" t="s">
        <v>125</v>
      </c>
      <c r="L968" t="s">
        <v>2358</v>
      </c>
      <c r="U968" t="s">
        <v>149</v>
      </c>
      <c r="W968" t="s">
        <v>135</v>
      </c>
      <c r="X968">
        <v>3</v>
      </c>
      <c r="AC968" t="s">
        <v>903</v>
      </c>
      <c r="AE968" t="s">
        <v>137</v>
      </c>
    </row>
    <row r="969" spans="1:78" x14ac:dyDescent="0.2">
      <c r="A969" t="s">
        <v>119</v>
      </c>
      <c r="B969" t="s">
        <v>120</v>
      </c>
      <c r="C969" t="s">
        <v>2359</v>
      </c>
      <c r="D969">
        <v>7</v>
      </c>
      <c r="E969" t="s">
        <v>2360</v>
      </c>
      <c r="F969" t="s">
        <v>2361</v>
      </c>
      <c r="G969" t="s">
        <v>124</v>
      </c>
      <c r="H969" t="s">
        <v>125</v>
      </c>
      <c r="I969">
        <v>5</v>
      </c>
      <c r="J969" t="s">
        <v>264</v>
      </c>
      <c r="K969" t="s">
        <v>125</v>
      </c>
      <c r="L969" t="s">
        <v>2362</v>
      </c>
      <c r="U969" t="s">
        <v>209</v>
      </c>
      <c r="W969" t="s">
        <v>135</v>
      </c>
      <c r="X969">
        <v>2</v>
      </c>
      <c r="AC969" t="s">
        <v>136</v>
      </c>
      <c r="AE969" t="s">
        <v>137</v>
      </c>
    </row>
    <row r="970" spans="1:78" hidden="1" x14ac:dyDescent="0.2">
      <c r="A970" t="s">
        <v>119</v>
      </c>
      <c r="B970" t="s">
        <v>120</v>
      </c>
      <c r="C970" t="s">
        <v>2363</v>
      </c>
      <c r="D970">
        <v>2</v>
      </c>
      <c r="E970" t="s">
        <v>261</v>
      </c>
      <c r="F970" t="s">
        <v>261</v>
      </c>
      <c r="G970" t="s">
        <v>124</v>
      </c>
      <c r="H970" t="s">
        <v>125</v>
      </c>
      <c r="I970">
        <v>0</v>
      </c>
      <c r="J970" t="s">
        <v>126</v>
      </c>
      <c r="K970" t="s">
        <v>125</v>
      </c>
      <c r="L970" t="s">
        <v>2364</v>
      </c>
      <c r="AE970" t="s">
        <v>128</v>
      </c>
      <c r="AG970">
        <v>1</v>
      </c>
      <c r="AH970" t="s">
        <v>1935</v>
      </c>
      <c r="AI970" t="s">
        <v>667</v>
      </c>
      <c r="AJ970" t="s">
        <v>131</v>
      </c>
      <c r="AK970" t="s">
        <v>125</v>
      </c>
      <c r="AL970">
        <v>2</v>
      </c>
      <c r="AM970" t="s">
        <v>132</v>
      </c>
      <c r="AN970" t="s">
        <v>125</v>
      </c>
      <c r="AO970" t="s">
        <v>2365</v>
      </c>
      <c r="BP970" t="s">
        <v>149</v>
      </c>
      <c r="BR970" t="s">
        <v>135</v>
      </c>
      <c r="BS970">
        <v>3</v>
      </c>
      <c r="BX970" t="s">
        <v>136</v>
      </c>
      <c r="BZ970" t="s">
        <v>137</v>
      </c>
    </row>
    <row r="971" spans="1:78" x14ac:dyDescent="0.2">
      <c r="A971" t="s">
        <v>119</v>
      </c>
      <c r="B971" t="s">
        <v>120</v>
      </c>
      <c r="C971" t="s">
        <v>2363</v>
      </c>
      <c r="D971">
        <v>5</v>
      </c>
      <c r="E971" t="s">
        <v>614</v>
      </c>
      <c r="F971" t="s">
        <v>205</v>
      </c>
      <c r="G971" t="s">
        <v>124</v>
      </c>
      <c r="H971" t="s">
        <v>125</v>
      </c>
      <c r="I971">
        <v>2</v>
      </c>
      <c r="J971" t="s">
        <v>264</v>
      </c>
      <c r="K971" t="s">
        <v>125</v>
      </c>
      <c r="L971" t="s">
        <v>2366</v>
      </c>
      <c r="U971" t="s">
        <v>149</v>
      </c>
      <c r="W971" t="s">
        <v>135</v>
      </c>
      <c r="X971">
        <v>3</v>
      </c>
      <c r="AC971" t="s">
        <v>136</v>
      </c>
      <c r="AE971" t="s">
        <v>137</v>
      </c>
    </row>
    <row r="972" spans="1:78" x14ac:dyDescent="0.2">
      <c r="A972" t="s">
        <v>119</v>
      </c>
      <c r="B972" t="s">
        <v>120</v>
      </c>
      <c r="C972" t="s">
        <v>2363</v>
      </c>
      <c r="D972">
        <v>12</v>
      </c>
      <c r="E972" t="s">
        <v>370</v>
      </c>
      <c r="F972" t="s">
        <v>140</v>
      </c>
      <c r="G972" t="s">
        <v>124</v>
      </c>
      <c r="H972" t="s">
        <v>125</v>
      </c>
      <c r="I972">
        <v>2</v>
      </c>
      <c r="J972" t="s">
        <v>161</v>
      </c>
      <c r="K972" t="s">
        <v>125</v>
      </c>
      <c r="L972" t="s">
        <v>2367</v>
      </c>
      <c r="U972" t="s">
        <v>149</v>
      </c>
      <c r="W972" t="s">
        <v>135</v>
      </c>
      <c r="X972">
        <v>3</v>
      </c>
      <c r="AC972" t="s">
        <v>136</v>
      </c>
      <c r="AE972" t="s">
        <v>137</v>
      </c>
    </row>
    <row r="973" spans="1:78" hidden="1" x14ac:dyDescent="0.2">
      <c r="A973" t="s">
        <v>119</v>
      </c>
      <c r="B973" t="s">
        <v>120</v>
      </c>
      <c r="C973" t="s">
        <v>2363</v>
      </c>
      <c r="D973">
        <v>15</v>
      </c>
      <c r="E973" t="s">
        <v>2368</v>
      </c>
      <c r="F973" t="s">
        <v>2368</v>
      </c>
      <c r="G973" t="s">
        <v>124</v>
      </c>
      <c r="H973" t="s">
        <v>125</v>
      </c>
      <c r="I973">
        <v>14</v>
      </c>
      <c r="J973" t="s">
        <v>2369</v>
      </c>
      <c r="K973" t="s">
        <v>125</v>
      </c>
      <c r="L973" t="s">
        <v>2370</v>
      </c>
    </row>
    <row r="974" spans="1:78" x14ac:dyDescent="0.2">
      <c r="A974" t="s">
        <v>119</v>
      </c>
      <c r="B974" t="s">
        <v>120</v>
      </c>
      <c r="C974" t="s">
        <v>2363</v>
      </c>
      <c r="D974">
        <v>19</v>
      </c>
      <c r="E974" t="s">
        <v>370</v>
      </c>
      <c r="F974" t="s">
        <v>140</v>
      </c>
      <c r="G974" t="s">
        <v>124</v>
      </c>
      <c r="H974" t="s">
        <v>125</v>
      </c>
      <c r="I974">
        <v>20</v>
      </c>
      <c r="J974" t="s">
        <v>210</v>
      </c>
      <c r="K974" t="s">
        <v>125</v>
      </c>
      <c r="L974" t="s">
        <v>2371</v>
      </c>
      <c r="U974" t="s">
        <v>149</v>
      </c>
      <c r="W974" t="s">
        <v>135</v>
      </c>
      <c r="X974">
        <v>3</v>
      </c>
      <c r="AC974" t="s">
        <v>136</v>
      </c>
      <c r="AE974" t="s">
        <v>137</v>
      </c>
    </row>
    <row r="975" spans="1:78" hidden="1" x14ac:dyDescent="0.2">
      <c r="A975" t="s">
        <v>119</v>
      </c>
      <c r="B975" t="s">
        <v>120</v>
      </c>
      <c r="C975" t="s">
        <v>2363</v>
      </c>
      <c r="D975">
        <v>20</v>
      </c>
      <c r="E975" t="s">
        <v>370</v>
      </c>
      <c r="F975" t="s">
        <v>140</v>
      </c>
      <c r="G975" t="s">
        <v>124</v>
      </c>
      <c r="H975" t="s">
        <v>125</v>
      </c>
      <c r="I975">
        <v>12</v>
      </c>
      <c r="J975" t="s">
        <v>161</v>
      </c>
      <c r="K975" t="s">
        <v>125</v>
      </c>
      <c r="L975" t="s">
        <v>2372</v>
      </c>
    </row>
    <row r="976" spans="1:78" hidden="1" x14ac:dyDescent="0.2">
      <c r="A976" t="s">
        <v>119</v>
      </c>
      <c r="B976" t="s">
        <v>120</v>
      </c>
      <c r="C976" t="s">
        <v>2373</v>
      </c>
      <c r="D976">
        <v>8</v>
      </c>
      <c r="E976" t="s">
        <v>140</v>
      </c>
      <c r="F976" t="s">
        <v>140</v>
      </c>
      <c r="G976" t="s">
        <v>124</v>
      </c>
      <c r="H976" t="s">
        <v>125</v>
      </c>
      <c r="I976">
        <v>0</v>
      </c>
      <c r="J976" t="s">
        <v>126</v>
      </c>
      <c r="K976" t="s">
        <v>125</v>
      </c>
      <c r="L976" t="s">
        <v>2374</v>
      </c>
      <c r="AE976" t="s">
        <v>128</v>
      </c>
      <c r="AG976">
        <v>7</v>
      </c>
      <c r="AH976" t="s">
        <v>375</v>
      </c>
      <c r="AI976" t="s">
        <v>130</v>
      </c>
      <c r="AJ976" t="s">
        <v>131</v>
      </c>
      <c r="AK976" t="s">
        <v>125</v>
      </c>
      <c r="AL976">
        <v>8</v>
      </c>
      <c r="AM976" t="s">
        <v>132</v>
      </c>
      <c r="AN976" t="s">
        <v>125</v>
      </c>
      <c r="AO976" t="s">
        <v>2375</v>
      </c>
      <c r="BP976" t="s">
        <v>149</v>
      </c>
      <c r="BR976" t="s">
        <v>135</v>
      </c>
      <c r="BS976">
        <v>2</v>
      </c>
      <c r="BX976" t="s">
        <v>136</v>
      </c>
      <c r="BZ976" t="s">
        <v>137</v>
      </c>
    </row>
    <row r="977" spans="1:78" x14ac:dyDescent="0.2">
      <c r="A977" t="s">
        <v>119</v>
      </c>
      <c r="B977" t="s">
        <v>120</v>
      </c>
      <c r="C977" t="s">
        <v>2376</v>
      </c>
      <c r="D977">
        <v>8</v>
      </c>
      <c r="E977" t="s">
        <v>1412</v>
      </c>
      <c r="F977" t="s">
        <v>140</v>
      </c>
      <c r="G977" t="s">
        <v>124</v>
      </c>
      <c r="H977" t="s">
        <v>125</v>
      </c>
      <c r="I977">
        <v>0</v>
      </c>
      <c r="J977" t="s">
        <v>126</v>
      </c>
      <c r="K977" t="s">
        <v>125</v>
      </c>
      <c r="L977" t="s">
        <v>2377</v>
      </c>
      <c r="U977" t="s">
        <v>149</v>
      </c>
      <c r="W977" t="s">
        <v>135</v>
      </c>
      <c r="X977">
        <v>2</v>
      </c>
      <c r="AC977" t="s">
        <v>136</v>
      </c>
      <c r="AE977" t="s">
        <v>137</v>
      </c>
    </row>
    <row r="978" spans="1:78" x14ac:dyDescent="0.2">
      <c r="A978" t="s">
        <v>119</v>
      </c>
      <c r="B978" t="s">
        <v>120</v>
      </c>
      <c r="C978" t="s">
        <v>2378</v>
      </c>
      <c r="D978">
        <v>5</v>
      </c>
      <c r="E978" t="s">
        <v>145</v>
      </c>
      <c r="F978" t="s">
        <v>146</v>
      </c>
      <c r="G978" t="s">
        <v>124</v>
      </c>
      <c r="H978" t="s">
        <v>125</v>
      </c>
      <c r="I978">
        <v>2</v>
      </c>
      <c r="J978" t="s">
        <v>264</v>
      </c>
      <c r="K978" t="s">
        <v>125</v>
      </c>
      <c r="L978" t="s">
        <v>2379</v>
      </c>
      <c r="U978" t="s">
        <v>149</v>
      </c>
      <c r="W978" t="s">
        <v>135</v>
      </c>
      <c r="X978">
        <v>3</v>
      </c>
      <c r="AC978" t="s">
        <v>136</v>
      </c>
      <c r="AE978" t="s">
        <v>137</v>
      </c>
      <c r="AG978">
        <v>12</v>
      </c>
      <c r="AH978" t="s">
        <v>2324</v>
      </c>
      <c r="AI978" t="s">
        <v>146</v>
      </c>
      <c r="AJ978" t="s">
        <v>131</v>
      </c>
      <c r="AK978" t="s">
        <v>125</v>
      </c>
      <c r="AL978">
        <v>5</v>
      </c>
      <c r="AM978" t="s">
        <v>268</v>
      </c>
      <c r="AN978" t="s">
        <v>125</v>
      </c>
      <c r="AO978" t="s">
        <v>2380</v>
      </c>
      <c r="BP978" t="s">
        <v>149</v>
      </c>
      <c r="BR978" t="s">
        <v>135</v>
      </c>
      <c r="BS978">
        <v>2</v>
      </c>
      <c r="BX978" t="s">
        <v>136</v>
      </c>
      <c r="BZ978" t="s">
        <v>137</v>
      </c>
    </row>
    <row r="979" spans="1:78" x14ac:dyDescent="0.2">
      <c r="A979" t="s">
        <v>119</v>
      </c>
      <c r="B979" t="s">
        <v>120</v>
      </c>
      <c r="C979" t="s">
        <v>2378</v>
      </c>
      <c r="D979">
        <v>15</v>
      </c>
      <c r="E979" t="s">
        <v>496</v>
      </c>
      <c r="F979" t="s">
        <v>205</v>
      </c>
      <c r="G979" t="s">
        <v>124</v>
      </c>
      <c r="H979" t="s">
        <v>125</v>
      </c>
      <c r="I979">
        <v>5</v>
      </c>
      <c r="J979" t="s">
        <v>161</v>
      </c>
      <c r="K979" t="s">
        <v>125</v>
      </c>
      <c r="L979" t="s">
        <v>2381</v>
      </c>
      <c r="U979" t="s">
        <v>149</v>
      </c>
      <c r="W979" t="s">
        <v>135</v>
      </c>
      <c r="X979">
        <v>2</v>
      </c>
      <c r="AC979" t="s">
        <v>136</v>
      </c>
      <c r="AE979" t="s">
        <v>137</v>
      </c>
    </row>
    <row r="980" spans="1:78" x14ac:dyDescent="0.2">
      <c r="A980" t="s">
        <v>119</v>
      </c>
      <c r="B980" t="s">
        <v>120</v>
      </c>
      <c r="C980" t="s">
        <v>2382</v>
      </c>
      <c r="D980">
        <v>4</v>
      </c>
      <c r="E980" t="s">
        <v>1440</v>
      </c>
      <c r="F980" t="s">
        <v>1441</v>
      </c>
      <c r="G980" t="s">
        <v>124</v>
      </c>
      <c r="H980" t="s">
        <v>125</v>
      </c>
      <c r="I980">
        <v>0</v>
      </c>
      <c r="J980" t="s">
        <v>126</v>
      </c>
      <c r="K980" t="s">
        <v>125</v>
      </c>
      <c r="L980" t="s">
        <v>2383</v>
      </c>
      <c r="U980" t="s">
        <v>149</v>
      </c>
      <c r="W980" t="s">
        <v>135</v>
      </c>
      <c r="X980">
        <v>3</v>
      </c>
      <c r="AC980" t="s">
        <v>136</v>
      </c>
      <c r="AE980" t="s">
        <v>137</v>
      </c>
    </row>
    <row r="981" spans="1:78" x14ac:dyDescent="0.2">
      <c r="A981" t="s">
        <v>119</v>
      </c>
      <c r="B981" t="s">
        <v>120</v>
      </c>
      <c r="C981" t="s">
        <v>2384</v>
      </c>
      <c r="D981">
        <v>5</v>
      </c>
      <c r="E981" t="s">
        <v>614</v>
      </c>
      <c r="F981" t="s">
        <v>205</v>
      </c>
      <c r="G981" t="s">
        <v>124</v>
      </c>
      <c r="H981" t="s">
        <v>125</v>
      </c>
      <c r="I981">
        <v>0</v>
      </c>
      <c r="J981" t="s">
        <v>126</v>
      </c>
      <c r="K981" t="s">
        <v>125</v>
      </c>
      <c r="L981" t="s">
        <v>2385</v>
      </c>
      <c r="U981" t="s">
        <v>149</v>
      </c>
      <c r="W981" t="s">
        <v>135</v>
      </c>
      <c r="X981">
        <v>3</v>
      </c>
      <c r="AC981" t="s">
        <v>136</v>
      </c>
      <c r="AE981" t="s">
        <v>137</v>
      </c>
    </row>
    <row r="982" spans="1:78" hidden="1" x14ac:dyDescent="0.2">
      <c r="A982" t="s">
        <v>119</v>
      </c>
      <c r="B982" t="s">
        <v>120</v>
      </c>
      <c r="C982" t="s">
        <v>2386</v>
      </c>
      <c r="D982">
        <v>5</v>
      </c>
      <c r="E982" t="s">
        <v>543</v>
      </c>
      <c r="F982" t="s">
        <v>331</v>
      </c>
      <c r="G982" t="s">
        <v>124</v>
      </c>
      <c r="H982" t="s">
        <v>125</v>
      </c>
      <c r="I982">
        <v>1</v>
      </c>
      <c r="J982" t="s">
        <v>182</v>
      </c>
      <c r="K982" t="s">
        <v>125</v>
      </c>
      <c r="L982" t="s">
        <v>2387</v>
      </c>
    </row>
    <row r="983" spans="1:78" hidden="1" x14ac:dyDescent="0.2">
      <c r="A983" t="s">
        <v>119</v>
      </c>
      <c r="B983" t="s">
        <v>120</v>
      </c>
      <c r="C983" t="s">
        <v>2388</v>
      </c>
      <c r="D983">
        <v>3</v>
      </c>
      <c r="E983" t="s">
        <v>2389</v>
      </c>
      <c r="F983" t="s">
        <v>1886</v>
      </c>
      <c r="G983" t="s">
        <v>124</v>
      </c>
      <c r="H983" t="s">
        <v>125</v>
      </c>
      <c r="I983">
        <v>0</v>
      </c>
      <c r="J983" t="s">
        <v>126</v>
      </c>
      <c r="K983" t="s">
        <v>125</v>
      </c>
      <c r="L983" t="s">
        <v>2390</v>
      </c>
      <c r="U983" t="s">
        <v>149</v>
      </c>
      <c r="W983" t="s">
        <v>135</v>
      </c>
      <c r="X983">
        <v>3</v>
      </c>
      <c r="AC983" t="s">
        <v>209</v>
      </c>
      <c r="AE983" t="s">
        <v>137</v>
      </c>
      <c r="AG983">
        <v>19</v>
      </c>
      <c r="AH983" t="s">
        <v>145</v>
      </c>
      <c r="AI983" t="s">
        <v>146</v>
      </c>
      <c r="AJ983" t="s">
        <v>131</v>
      </c>
      <c r="AK983" t="s">
        <v>125</v>
      </c>
      <c r="AL983">
        <v>3</v>
      </c>
      <c r="AM983" t="s">
        <v>161</v>
      </c>
      <c r="AN983" t="s">
        <v>125</v>
      </c>
      <c r="AO983" t="s">
        <v>2391</v>
      </c>
      <c r="BP983" t="s">
        <v>149</v>
      </c>
      <c r="BR983" t="s">
        <v>135</v>
      </c>
      <c r="BS983">
        <v>3</v>
      </c>
      <c r="BX983" t="s">
        <v>136</v>
      </c>
      <c r="BZ983" t="s">
        <v>137</v>
      </c>
    </row>
    <row r="984" spans="1:78" hidden="1" x14ac:dyDescent="0.2">
      <c r="A984" t="s">
        <v>119</v>
      </c>
      <c r="B984" t="s">
        <v>120</v>
      </c>
      <c r="C984" t="s">
        <v>2388</v>
      </c>
      <c r="D984">
        <v>8</v>
      </c>
      <c r="E984" t="s">
        <v>761</v>
      </c>
      <c r="F984" t="s">
        <v>762</v>
      </c>
      <c r="G984" t="s">
        <v>124</v>
      </c>
      <c r="H984" t="s">
        <v>125</v>
      </c>
      <c r="I984">
        <v>3</v>
      </c>
      <c r="J984" t="s">
        <v>161</v>
      </c>
      <c r="K984" t="s">
        <v>125</v>
      </c>
      <c r="L984" t="s">
        <v>2392</v>
      </c>
      <c r="T984" t="s">
        <v>154</v>
      </c>
      <c r="W984" t="s">
        <v>135</v>
      </c>
      <c r="AC984" t="s">
        <v>143</v>
      </c>
      <c r="AE984" t="s">
        <v>144</v>
      </c>
      <c r="AG984">
        <v>7</v>
      </c>
      <c r="AH984" t="s">
        <v>614</v>
      </c>
      <c r="AI984" t="s">
        <v>205</v>
      </c>
      <c r="AJ984" t="s">
        <v>131</v>
      </c>
      <c r="AK984" t="s">
        <v>125</v>
      </c>
      <c r="AL984">
        <v>8</v>
      </c>
      <c r="AM984" t="s">
        <v>132</v>
      </c>
      <c r="AN984" t="s">
        <v>125</v>
      </c>
      <c r="AO984" t="s">
        <v>2393</v>
      </c>
      <c r="BP984" t="s">
        <v>149</v>
      </c>
      <c r="BR984" t="s">
        <v>135</v>
      </c>
      <c r="BS984">
        <v>3</v>
      </c>
      <c r="BX984" t="s">
        <v>136</v>
      </c>
      <c r="BZ984" t="s">
        <v>137</v>
      </c>
    </row>
    <row r="985" spans="1:78" x14ac:dyDescent="0.2">
      <c r="A985" t="s">
        <v>119</v>
      </c>
      <c r="B985" t="s">
        <v>120</v>
      </c>
      <c r="C985" t="s">
        <v>2394</v>
      </c>
      <c r="D985">
        <v>7</v>
      </c>
      <c r="E985" t="s">
        <v>2395</v>
      </c>
      <c r="F985" t="s">
        <v>2396</v>
      </c>
      <c r="G985" t="s">
        <v>124</v>
      </c>
      <c r="H985" t="s">
        <v>125</v>
      </c>
      <c r="I985">
        <v>4</v>
      </c>
      <c r="J985" t="s">
        <v>199</v>
      </c>
      <c r="K985" t="s">
        <v>125</v>
      </c>
      <c r="L985" t="s">
        <v>2397</v>
      </c>
      <c r="U985" t="s">
        <v>149</v>
      </c>
      <c r="W985" t="s">
        <v>135</v>
      </c>
      <c r="X985">
        <v>3</v>
      </c>
      <c r="AC985" t="s">
        <v>136</v>
      </c>
      <c r="AE985" t="s">
        <v>137</v>
      </c>
    </row>
    <row r="986" spans="1:78" hidden="1" x14ac:dyDescent="0.2">
      <c r="A986" t="s">
        <v>119</v>
      </c>
      <c r="B986" t="s">
        <v>120</v>
      </c>
      <c r="C986" t="s">
        <v>2398</v>
      </c>
      <c r="D986">
        <v>6</v>
      </c>
      <c r="E986" t="s">
        <v>2399</v>
      </c>
      <c r="F986" t="s">
        <v>2399</v>
      </c>
      <c r="G986" t="s">
        <v>124</v>
      </c>
      <c r="H986" t="s">
        <v>125</v>
      </c>
      <c r="I986">
        <v>3</v>
      </c>
      <c r="J986" t="s">
        <v>264</v>
      </c>
      <c r="K986" t="s">
        <v>125</v>
      </c>
      <c r="L986" t="s">
        <v>2400</v>
      </c>
      <c r="AE986" t="s">
        <v>128</v>
      </c>
      <c r="AG986">
        <v>5</v>
      </c>
      <c r="AH986" t="s">
        <v>801</v>
      </c>
      <c r="AI986" t="s">
        <v>667</v>
      </c>
      <c r="AJ986" t="s">
        <v>131</v>
      </c>
      <c r="AK986" t="s">
        <v>125</v>
      </c>
      <c r="AL986">
        <v>6</v>
      </c>
      <c r="AM986" t="s">
        <v>132</v>
      </c>
      <c r="AN986" t="s">
        <v>125</v>
      </c>
      <c r="AO986" t="s">
        <v>2401</v>
      </c>
      <c r="BP986" t="s">
        <v>149</v>
      </c>
      <c r="BR986" t="s">
        <v>135</v>
      </c>
      <c r="BS986">
        <v>2</v>
      </c>
      <c r="BX986" t="s">
        <v>136</v>
      </c>
      <c r="BZ986" t="s">
        <v>137</v>
      </c>
    </row>
    <row r="987" spans="1:78" x14ac:dyDescent="0.2">
      <c r="A987" t="s">
        <v>119</v>
      </c>
      <c r="B987" t="s">
        <v>120</v>
      </c>
      <c r="C987" t="s">
        <v>2402</v>
      </c>
      <c r="D987">
        <v>4</v>
      </c>
      <c r="E987" t="s">
        <v>2403</v>
      </c>
      <c r="F987" t="s">
        <v>261</v>
      </c>
      <c r="G987" t="s">
        <v>124</v>
      </c>
      <c r="H987" t="s">
        <v>125</v>
      </c>
      <c r="I987">
        <v>0</v>
      </c>
      <c r="J987" t="s">
        <v>126</v>
      </c>
      <c r="K987" t="s">
        <v>125</v>
      </c>
      <c r="L987" t="s">
        <v>2404</v>
      </c>
      <c r="U987" t="s">
        <v>134</v>
      </c>
      <c r="W987" t="s">
        <v>135</v>
      </c>
      <c r="X987">
        <v>1</v>
      </c>
      <c r="AC987" t="s">
        <v>136</v>
      </c>
      <c r="AE987" t="s">
        <v>137</v>
      </c>
    </row>
    <row r="988" spans="1:78" x14ac:dyDescent="0.2">
      <c r="A988" t="s">
        <v>119</v>
      </c>
      <c r="B988" t="s">
        <v>120</v>
      </c>
      <c r="C988" t="s">
        <v>2402</v>
      </c>
      <c r="D988">
        <v>8</v>
      </c>
      <c r="E988" t="s">
        <v>2405</v>
      </c>
      <c r="F988" t="s">
        <v>283</v>
      </c>
      <c r="G988" t="s">
        <v>124</v>
      </c>
      <c r="H988" t="s">
        <v>125</v>
      </c>
      <c r="I988">
        <v>4</v>
      </c>
      <c r="J988" t="s">
        <v>264</v>
      </c>
      <c r="K988" t="s">
        <v>125</v>
      </c>
      <c r="L988" t="s">
        <v>2406</v>
      </c>
      <c r="U988" t="s">
        <v>149</v>
      </c>
      <c r="W988" t="s">
        <v>155</v>
      </c>
      <c r="X988">
        <v>1</v>
      </c>
      <c r="AC988" t="s">
        <v>136</v>
      </c>
      <c r="AE988" t="s">
        <v>137</v>
      </c>
    </row>
    <row r="989" spans="1:78" hidden="1" x14ac:dyDescent="0.2">
      <c r="A989" t="s">
        <v>119</v>
      </c>
      <c r="B989" t="s">
        <v>120</v>
      </c>
      <c r="C989" t="s">
        <v>2402</v>
      </c>
      <c r="D989">
        <v>11</v>
      </c>
      <c r="E989" t="s">
        <v>2407</v>
      </c>
      <c r="F989" t="s">
        <v>2408</v>
      </c>
      <c r="G989" t="s">
        <v>124</v>
      </c>
      <c r="H989" t="s">
        <v>125</v>
      </c>
      <c r="I989">
        <v>8</v>
      </c>
      <c r="J989" t="s">
        <v>294</v>
      </c>
      <c r="K989" t="s">
        <v>125</v>
      </c>
      <c r="L989" t="s">
        <v>2409</v>
      </c>
      <c r="AE989" t="s">
        <v>128</v>
      </c>
    </row>
    <row r="990" spans="1:78" x14ac:dyDescent="0.2">
      <c r="A990" t="s">
        <v>119</v>
      </c>
      <c r="B990" t="s">
        <v>120</v>
      </c>
      <c r="C990" t="s">
        <v>2410</v>
      </c>
      <c r="D990">
        <v>1</v>
      </c>
      <c r="E990" t="s">
        <v>2403</v>
      </c>
      <c r="F990" t="s">
        <v>261</v>
      </c>
      <c r="G990" t="s">
        <v>124</v>
      </c>
      <c r="H990" t="s">
        <v>125</v>
      </c>
      <c r="I990">
        <v>0</v>
      </c>
      <c r="J990" t="s">
        <v>126</v>
      </c>
      <c r="K990" t="s">
        <v>125</v>
      </c>
      <c r="L990" t="s">
        <v>2411</v>
      </c>
      <c r="U990" t="s">
        <v>134</v>
      </c>
      <c r="W990" t="s">
        <v>135</v>
      </c>
      <c r="X990">
        <v>1</v>
      </c>
      <c r="AC990" t="s">
        <v>136</v>
      </c>
      <c r="AE990" t="s">
        <v>137</v>
      </c>
    </row>
    <row r="991" spans="1:78" x14ac:dyDescent="0.2">
      <c r="A991" t="s">
        <v>119</v>
      </c>
      <c r="B991" t="s">
        <v>120</v>
      </c>
      <c r="C991" t="s">
        <v>2412</v>
      </c>
      <c r="D991">
        <v>6</v>
      </c>
      <c r="E991" t="s">
        <v>2413</v>
      </c>
      <c r="F991" t="s">
        <v>140</v>
      </c>
      <c r="G991" t="s">
        <v>124</v>
      </c>
      <c r="H991" t="s">
        <v>125</v>
      </c>
      <c r="I991">
        <v>8</v>
      </c>
      <c r="J991" t="s">
        <v>210</v>
      </c>
      <c r="K991" t="s">
        <v>125</v>
      </c>
      <c r="L991" t="s">
        <v>2414</v>
      </c>
      <c r="U991" t="s">
        <v>149</v>
      </c>
      <c r="W991" t="s">
        <v>135</v>
      </c>
      <c r="X991">
        <v>1</v>
      </c>
      <c r="AC991" t="s">
        <v>136</v>
      </c>
      <c r="AE991" t="s">
        <v>137</v>
      </c>
    </row>
    <row r="992" spans="1:78" hidden="1" x14ac:dyDescent="0.2">
      <c r="A992" t="s">
        <v>119</v>
      </c>
      <c r="B992" t="s">
        <v>120</v>
      </c>
      <c r="C992" t="s">
        <v>2412</v>
      </c>
      <c r="D992">
        <v>7</v>
      </c>
      <c r="E992" t="s">
        <v>2413</v>
      </c>
      <c r="F992" t="s">
        <v>140</v>
      </c>
      <c r="G992" t="s">
        <v>124</v>
      </c>
      <c r="H992" t="s">
        <v>125</v>
      </c>
      <c r="I992">
        <v>8</v>
      </c>
      <c r="J992" t="s">
        <v>210</v>
      </c>
      <c r="K992" t="s">
        <v>125</v>
      </c>
      <c r="L992" t="s">
        <v>2415</v>
      </c>
      <c r="U992" t="s">
        <v>149</v>
      </c>
      <c r="W992" t="s">
        <v>135</v>
      </c>
      <c r="AE992" t="s">
        <v>137</v>
      </c>
    </row>
    <row r="993" spans="1:78" x14ac:dyDescent="0.2">
      <c r="A993" t="s">
        <v>119</v>
      </c>
      <c r="B993" t="s">
        <v>120</v>
      </c>
      <c r="C993" t="s">
        <v>2412</v>
      </c>
      <c r="D993">
        <v>8</v>
      </c>
      <c r="E993" t="s">
        <v>2413</v>
      </c>
      <c r="F993" t="s">
        <v>140</v>
      </c>
      <c r="G993" t="s">
        <v>124</v>
      </c>
      <c r="H993" t="s">
        <v>125</v>
      </c>
      <c r="I993">
        <v>0</v>
      </c>
      <c r="J993" t="s">
        <v>126</v>
      </c>
      <c r="K993" t="s">
        <v>125</v>
      </c>
      <c r="L993" t="s">
        <v>2416</v>
      </c>
      <c r="U993" t="s">
        <v>149</v>
      </c>
      <c r="W993" t="s">
        <v>135</v>
      </c>
      <c r="X993">
        <v>1</v>
      </c>
      <c r="AC993" t="s">
        <v>136</v>
      </c>
      <c r="AE993" t="s">
        <v>137</v>
      </c>
    </row>
    <row r="994" spans="1:78" x14ac:dyDescent="0.2">
      <c r="A994" t="s">
        <v>119</v>
      </c>
      <c r="B994" t="s">
        <v>120</v>
      </c>
      <c r="C994" t="s">
        <v>2417</v>
      </c>
      <c r="D994">
        <v>3</v>
      </c>
      <c r="E994" t="s">
        <v>2418</v>
      </c>
      <c r="F994" t="s">
        <v>2419</v>
      </c>
      <c r="G994" t="s">
        <v>124</v>
      </c>
      <c r="H994" t="s">
        <v>125</v>
      </c>
      <c r="I994">
        <v>0</v>
      </c>
      <c r="J994" t="s">
        <v>126</v>
      </c>
      <c r="K994" t="s">
        <v>125</v>
      </c>
      <c r="L994" t="s">
        <v>2420</v>
      </c>
      <c r="U994" t="s">
        <v>149</v>
      </c>
      <c r="W994" t="s">
        <v>135</v>
      </c>
      <c r="X994">
        <v>1</v>
      </c>
      <c r="AC994" t="s">
        <v>136</v>
      </c>
      <c r="AE994" t="s">
        <v>137</v>
      </c>
    </row>
    <row r="995" spans="1:78" x14ac:dyDescent="0.2">
      <c r="A995" t="s">
        <v>119</v>
      </c>
      <c r="B995" t="s">
        <v>120</v>
      </c>
      <c r="C995" t="s">
        <v>2421</v>
      </c>
      <c r="D995">
        <v>3</v>
      </c>
      <c r="E995" t="s">
        <v>2422</v>
      </c>
      <c r="F995" t="s">
        <v>390</v>
      </c>
      <c r="G995" t="s">
        <v>124</v>
      </c>
      <c r="H995" t="s">
        <v>125</v>
      </c>
      <c r="I995">
        <v>0</v>
      </c>
      <c r="J995" t="s">
        <v>126</v>
      </c>
      <c r="K995" t="s">
        <v>125</v>
      </c>
      <c r="L995" t="s">
        <v>2423</v>
      </c>
      <c r="U995" t="s">
        <v>149</v>
      </c>
      <c r="W995" t="s">
        <v>135</v>
      </c>
      <c r="X995">
        <v>1</v>
      </c>
      <c r="AC995" t="s">
        <v>136</v>
      </c>
      <c r="AE995" t="s">
        <v>137</v>
      </c>
    </row>
    <row r="996" spans="1:78" hidden="1" x14ac:dyDescent="0.2">
      <c r="A996" t="s">
        <v>119</v>
      </c>
      <c r="B996" t="s">
        <v>120</v>
      </c>
      <c r="C996" t="s">
        <v>2421</v>
      </c>
      <c r="D996">
        <v>8</v>
      </c>
      <c r="E996" t="s">
        <v>566</v>
      </c>
      <c r="F996" t="s">
        <v>566</v>
      </c>
      <c r="G996" t="s">
        <v>124</v>
      </c>
      <c r="H996" t="s">
        <v>125</v>
      </c>
      <c r="I996">
        <v>3</v>
      </c>
      <c r="J996" t="s">
        <v>294</v>
      </c>
      <c r="K996" t="s">
        <v>125</v>
      </c>
      <c r="L996" t="s">
        <v>2424</v>
      </c>
      <c r="AE996" t="s">
        <v>128</v>
      </c>
    </row>
    <row r="997" spans="1:78" hidden="1" x14ac:dyDescent="0.2">
      <c r="A997" t="s">
        <v>119</v>
      </c>
      <c r="B997" t="s">
        <v>120</v>
      </c>
      <c r="C997" t="s">
        <v>2425</v>
      </c>
      <c r="D997">
        <v>2</v>
      </c>
      <c r="E997" t="s">
        <v>140</v>
      </c>
      <c r="F997" t="s">
        <v>140</v>
      </c>
      <c r="G997" t="s">
        <v>124</v>
      </c>
      <c r="H997" t="s">
        <v>125</v>
      </c>
      <c r="I997">
        <v>0</v>
      </c>
      <c r="J997" t="s">
        <v>126</v>
      </c>
      <c r="K997" t="s">
        <v>125</v>
      </c>
      <c r="L997" t="s">
        <v>2426</v>
      </c>
      <c r="AE997" t="s">
        <v>128</v>
      </c>
    </row>
    <row r="998" spans="1:78" hidden="1" x14ac:dyDescent="0.2">
      <c r="A998" t="s">
        <v>119</v>
      </c>
      <c r="B998" t="s">
        <v>120</v>
      </c>
      <c r="C998" t="s">
        <v>2425</v>
      </c>
      <c r="D998">
        <v>10</v>
      </c>
      <c r="E998" t="s">
        <v>1756</v>
      </c>
      <c r="F998" t="s">
        <v>1757</v>
      </c>
      <c r="G998" t="s">
        <v>124</v>
      </c>
      <c r="H998" t="s">
        <v>125</v>
      </c>
      <c r="I998">
        <v>4</v>
      </c>
      <c r="J998" t="s">
        <v>386</v>
      </c>
      <c r="K998" t="s">
        <v>125</v>
      </c>
      <c r="L998" t="s">
        <v>2427</v>
      </c>
    </row>
    <row r="999" spans="1:78" x14ac:dyDescent="0.2">
      <c r="A999" t="s">
        <v>119</v>
      </c>
      <c r="B999" t="s">
        <v>120</v>
      </c>
      <c r="C999" t="s">
        <v>2428</v>
      </c>
      <c r="D999">
        <v>2</v>
      </c>
      <c r="E999" t="s">
        <v>1360</v>
      </c>
      <c r="F999" t="s">
        <v>350</v>
      </c>
      <c r="G999" t="s">
        <v>124</v>
      </c>
      <c r="H999" t="s">
        <v>125</v>
      </c>
      <c r="I999">
        <v>0</v>
      </c>
      <c r="J999" t="s">
        <v>126</v>
      </c>
      <c r="K999" t="s">
        <v>125</v>
      </c>
      <c r="L999" t="s">
        <v>2429</v>
      </c>
      <c r="U999" t="s">
        <v>149</v>
      </c>
      <c r="W999" t="s">
        <v>135</v>
      </c>
      <c r="X999">
        <v>3</v>
      </c>
      <c r="AC999" t="s">
        <v>136</v>
      </c>
      <c r="AE999" t="s">
        <v>137</v>
      </c>
    </row>
    <row r="1000" spans="1:78" x14ac:dyDescent="0.2">
      <c r="A1000" t="s">
        <v>119</v>
      </c>
      <c r="B1000" t="s">
        <v>120</v>
      </c>
      <c r="C1000" t="s">
        <v>2428</v>
      </c>
      <c r="D1000">
        <v>6</v>
      </c>
      <c r="E1000" t="s">
        <v>197</v>
      </c>
      <c r="F1000" t="s">
        <v>198</v>
      </c>
      <c r="G1000" t="s">
        <v>124</v>
      </c>
      <c r="H1000" t="s">
        <v>125</v>
      </c>
      <c r="I1000">
        <v>2</v>
      </c>
      <c r="J1000" t="s">
        <v>199</v>
      </c>
      <c r="K1000" t="s">
        <v>125</v>
      </c>
      <c r="L1000" t="s">
        <v>2430</v>
      </c>
      <c r="U1000" t="s">
        <v>149</v>
      </c>
      <c r="W1000" t="s">
        <v>135</v>
      </c>
      <c r="X1000">
        <v>1</v>
      </c>
      <c r="AC1000" t="s">
        <v>136</v>
      </c>
      <c r="AE1000" t="s">
        <v>137</v>
      </c>
    </row>
    <row r="1001" spans="1:78" hidden="1" x14ac:dyDescent="0.2">
      <c r="A1001" t="s">
        <v>119</v>
      </c>
      <c r="B1001" t="s">
        <v>120</v>
      </c>
      <c r="C1001" t="s">
        <v>2428</v>
      </c>
      <c r="D1001">
        <v>13</v>
      </c>
      <c r="E1001" t="s">
        <v>691</v>
      </c>
      <c r="F1001" t="s">
        <v>261</v>
      </c>
      <c r="G1001" t="s">
        <v>124</v>
      </c>
      <c r="H1001" t="s">
        <v>125</v>
      </c>
      <c r="I1001">
        <v>6</v>
      </c>
      <c r="J1001" t="s">
        <v>268</v>
      </c>
      <c r="K1001" t="s">
        <v>125</v>
      </c>
      <c r="L1001" t="s">
        <v>2431</v>
      </c>
      <c r="T1001" t="s">
        <v>154</v>
      </c>
      <c r="W1001" t="s">
        <v>135</v>
      </c>
      <c r="AC1001" t="s">
        <v>143</v>
      </c>
      <c r="AE1001" t="s">
        <v>144</v>
      </c>
      <c r="AG1001">
        <v>11</v>
      </c>
      <c r="AH1001" t="s">
        <v>496</v>
      </c>
      <c r="AI1001" t="s">
        <v>205</v>
      </c>
      <c r="AJ1001" t="s">
        <v>131</v>
      </c>
      <c r="AK1001" t="s">
        <v>125</v>
      </c>
      <c r="AL1001">
        <v>13</v>
      </c>
      <c r="AM1001" t="s">
        <v>132</v>
      </c>
      <c r="AN1001" t="s">
        <v>125</v>
      </c>
      <c r="AO1001" t="s">
        <v>2432</v>
      </c>
      <c r="BP1001" t="s">
        <v>149</v>
      </c>
      <c r="BR1001" t="s">
        <v>135</v>
      </c>
      <c r="BS1001">
        <v>2</v>
      </c>
      <c r="BX1001" t="s">
        <v>136</v>
      </c>
      <c r="BZ1001" t="s">
        <v>137</v>
      </c>
    </row>
    <row r="1002" spans="1:78" x14ac:dyDescent="0.2">
      <c r="A1002" t="s">
        <v>119</v>
      </c>
      <c r="B1002" t="s">
        <v>120</v>
      </c>
      <c r="C1002" t="s">
        <v>2433</v>
      </c>
      <c r="D1002">
        <v>3</v>
      </c>
      <c r="E1002" t="s">
        <v>801</v>
      </c>
      <c r="F1002" t="s">
        <v>667</v>
      </c>
      <c r="G1002" t="s">
        <v>124</v>
      </c>
      <c r="H1002" t="s">
        <v>125</v>
      </c>
      <c r="I1002">
        <v>0</v>
      </c>
      <c r="J1002" t="s">
        <v>126</v>
      </c>
      <c r="K1002" t="s">
        <v>125</v>
      </c>
      <c r="L1002" t="s">
        <v>2434</v>
      </c>
      <c r="U1002" t="s">
        <v>149</v>
      </c>
      <c r="W1002" t="s">
        <v>135</v>
      </c>
      <c r="X1002">
        <v>2</v>
      </c>
      <c r="AC1002" t="s">
        <v>136</v>
      </c>
      <c r="AE1002" t="s">
        <v>137</v>
      </c>
    </row>
    <row r="1003" spans="1:78" hidden="1" x14ac:dyDescent="0.2">
      <c r="A1003" t="s">
        <v>119</v>
      </c>
      <c r="B1003" t="s">
        <v>120</v>
      </c>
      <c r="C1003" t="s">
        <v>2435</v>
      </c>
      <c r="D1003">
        <v>5</v>
      </c>
      <c r="E1003" t="s">
        <v>691</v>
      </c>
      <c r="F1003" t="s">
        <v>261</v>
      </c>
      <c r="G1003" t="s">
        <v>124</v>
      </c>
      <c r="H1003" t="s">
        <v>125</v>
      </c>
      <c r="I1003">
        <v>0</v>
      </c>
      <c r="J1003" t="s">
        <v>126</v>
      </c>
      <c r="K1003" t="s">
        <v>125</v>
      </c>
      <c r="L1003" t="s">
        <v>2436</v>
      </c>
      <c r="T1003" t="s">
        <v>154</v>
      </c>
      <c r="W1003" t="s">
        <v>135</v>
      </c>
      <c r="AC1003" t="s">
        <v>143</v>
      </c>
      <c r="AE1003" t="s">
        <v>144</v>
      </c>
      <c r="AG1003">
        <v>3</v>
      </c>
      <c r="AH1003" t="s">
        <v>496</v>
      </c>
      <c r="AI1003" t="s">
        <v>205</v>
      </c>
      <c r="AJ1003" t="s">
        <v>131</v>
      </c>
      <c r="AK1003" t="s">
        <v>125</v>
      </c>
      <c r="AL1003">
        <v>5</v>
      </c>
      <c r="AM1003" t="s">
        <v>132</v>
      </c>
      <c r="AN1003" t="s">
        <v>125</v>
      </c>
      <c r="AO1003" t="s">
        <v>2437</v>
      </c>
      <c r="BP1003" t="s">
        <v>149</v>
      </c>
      <c r="BR1003" t="s">
        <v>135</v>
      </c>
      <c r="BS1003">
        <v>2</v>
      </c>
      <c r="BX1003" t="s">
        <v>136</v>
      </c>
      <c r="BZ1003" t="s">
        <v>137</v>
      </c>
    </row>
    <row r="1004" spans="1:78" x14ac:dyDescent="0.2">
      <c r="A1004" t="s">
        <v>119</v>
      </c>
      <c r="B1004" t="s">
        <v>120</v>
      </c>
      <c r="C1004" t="s">
        <v>2435</v>
      </c>
      <c r="D1004">
        <v>11</v>
      </c>
      <c r="E1004" t="s">
        <v>2438</v>
      </c>
      <c r="F1004" t="s">
        <v>390</v>
      </c>
      <c r="G1004" t="s">
        <v>124</v>
      </c>
      <c r="H1004" t="s">
        <v>125</v>
      </c>
      <c r="I1004">
        <v>5</v>
      </c>
      <c r="J1004" t="s">
        <v>1427</v>
      </c>
      <c r="K1004" t="s">
        <v>125</v>
      </c>
      <c r="L1004" t="s">
        <v>2439</v>
      </c>
      <c r="U1004" t="s">
        <v>149</v>
      </c>
      <c r="W1004" t="s">
        <v>135</v>
      </c>
      <c r="X1004">
        <v>2</v>
      </c>
      <c r="AC1004" t="s">
        <v>136</v>
      </c>
      <c r="AE1004" t="s">
        <v>137</v>
      </c>
    </row>
    <row r="1005" spans="1:78" hidden="1" x14ac:dyDescent="0.2">
      <c r="A1005" t="s">
        <v>119</v>
      </c>
      <c r="B1005" t="s">
        <v>120</v>
      </c>
      <c r="C1005" t="s">
        <v>2435</v>
      </c>
      <c r="D1005">
        <v>15</v>
      </c>
      <c r="E1005" t="s">
        <v>566</v>
      </c>
      <c r="F1005" t="s">
        <v>566</v>
      </c>
      <c r="G1005" t="s">
        <v>124</v>
      </c>
      <c r="H1005" t="s">
        <v>125</v>
      </c>
      <c r="I1005">
        <v>11</v>
      </c>
      <c r="J1005" t="s">
        <v>294</v>
      </c>
      <c r="K1005" t="s">
        <v>125</v>
      </c>
      <c r="L1005" t="s">
        <v>2440</v>
      </c>
      <c r="AE1005" t="s">
        <v>128</v>
      </c>
    </row>
    <row r="1006" spans="1:78" hidden="1" x14ac:dyDescent="0.2">
      <c r="A1006" t="s">
        <v>119</v>
      </c>
      <c r="B1006" t="s">
        <v>120</v>
      </c>
      <c r="C1006" t="s">
        <v>2441</v>
      </c>
      <c r="D1006">
        <v>5</v>
      </c>
      <c r="E1006" t="s">
        <v>350</v>
      </c>
      <c r="F1006" t="s">
        <v>350</v>
      </c>
      <c r="G1006" t="s">
        <v>124</v>
      </c>
      <c r="H1006" t="s">
        <v>125</v>
      </c>
      <c r="I1006">
        <v>0</v>
      </c>
      <c r="J1006" t="s">
        <v>126</v>
      </c>
      <c r="K1006" t="s">
        <v>125</v>
      </c>
      <c r="L1006" t="s">
        <v>2442</v>
      </c>
      <c r="AE1006" t="s">
        <v>128</v>
      </c>
      <c r="AG1006">
        <v>4</v>
      </c>
      <c r="AH1006" t="s">
        <v>1339</v>
      </c>
      <c r="AI1006" t="s">
        <v>130</v>
      </c>
      <c r="AJ1006" t="s">
        <v>131</v>
      </c>
      <c r="AK1006" t="s">
        <v>125</v>
      </c>
      <c r="AL1006">
        <v>5</v>
      </c>
      <c r="AM1006" t="s">
        <v>132</v>
      </c>
      <c r="AN1006" t="s">
        <v>125</v>
      </c>
      <c r="AO1006" t="s">
        <v>2443</v>
      </c>
      <c r="BP1006" t="s">
        <v>149</v>
      </c>
      <c r="BR1006" t="s">
        <v>135</v>
      </c>
      <c r="BS1006">
        <v>1</v>
      </c>
      <c r="BX1006" t="s">
        <v>136</v>
      </c>
      <c r="BZ1006" t="s">
        <v>137</v>
      </c>
    </row>
    <row r="1007" spans="1:78" x14ac:dyDescent="0.2">
      <c r="A1007" t="s">
        <v>119</v>
      </c>
      <c r="B1007" t="s">
        <v>120</v>
      </c>
      <c r="C1007" t="s">
        <v>2444</v>
      </c>
      <c r="D1007">
        <v>3</v>
      </c>
      <c r="E1007" t="s">
        <v>197</v>
      </c>
      <c r="F1007" t="s">
        <v>198</v>
      </c>
      <c r="G1007" t="s">
        <v>124</v>
      </c>
      <c r="H1007" t="s">
        <v>125</v>
      </c>
      <c r="I1007">
        <v>0</v>
      </c>
      <c r="J1007" t="s">
        <v>126</v>
      </c>
      <c r="K1007" t="s">
        <v>125</v>
      </c>
      <c r="L1007" t="s">
        <v>2445</v>
      </c>
      <c r="U1007" t="s">
        <v>149</v>
      </c>
      <c r="W1007" t="s">
        <v>135</v>
      </c>
      <c r="X1007">
        <v>1</v>
      </c>
      <c r="AC1007" t="s">
        <v>136</v>
      </c>
      <c r="AE1007" t="s">
        <v>137</v>
      </c>
    </row>
    <row r="1008" spans="1:78" hidden="1" x14ac:dyDescent="0.2">
      <c r="A1008" t="s">
        <v>119</v>
      </c>
      <c r="B1008" t="s">
        <v>120</v>
      </c>
      <c r="C1008" t="s">
        <v>2446</v>
      </c>
      <c r="D1008">
        <v>2</v>
      </c>
      <c r="E1008" t="s">
        <v>2447</v>
      </c>
      <c r="F1008" t="s">
        <v>2448</v>
      </c>
      <c r="G1008" t="s">
        <v>124</v>
      </c>
      <c r="H1008" t="s">
        <v>125</v>
      </c>
      <c r="I1008">
        <v>0</v>
      </c>
      <c r="J1008" t="s">
        <v>126</v>
      </c>
      <c r="K1008" t="s">
        <v>125</v>
      </c>
      <c r="L1008" t="s">
        <v>2449</v>
      </c>
      <c r="AE1008" t="s">
        <v>394</v>
      </c>
      <c r="AG1008">
        <v>1</v>
      </c>
      <c r="AH1008" t="s">
        <v>282</v>
      </c>
      <c r="AI1008" t="s">
        <v>146</v>
      </c>
      <c r="AJ1008" t="s">
        <v>131</v>
      </c>
      <c r="AK1008" t="s">
        <v>125</v>
      </c>
      <c r="AL1008">
        <v>2</v>
      </c>
      <c r="AM1008" t="s">
        <v>132</v>
      </c>
      <c r="AN1008" t="s">
        <v>125</v>
      </c>
      <c r="AO1008" t="s">
        <v>2450</v>
      </c>
      <c r="BP1008" t="s">
        <v>209</v>
      </c>
      <c r="BR1008" t="s">
        <v>155</v>
      </c>
      <c r="BS1008">
        <v>1</v>
      </c>
      <c r="BX1008" t="s">
        <v>136</v>
      </c>
      <c r="BZ1008" t="s">
        <v>137</v>
      </c>
    </row>
    <row r="1009" spans="1:78" hidden="1" x14ac:dyDescent="0.2">
      <c r="A1009" t="s">
        <v>119</v>
      </c>
      <c r="B1009" t="s">
        <v>120</v>
      </c>
      <c r="C1009" t="s">
        <v>2446</v>
      </c>
      <c r="D1009">
        <v>4</v>
      </c>
      <c r="E1009" t="s">
        <v>2447</v>
      </c>
      <c r="F1009" t="s">
        <v>2448</v>
      </c>
      <c r="G1009" t="s">
        <v>124</v>
      </c>
      <c r="H1009" t="s">
        <v>125</v>
      </c>
      <c r="I1009">
        <v>2</v>
      </c>
      <c r="J1009" t="s">
        <v>199</v>
      </c>
      <c r="K1009" t="s">
        <v>125</v>
      </c>
      <c r="L1009" t="s">
        <v>2451</v>
      </c>
      <c r="AE1009" t="s">
        <v>394</v>
      </c>
      <c r="AG1009">
        <v>3</v>
      </c>
      <c r="AH1009" t="s">
        <v>282</v>
      </c>
      <c r="AI1009" t="s">
        <v>146</v>
      </c>
      <c r="AJ1009" t="s">
        <v>131</v>
      </c>
      <c r="AK1009" t="s">
        <v>125</v>
      </c>
      <c r="AL1009">
        <v>4</v>
      </c>
      <c r="AM1009" t="s">
        <v>132</v>
      </c>
      <c r="AN1009" t="s">
        <v>125</v>
      </c>
      <c r="AO1009" t="s">
        <v>2452</v>
      </c>
      <c r="BP1009" t="s">
        <v>209</v>
      </c>
      <c r="BR1009" t="s">
        <v>155</v>
      </c>
      <c r="BS1009">
        <v>1</v>
      </c>
      <c r="BX1009" t="s">
        <v>136</v>
      </c>
      <c r="BZ1009" t="s">
        <v>137</v>
      </c>
    </row>
    <row r="1010" spans="1:78" hidden="1" x14ac:dyDescent="0.2">
      <c r="A1010" t="s">
        <v>119</v>
      </c>
      <c r="B1010" t="s">
        <v>120</v>
      </c>
      <c r="C1010" t="s">
        <v>2446</v>
      </c>
      <c r="D1010">
        <v>6</v>
      </c>
      <c r="E1010" t="s">
        <v>2447</v>
      </c>
      <c r="F1010" t="s">
        <v>2448</v>
      </c>
      <c r="G1010" t="s">
        <v>124</v>
      </c>
      <c r="H1010" t="s">
        <v>125</v>
      </c>
      <c r="I1010">
        <v>2</v>
      </c>
      <c r="J1010" t="s">
        <v>199</v>
      </c>
      <c r="K1010" t="s">
        <v>125</v>
      </c>
      <c r="L1010" t="s">
        <v>2453</v>
      </c>
      <c r="AE1010" t="s">
        <v>394</v>
      </c>
      <c r="AG1010">
        <v>5</v>
      </c>
      <c r="AH1010" t="s">
        <v>282</v>
      </c>
      <c r="AI1010" t="s">
        <v>146</v>
      </c>
      <c r="AJ1010" t="s">
        <v>131</v>
      </c>
      <c r="AK1010" t="s">
        <v>125</v>
      </c>
      <c r="AL1010">
        <v>6</v>
      </c>
      <c r="AM1010" t="s">
        <v>132</v>
      </c>
      <c r="AN1010" t="s">
        <v>125</v>
      </c>
      <c r="AO1010" t="s">
        <v>2454</v>
      </c>
      <c r="BP1010" t="s">
        <v>209</v>
      </c>
      <c r="BR1010" t="s">
        <v>155</v>
      </c>
      <c r="BS1010">
        <v>1</v>
      </c>
      <c r="BX1010" t="s">
        <v>136</v>
      </c>
      <c r="BZ1010" t="s">
        <v>137</v>
      </c>
    </row>
    <row r="1011" spans="1:78" x14ac:dyDescent="0.2">
      <c r="A1011" t="s">
        <v>119</v>
      </c>
      <c r="B1011" t="s">
        <v>120</v>
      </c>
      <c r="C1011" t="s">
        <v>2446</v>
      </c>
      <c r="D1011">
        <v>7</v>
      </c>
      <c r="E1011" t="s">
        <v>2455</v>
      </c>
      <c r="F1011" t="s">
        <v>2456</v>
      </c>
      <c r="G1011" t="s">
        <v>124</v>
      </c>
      <c r="H1011" t="s">
        <v>125</v>
      </c>
      <c r="I1011">
        <v>2</v>
      </c>
      <c r="J1011" t="s">
        <v>161</v>
      </c>
      <c r="K1011" t="s">
        <v>125</v>
      </c>
      <c r="L1011" t="s">
        <v>2457</v>
      </c>
      <c r="U1011" t="s">
        <v>149</v>
      </c>
      <c r="W1011" t="s">
        <v>135</v>
      </c>
      <c r="X1011">
        <v>1</v>
      </c>
      <c r="AC1011" t="s">
        <v>136</v>
      </c>
      <c r="AE1011" t="s">
        <v>137</v>
      </c>
    </row>
    <row r="1012" spans="1:78" x14ac:dyDescent="0.2">
      <c r="A1012" t="s">
        <v>119</v>
      </c>
      <c r="B1012" t="s">
        <v>120</v>
      </c>
      <c r="C1012" t="s">
        <v>2458</v>
      </c>
      <c r="D1012">
        <v>8</v>
      </c>
      <c r="E1012" t="s">
        <v>2459</v>
      </c>
      <c r="F1012" t="s">
        <v>1450</v>
      </c>
      <c r="G1012" t="s">
        <v>124</v>
      </c>
      <c r="H1012" t="s">
        <v>125</v>
      </c>
      <c r="I1012">
        <v>4</v>
      </c>
      <c r="J1012" t="s">
        <v>199</v>
      </c>
      <c r="K1012" t="s">
        <v>125</v>
      </c>
      <c r="L1012" t="s">
        <v>2460</v>
      </c>
      <c r="U1012" t="s">
        <v>149</v>
      </c>
      <c r="W1012" t="s">
        <v>135</v>
      </c>
      <c r="X1012">
        <v>2</v>
      </c>
      <c r="AC1012" t="s">
        <v>136</v>
      </c>
      <c r="AE1012" t="s">
        <v>137</v>
      </c>
    </row>
    <row r="1013" spans="1:78" x14ac:dyDescent="0.2">
      <c r="A1013" t="s">
        <v>119</v>
      </c>
      <c r="B1013" t="s">
        <v>120</v>
      </c>
      <c r="C1013" t="s">
        <v>2458</v>
      </c>
      <c r="D1013">
        <v>13</v>
      </c>
      <c r="E1013" t="s">
        <v>2461</v>
      </c>
      <c r="F1013" t="s">
        <v>1538</v>
      </c>
      <c r="G1013" t="s">
        <v>124</v>
      </c>
      <c r="H1013" t="s">
        <v>125</v>
      </c>
      <c r="I1013">
        <v>8</v>
      </c>
      <c r="J1013" t="s">
        <v>161</v>
      </c>
      <c r="K1013" t="s">
        <v>125</v>
      </c>
      <c r="L1013" t="s">
        <v>2462</v>
      </c>
      <c r="U1013" t="s">
        <v>149</v>
      </c>
      <c r="W1013" t="s">
        <v>135</v>
      </c>
      <c r="X1013">
        <v>1</v>
      </c>
      <c r="AC1013" t="s">
        <v>136</v>
      </c>
      <c r="AE1013" t="s">
        <v>137</v>
      </c>
    </row>
    <row r="1014" spans="1:78" x14ac:dyDescent="0.2">
      <c r="A1014" t="s">
        <v>119</v>
      </c>
      <c r="B1014" t="s">
        <v>120</v>
      </c>
      <c r="C1014" t="s">
        <v>2458</v>
      </c>
      <c r="D1014">
        <v>19</v>
      </c>
      <c r="E1014" t="s">
        <v>2463</v>
      </c>
      <c r="F1014" t="s">
        <v>2464</v>
      </c>
      <c r="G1014" t="s">
        <v>124</v>
      </c>
      <c r="H1014" t="s">
        <v>125</v>
      </c>
      <c r="I1014">
        <v>13</v>
      </c>
      <c r="J1014" t="s">
        <v>161</v>
      </c>
      <c r="K1014" t="s">
        <v>125</v>
      </c>
      <c r="L1014" t="s">
        <v>2465</v>
      </c>
      <c r="U1014" t="s">
        <v>149</v>
      </c>
      <c r="W1014" t="s">
        <v>135</v>
      </c>
      <c r="X1014">
        <v>1</v>
      </c>
      <c r="AC1014" t="s">
        <v>136</v>
      </c>
      <c r="AE1014" t="s">
        <v>137</v>
      </c>
    </row>
    <row r="1015" spans="1:78" hidden="1" x14ac:dyDescent="0.2">
      <c r="A1015" t="s">
        <v>119</v>
      </c>
      <c r="B1015" t="s">
        <v>120</v>
      </c>
      <c r="C1015" t="s">
        <v>2466</v>
      </c>
      <c r="D1015">
        <v>2</v>
      </c>
      <c r="E1015" t="s">
        <v>2467</v>
      </c>
      <c r="F1015" t="s">
        <v>2468</v>
      </c>
      <c r="G1015" t="s">
        <v>124</v>
      </c>
      <c r="H1015" t="s">
        <v>125</v>
      </c>
      <c r="I1015">
        <v>0</v>
      </c>
      <c r="J1015" t="s">
        <v>126</v>
      </c>
      <c r="K1015" t="s">
        <v>125</v>
      </c>
      <c r="L1015" t="s">
        <v>2469</v>
      </c>
      <c r="T1015" t="s">
        <v>154</v>
      </c>
      <c r="W1015" t="s">
        <v>135</v>
      </c>
      <c r="AC1015" t="s">
        <v>143</v>
      </c>
      <c r="AE1015" t="s">
        <v>144</v>
      </c>
      <c r="AG1015">
        <v>1</v>
      </c>
      <c r="AH1015" t="s">
        <v>496</v>
      </c>
      <c r="AI1015" t="s">
        <v>205</v>
      </c>
      <c r="AJ1015" t="s">
        <v>131</v>
      </c>
      <c r="AK1015" t="s">
        <v>125</v>
      </c>
      <c r="AL1015">
        <v>2</v>
      </c>
      <c r="AM1015" t="s">
        <v>132</v>
      </c>
      <c r="AN1015" t="s">
        <v>125</v>
      </c>
      <c r="AO1015" t="s">
        <v>2470</v>
      </c>
      <c r="BP1015" t="s">
        <v>149</v>
      </c>
      <c r="BR1015" t="s">
        <v>135</v>
      </c>
      <c r="BS1015">
        <v>2</v>
      </c>
      <c r="BX1015" t="s">
        <v>136</v>
      </c>
      <c r="BZ1015" t="s">
        <v>137</v>
      </c>
    </row>
    <row r="1016" spans="1:78" x14ac:dyDescent="0.2">
      <c r="A1016" t="s">
        <v>119</v>
      </c>
      <c r="B1016" t="s">
        <v>120</v>
      </c>
      <c r="C1016" t="s">
        <v>2471</v>
      </c>
      <c r="D1016">
        <v>4</v>
      </c>
      <c r="E1016" t="s">
        <v>145</v>
      </c>
      <c r="F1016" t="s">
        <v>146</v>
      </c>
      <c r="G1016" t="s">
        <v>124</v>
      </c>
      <c r="H1016" t="s">
        <v>125</v>
      </c>
      <c r="I1016">
        <v>0</v>
      </c>
      <c r="J1016" t="s">
        <v>126</v>
      </c>
      <c r="K1016" t="s">
        <v>125</v>
      </c>
      <c r="L1016" t="s">
        <v>2472</v>
      </c>
      <c r="U1016" t="s">
        <v>149</v>
      </c>
      <c r="W1016" t="s">
        <v>135</v>
      </c>
      <c r="X1016">
        <v>3</v>
      </c>
      <c r="AC1016" t="s">
        <v>136</v>
      </c>
      <c r="AE1016" t="s">
        <v>137</v>
      </c>
    </row>
    <row r="1017" spans="1:78" x14ac:dyDescent="0.2">
      <c r="A1017" t="s">
        <v>119</v>
      </c>
      <c r="B1017" t="s">
        <v>120</v>
      </c>
      <c r="C1017" t="s">
        <v>2471</v>
      </c>
      <c r="D1017">
        <v>9</v>
      </c>
      <c r="E1017" t="s">
        <v>2473</v>
      </c>
      <c r="F1017" t="s">
        <v>1042</v>
      </c>
      <c r="G1017" t="s">
        <v>124</v>
      </c>
      <c r="H1017" t="s">
        <v>125</v>
      </c>
      <c r="I1017">
        <v>5</v>
      </c>
      <c r="J1017" t="s">
        <v>386</v>
      </c>
      <c r="K1017" t="s">
        <v>125</v>
      </c>
      <c r="L1017" t="s">
        <v>2474</v>
      </c>
      <c r="U1017" t="s">
        <v>149</v>
      </c>
      <c r="W1017" t="s">
        <v>135</v>
      </c>
      <c r="X1017">
        <v>3</v>
      </c>
      <c r="AC1017" t="s">
        <v>136</v>
      </c>
      <c r="AE1017" t="s">
        <v>137</v>
      </c>
    </row>
    <row r="1018" spans="1:78" hidden="1" x14ac:dyDescent="0.2">
      <c r="A1018" t="s">
        <v>119</v>
      </c>
      <c r="B1018" t="s">
        <v>120</v>
      </c>
      <c r="C1018" t="s">
        <v>2475</v>
      </c>
      <c r="D1018">
        <v>2</v>
      </c>
      <c r="E1018" t="s">
        <v>861</v>
      </c>
      <c r="F1018" t="s">
        <v>140</v>
      </c>
      <c r="G1018" t="s">
        <v>124</v>
      </c>
      <c r="H1018" t="s">
        <v>125</v>
      </c>
      <c r="I1018">
        <v>0</v>
      </c>
      <c r="J1018" t="s">
        <v>126</v>
      </c>
      <c r="K1018" t="s">
        <v>125</v>
      </c>
      <c r="L1018" t="s">
        <v>2476</v>
      </c>
      <c r="AE1018" t="s">
        <v>128</v>
      </c>
      <c r="AG1018">
        <v>1</v>
      </c>
      <c r="AH1018" t="s">
        <v>1825</v>
      </c>
      <c r="AI1018" t="s">
        <v>198</v>
      </c>
      <c r="AJ1018" t="s">
        <v>131</v>
      </c>
      <c r="AK1018" t="s">
        <v>125</v>
      </c>
      <c r="AL1018">
        <v>2</v>
      </c>
      <c r="AM1018" t="s">
        <v>132</v>
      </c>
      <c r="AN1018" t="s">
        <v>125</v>
      </c>
      <c r="AO1018" t="s">
        <v>2477</v>
      </c>
      <c r="BP1018" t="s">
        <v>149</v>
      </c>
      <c r="BR1018" t="s">
        <v>135</v>
      </c>
      <c r="BS1018">
        <v>2</v>
      </c>
      <c r="BX1018" t="s">
        <v>136</v>
      </c>
      <c r="BZ1018" t="s">
        <v>137</v>
      </c>
    </row>
    <row r="1019" spans="1:78" hidden="1" x14ac:dyDescent="0.2">
      <c r="A1019" t="s">
        <v>119</v>
      </c>
      <c r="B1019" t="s">
        <v>120</v>
      </c>
      <c r="C1019" t="s">
        <v>2478</v>
      </c>
      <c r="D1019">
        <v>3</v>
      </c>
      <c r="E1019" t="s">
        <v>140</v>
      </c>
      <c r="F1019" t="s">
        <v>140</v>
      </c>
      <c r="G1019" t="s">
        <v>124</v>
      </c>
      <c r="H1019" t="s">
        <v>125</v>
      </c>
      <c r="I1019">
        <v>0</v>
      </c>
      <c r="J1019" t="s">
        <v>126</v>
      </c>
      <c r="K1019" t="s">
        <v>125</v>
      </c>
      <c r="L1019" t="s">
        <v>2479</v>
      </c>
      <c r="AE1019" t="s">
        <v>128</v>
      </c>
      <c r="AG1019">
        <v>2</v>
      </c>
      <c r="AH1019" t="s">
        <v>197</v>
      </c>
      <c r="AI1019" t="s">
        <v>198</v>
      </c>
      <c r="AJ1019" t="s">
        <v>131</v>
      </c>
      <c r="AK1019" t="s">
        <v>125</v>
      </c>
      <c r="AL1019">
        <v>3</v>
      </c>
      <c r="AM1019" t="s">
        <v>132</v>
      </c>
      <c r="AN1019" t="s">
        <v>125</v>
      </c>
      <c r="AO1019" t="s">
        <v>2480</v>
      </c>
      <c r="BP1019" t="s">
        <v>149</v>
      </c>
      <c r="BR1019" t="s">
        <v>135</v>
      </c>
      <c r="BS1019">
        <v>1</v>
      </c>
      <c r="BX1019" t="s">
        <v>136</v>
      </c>
      <c r="BZ1019" t="s">
        <v>137</v>
      </c>
    </row>
    <row r="1020" spans="1:78" x14ac:dyDescent="0.2">
      <c r="A1020" t="s">
        <v>119</v>
      </c>
      <c r="B1020" t="s">
        <v>120</v>
      </c>
      <c r="C1020" t="s">
        <v>2478</v>
      </c>
      <c r="D1020">
        <v>6</v>
      </c>
      <c r="E1020" t="s">
        <v>1000</v>
      </c>
      <c r="F1020" t="s">
        <v>1001</v>
      </c>
      <c r="G1020" t="s">
        <v>124</v>
      </c>
      <c r="H1020" t="s">
        <v>125</v>
      </c>
      <c r="I1020">
        <v>3</v>
      </c>
      <c r="J1020" t="s">
        <v>161</v>
      </c>
      <c r="K1020" t="s">
        <v>125</v>
      </c>
      <c r="L1020" t="s">
        <v>2481</v>
      </c>
      <c r="U1020" t="s">
        <v>149</v>
      </c>
      <c r="W1020" t="s">
        <v>135</v>
      </c>
      <c r="X1020">
        <v>3</v>
      </c>
      <c r="AC1020" t="s">
        <v>136</v>
      </c>
      <c r="AE1020" t="s">
        <v>137</v>
      </c>
    </row>
    <row r="1021" spans="1:78" hidden="1" x14ac:dyDescent="0.2">
      <c r="A1021" t="s">
        <v>119</v>
      </c>
      <c r="B1021" t="s">
        <v>120</v>
      </c>
      <c r="C1021" t="s">
        <v>2482</v>
      </c>
      <c r="D1021">
        <v>5</v>
      </c>
      <c r="E1021" t="s">
        <v>207</v>
      </c>
      <c r="F1021" t="s">
        <v>146</v>
      </c>
      <c r="G1021" t="s">
        <v>124</v>
      </c>
      <c r="H1021" t="s">
        <v>125</v>
      </c>
      <c r="I1021">
        <v>0</v>
      </c>
      <c r="J1021" t="s">
        <v>126</v>
      </c>
      <c r="K1021" t="s">
        <v>125</v>
      </c>
      <c r="L1021" t="s">
        <v>2483</v>
      </c>
      <c r="U1021" t="s">
        <v>149</v>
      </c>
      <c r="W1021" t="s">
        <v>135</v>
      </c>
      <c r="X1021">
        <v>3</v>
      </c>
      <c r="AC1021" t="s">
        <v>209</v>
      </c>
      <c r="AE1021" t="s">
        <v>137</v>
      </c>
    </row>
    <row r="1022" spans="1:78" x14ac:dyDescent="0.2">
      <c r="A1022" t="s">
        <v>119</v>
      </c>
      <c r="B1022" t="s">
        <v>120</v>
      </c>
      <c r="C1022" t="s">
        <v>2484</v>
      </c>
      <c r="D1022">
        <v>1</v>
      </c>
      <c r="E1022" t="s">
        <v>1412</v>
      </c>
      <c r="F1022" t="s">
        <v>140</v>
      </c>
      <c r="G1022" t="s">
        <v>124</v>
      </c>
      <c r="H1022" t="s">
        <v>125</v>
      </c>
      <c r="I1022">
        <v>0</v>
      </c>
      <c r="J1022" t="s">
        <v>126</v>
      </c>
      <c r="K1022" t="s">
        <v>125</v>
      </c>
      <c r="L1022" t="s">
        <v>2485</v>
      </c>
      <c r="U1022" t="s">
        <v>149</v>
      </c>
      <c r="W1022" t="s">
        <v>135</v>
      </c>
      <c r="X1022">
        <v>2</v>
      </c>
      <c r="AC1022" t="s">
        <v>136</v>
      </c>
      <c r="AE1022" t="s">
        <v>137</v>
      </c>
    </row>
    <row r="1023" spans="1:78" hidden="1" x14ac:dyDescent="0.2">
      <c r="A1023" t="s">
        <v>119</v>
      </c>
      <c r="B1023" t="s">
        <v>120</v>
      </c>
      <c r="C1023" t="s">
        <v>2484</v>
      </c>
      <c r="D1023">
        <v>2</v>
      </c>
      <c r="E1023" t="s">
        <v>1497</v>
      </c>
      <c r="F1023" t="s">
        <v>1498</v>
      </c>
      <c r="G1023" t="s">
        <v>124</v>
      </c>
      <c r="H1023" t="s">
        <v>125</v>
      </c>
      <c r="I1023">
        <v>1</v>
      </c>
      <c r="J1023" t="s">
        <v>264</v>
      </c>
      <c r="K1023" t="s">
        <v>125</v>
      </c>
      <c r="L1023" t="s">
        <v>2486</v>
      </c>
      <c r="T1023" t="s">
        <v>142</v>
      </c>
      <c r="W1023" t="s">
        <v>135</v>
      </c>
    </row>
    <row r="1024" spans="1:78" x14ac:dyDescent="0.2">
      <c r="A1024" t="s">
        <v>119</v>
      </c>
      <c r="B1024" t="s">
        <v>120</v>
      </c>
      <c r="C1024" t="s">
        <v>2484</v>
      </c>
      <c r="D1024">
        <v>3</v>
      </c>
      <c r="E1024" t="s">
        <v>1412</v>
      </c>
      <c r="F1024" t="s">
        <v>140</v>
      </c>
      <c r="G1024" t="s">
        <v>124</v>
      </c>
      <c r="H1024" t="s">
        <v>125</v>
      </c>
      <c r="I1024">
        <v>1</v>
      </c>
      <c r="J1024" t="s">
        <v>199</v>
      </c>
      <c r="K1024" t="s">
        <v>125</v>
      </c>
      <c r="L1024" t="s">
        <v>2487</v>
      </c>
      <c r="U1024" t="s">
        <v>149</v>
      </c>
      <c r="W1024" t="s">
        <v>135</v>
      </c>
      <c r="X1024">
        <v>2</v>
      </c>
      <c r="AC1024" t="s">
        <v>136</v>
      </c>
      <c r="AE1024" t="s">
        <v>137</v>
      </c>
    </row>
    <row r="1025" spans="1:78" x14ac:dyDescent="0.2">
      <c r="A1025" t="s">
        <v>119</v>
      </c>
      <c r="B1025" t="s">
        <v>120</v>
      </c>
      <c r="C1025" t="s">
        <v>2484</v>
      </c>
      <c r="D1025">
        <v>4</v>
      </c>
      <c r="E1025" t="s">
        <v>1497</v>
      </c>
      <c r="F1025" t="s">
        <v>1498</v>
      </c>
      <c r="G1025" t="s">
        <v>124</v>
      </c>
      <c r="H1025" t="s">
        <v>125</v>
      </c>
      <c r="I1025">
        <v>3</v>
      </c>
      <c r="J1025" t="s">
        <v>264</v>
      </c>
      <c r="K1025" t="s">
        <v>125</v>
      </c>
      <c r="L1025" t="s">
        <v>2488</v>
      </c>
      <c r="U1025" t="s">
        <v>149</v>
      </c>
      <c r="W1025" t="s">
        <v>135</v>
      </c>
      <c r="X1025">
        <v>3</v>
      </c>
      <c r="AC1025" t="s">
        <v>136</v>
      </c>
      <c r="AE1025" t="s">
        <v>137</v>
      </c>
    </row>
    <row r="1026" spans="1:78" x14ac:dyDescent="0.2">
      <c r="A1026" t="s">
        <v>119</v>
      </c>
      <c r="B1026" t="s">
        <v>120</v>
      </c>
      <c r="C1026" t="s">
        <v>2489</v>
      </c>
      <c r="D1026">
        <v>4</v>
      </c>
      <c r="E1026" t="s">
        <v>1674</v>
      </c>
      <c r="F1026" t="s">
        <v>261</v>
      </c>
      <c r="G1026" t="s">
        <v>124</v>
      </c>
      <c r="H1026" t="s">
        <v>125</v>
      </c>
      <c r="I1026">
        <v>7</v>
      </c>
      <c r="J1026" t="s">
        <v>268</v>
      </c>
      <c r="K1026" t="s">
        <v>125</v>
      </c>
      <c r="L1026" t="s">
        <v>2490</v>
      </c>
      <c r="U1026" t="s">
        <v>149</v>
      </c>
      <c r="W1026" t="s">
        <v>135</v>
      </c>
      <c r="X1026">
        <v>1</v>
      </c>
      <c r="AC1026" t="s">
        <v>136</v>
      </c>
      <c r="AE1026" t="s">
        <v>137</v>
      </c>
    </row>
    <row r="1027" spans="1:78" hidden="1" x14ac:dyDescent="0.2">
      <c r="A1027" t="s">
        <v>119</v>
      </c>
      <c r="B1027" t="s">
        <v>120</v>
      </c>
      <c r="C1027" t="s">
        <v>2489</v>
      </c>
      <c r="D1027">
        <v>7</v>
      </c>
      <c r="E1027" t="s">
        <v>2491</v>
      </c>
      <c r="F1027" t="s">
        <v>2491</v>
      </c>
      <c r="G1027" t="s">
        <v>124</v>
      </c>
      <c r="H1027" t="s">
        <v>125</v>
      </c>
      <c r="I1027">
        <v>0</v>
      </c>
      <c r="J1027" t="s">
        <v>126</v>
      </c>
      <c r="K1027" t="s">
        <v>125</v>
      </c>
      <c r="L1027" t="s">
        <v>2492</v>
      </c>
      <c r="AE1027" t="s">
        <v>128</v>
      </c>
      <c r="AG1027">
        <v>6</v>
      </c>
      <c r="AH1027" t="s">
        <v>375</v>
      </c>
      <c r="AI1027" t="s">
        <v>130</v>
      </c>
      <c r="AJ1027" t="s">
        <v>131</v>
      </c>
      <c r="AK1027" t="s">
        <v>125</v>
      </c>
      <c r="AL1027">
        <v>7</v>
      </c>
      <c r="AM1027" t="s">
        <v>132</v>
      </c>
      <c r="AN1027" t="s">
        <v>125</v>
      </c>
      <c r="AO1027" t="s">
        <v>2493</v>
      </c>
      <c r="BP1027" t="s">
        <v>149</v>
      </c>
      <c r="BR1027" t="s">
        <v>135</v>
      </c>
      <c r="BS1027">
        <v>2</v>
      </c>
      <c r="BX1027" t="s">
        <v>136</v>
      </c>
      <c r="BZ1027" t="s">
        <v>137</v>
      </c>
    </row>
    <row r="1028" spans="1:78" hidden="1" x14ac:dyDescent="0.2">
      <c r="A1028" t="s">
        <v>119</v>
      </c>
      <c r="B1028" t="s">
        <v>120</v>
      </c>
      <c r="C1028" t="s">
        <v>2494</v>
      </c>
      <c r="D1028">
        <v>10</v>
      </c>
      <c r="E1028" t="s">
        <v>2495</v>
      </c>
      <c r="F1028" t="s">
        <v>2491</v>
      </c>
      <c r="G1028" t="s">
        <v>124</v>
      </c>
      <c r="H1028" t="s">
        <v>125</v>
      </c>
      <c r="I1028">
        <v>0</v>
      </c>
      <c r="J1028" t="s">
        <v>126</v>
      </c>
      <c r="K1028" t="s">
        <v>125</v>
      </c>
      <c r="L1028" t="s">
        <v>2496</v>
      </c>
      <c r="T1028" t="s">
        <v>142</v>
      </c>
      <c r="W1028" t="s">
        <v>135</v>
      </c>
      <c r="AC1028" t="s">
        <v>143</v>
      </c>
      <c r="AE1028" t="s">
        <v>144</v>
      </c>
      <c r="AG1028">
        <v>9</v>
      </c>
      <c r="AH1028" t="s">
        <v>2354</v>
      </c>
      <c r="AI1028" t="s">
        <v>350</v>
      </c>
      <c r="AJ1028" t="s">
        <v>131</v>
      </c>
      <c r="AK1028" t="s">
        <v>125</v>
      </c>
      <c r="AL1028">
        <v>10</v>
      </c>
      <c r="AM1028" t="s">
        <v>147</v>
      </c>
      <c r="AN1028" t="s">
        <v>125</v>
      </c>
      <c r="AO1028" t="s">
        <v>2497</v>
      </c>
      <c r="BP1028" t="s">
        <v>149</v>
      </c>
      <c r="BR1028" t="s">
        <v>155</v>
      </c>
      <c r="BS1028">
        <v>3</v>
      </c>
      <c r="BX1028" t="s">
        <v>136</v>
      </c>
      <c r="BZ1028" t="s">
        <v>137</v>
      </c>
    </row>
    <row r="1029" spans="1:78" hidden="1" x14ac:dyDescent="0.2">
      <c r="A1029" t="s">
        <v>119</v>
      </c>
      <c r="B1029" t="s">
        <v>120</v>
      </c>
      <c r="C1029" t="s">
        <v>2498</v>
      </c>
      <c r="D1029">
        <v>7</v>
      </c>
      <c r="E1029" t="s">
        <v>773</v>
      </c>
      <c r="F1029" t="s">
        <v>773</v>
      </c>
      <c r="G1029" t="s">
        <v>124</v>
      </c>
      <c r="H1029" t="s">
        <v>125</v>
      </c>
      <c r="I1029">
        <v>16</v>
      </c>
      <c r="J1029" t="s">
        <v>268</v>
      </c>
      <c r="K1029" t="s">
        <v>125</v>
      </c>
      <c r="L1029" t="s">
        <v>2499</v>
      </c>
      <c r="AE1029" t="s">
        <v>128</v>
      </c>
      <c r="AG1029">
        <v>6</v>
      </c>
      <c r="AH1029" t="s">
        <v>801</v>
      </c>
      <c r="AI1029" t="s">
        <v>667</v>
      </c>
      <c r="AJ1029" t="s">
        <v>131</v>
      </c>
      <c r="AK1029" t="s">
        <v>125</v>
      </c>
      <c r="AL1029">
        <v>7</v>
      </c>
      <c r="AM1029" t="s">
        <v>132</v>
      </c>
      <c r="AN1029" t="s">
        <v>125</v>
      </c>
      <c r="AO1029" t="s">
        <v>2500</v>
      </c>
      <c r="BP1029" t="s">
        <v>149</v>
      </c>
      <c r="BR1029" t="s">
        <v>135</v>
      </c>
      <c r="BS1029">
        <v>2</v>
      </c>
      <c r="BX1029" t="s">
        <v>136</v>
      </c>
      <c r="BZ1029" t="s">
        <v>137</v>
      </c>
    </row>
    <row r="1030" spans="1:78" hidden="1" x14ac:dyDescent="0.2">
      <c r="A1030" t="s">
        <v>119</v>
      </c>
      <c r="B1030" t="s">
        <v>120</v>
      </c>
      <c r="C1030" t="s">
        <v>2498</v>
      </c>
      <c r="D1030">
        <v>16</v>
      </c>
      <c r="E1030" t="s">
        <v>2491</v>
      </c>
      <c r="F1030" t="s">
        <v>2491</v>
      </c>
      <c r="G1030" t="s">
        <v>124</v>
      </c>
      <c r="H1030" t="s">
        <v>125</v>
      </c>
      <c r="I1030">
        <v>0</v>
      </c>
      <c r="J1030" t="s">
        <v>126</v>
      </c>
      <c r="K1030" t="s">
        <v>125</v>
      </c>
      <c r="L1030" t="s">
        <v>2501</v>
      </c>
      <c r="AE1030" t="s">
        <v>128</v>
      </c>
      <c r="AG1030">
        <v>15</v>
      </c>
      <c r="AH1030" t="s">
        <v>2502</v>
      </c>
      <c r="AI1030" t="s">
        <v>572</v>
      </c>
      <c r="AJ1030" t="s">
        <v>131</v>
      </c>
      <c r="AK1030" t="s">
        <v>125</v>
      </c>
      <c r="AL1030">
        <v>16</v>
      </c>
      <c r="AM1030" t="s">
        <v>132</v>
      </c>
      <c r="AN1030" t="s">
        <v>125</v>
      </c>
      <c r="AO1030" t="s">
        <v>2503</v>
      </c>
      <c r="BP1030" t="s">
        <v>149</v>
      </c>
      <c r="BR1030" t="s">
        <v>135</v>
      </c>
      <c r="BS1030">
        <v>1</v>
      </c>
      <c r="BX1030" t="s">
        <v>136</v>
      </c>
      <c r="BZ1030" t="s">
        <v>137</v>
      </c>
    </row>
    <row r="1031" spans="1:78" hidden="1" x14ac:dyDescent="0.2">
      <c r="A1031" t="s">
        <v>119</v>
      </c>
      <c r="B1031" t="s">
        <v>120</v>
      </c>
      <c r="C1031" t="s">
        <v>2504</v>
      </c>
      <c r="D1031">
        <v>4</v>
      </c>
      <c r="E1031" t="s">
        <v>2491</v>
      </c>
      <c r="F1031" t="s">
        <v>2491</v>
      </c>
      <c r="G1031" t="s">
        <v>124</v>
      </c>
      <c r="H1031" t="s">
        <v>125</v>
      </c>
      <c r="I1031">
        <v>0</v>
      </c>
      <c r="J1031" t="s">
        <v>126</v>
      </c>
      <c r="K1031" t="s">
        <v>125</v>
      </c>
      <c r="L1031" t="s">
        <v>2505</v>
      </c>
      <c r="AE1031" t="s">
        <v>128</v>
      </c>
      <c r="AG1031">
        <v>2</v>
      </c>
      <c r="AH1031" t="s">
        <v>2502</v>
      </c>
      <c r="AI1031" t="s">
        <v>572</v>
      </c>
      <c r="AJ1031" t="s">
        <v>131</v>
      </c>
      <c r="AK1031" t="s">
        <v>125</v>
      </c>
      <c r="AL1031">
        <v>4</v>
      </c>
      <c r="AM1031" t="s">
        <v>132</v>
      </c>
      <c r="AN1031" t="s">
        <v>125</v>
      </c>
      <c r="AO1031" t="s">
        <v>2506</v>
      </c>
      <c r="BP1031" t="s">
        <v>149</v>
      </c>
      <c r="BR1031" t="s">
        <v>135</v>
      </c>
      <c r="BS1031">
        <v>1</v>
      </c>
      <c r="BX1031" t="s">
        <v>136</v>
      </c>
      <c r="BZ1031" t="s">
        <v>137</v>
      </c>
    </row>
    <row r="1032" spans="1:78" x14ac:dyDescent="0.2">
      <c r="A1032" t="s">
        <v>119</v>
      </c>
      <c r="B1032" t="s">
        <v>120</v>
      </c>
      <c r="C1032" t="s">
        <v>2507</v>
      </c>
      <c r="D1032">
        <v>3</v>
      </c>
      <c r="E1032" t="s">
        <v>370</v>
      </c>
      <c r="F1032" t="s">
        <v>140</v>
      </c>
      <c r="G1032" t="s">
        <v>124</v>
      </c>
      <c r="H1032" t="s">
        <v>125</v>
      </c>
      <c r="I1032">
        <v>0</v>
      </c>
      <c r="J1032" t="s">
        <v>126</v>
      </c>
      <c r="K1032" t="s">
        <v>125</v>
      </c>
      <c r="L1032" t="s">
        <v>2508</v>
      </c>
      <c r="U1032" t="s">
        <v>149</v>
      </c>
      <c r="W1032" t="s">
        <v>135</v>
      </c>
      <c r="X1032">
        <v>3</v>
      </c>
      <c r="AC1032" t="s">
        <v>136</v>
      </c>
      <c r="AE1032" t="s">
        <v>137</v>
      </c>
    </row>
    <row r="1033" spans="1:78" x14ac:dyDescent="0.2">
      <c r="A1033" t="s">
        <v>119</v>
      </c>
      <c r="B1033" t="s">
        <v>120</v>
      </c>
      <c r="C1033" t="s">
        <v>2509</v>
      </c>
      <c r="D1033">
        <v>1</v>
      </c>
      <c r="E1033" t="s">
        <v>543</v>
      </c>
      <c r="F1033" t="s">
        <v>331</v>
      </c>
      <c r="G1033" t="s">
        <v>124</v>
      </c>
      <c r="H1033" t="s">
        <v>125</v>
      </c>
      <c r="I1033">
        <v>0</v>
      </c>
      <c r="J1033" t="s">
        <v>126</v>
      </c>
      <c r="K1033" t="s">
        <v>125</v>
      </c>
      <c r="L1033" t="s">
        <v>2510</v>
      </c>
      <c r="U1033" t="s">
        <v>209</v>
      </c>
      <c r="W1033" t="s">
        <v>135</v>
      </c>
      <c r="X1033">
        <v>2</v>
      </c>
      <c r="AC1033" t="s">
        <v>136</v>
      </c>
      <c r="AE1033" t="s">
        <v>137</v>
      </c>
    </row>
    <row r="1034" spans="1:78" x14ac:dyDescent="0.2">
      <c r="A1034" t="s">
        <v>119</v>
      </c>
      <c r="B1034" t="s">
        <v>120</v>
      </c>
      <c r="C1034" t="s">
        <v>2511</v>
      </c>
      <c r="D1034">
        <v>5</v>
      </c>
      <c r="E1034" t="s">
        <v>2512</v>
      </c>
      <c r="F1034" t="s">
        <v>1399</v>
      </c>
      <c r="G1034" t="s">
        <v>124</v>
      </c>
      <c r="H1034" t="s">
        <v>125</v>
      </c>
      <c r="I1034">
        <v>0</v>
      </c>
      <c r="J1034" t="s">
        <v>126</v>
      </c>
      <c r="K1034" t="s">
        <v>125</v>
      </c>
      <c r="L1034" t="s">
        <v>2513</v>
      </c>
      <c r="U1034" t="s">
        <v>149</v>
      </c>
      <c r="W1034" t="s">
        <v>135</v>
      </c>
      <c r="X1034">
        <v>3</v>
      </c>
      <c r="AC1034" t="s">
        <v>136</v>
      </c>
      <c r="AE1034" t="s">
        <v>137</v>
      </c>
    </row>
    <row r="1035" spans="1:78" hidden="1" x14ac:dyDescent="0.2">
      <c r="A1035" t="s">
        <v>119</v>
      </c>
      <c r="B1035" t="s">
        <v>120</v>
      </c>
      <c r="C1035" t="s">
        <v>2511</v>
      </c>
      <c r="D1035">
        <v>12</v>
      </c>
      <c r="E1035" t="s">
        <v>1860</v>
      </c>
      <c r="F1035" t="s">
        <v>2514</v>
      </c>
      <c r="G1035" t="s">
        <v>124</v>
      </c>
      <c r="H1035" t="s">
        <v>125</v>
      </c>
      <c r="I1035">
        <v>8</v>
      </c>
      <c r="J1035" t="s">
        <v>161</v>
      </c>
      <c r="K1035" t="s">
        <v>125</v>
      </c>
      <c r="L1035" t="s">
        <v>2515</v>
      </c>
      <c r="T1035" t="s">
        <v>142</v>
      </c>
      <c r="W1035" t="s">
        <v>135</v>
      </c>
    </row>
    <row r="1036" spans="1:78" x14ac:dyDescent="0.2">
      <c r="A1036" t="s">
        <v>119</v>
      </c>
      <c r="B1036" t="s">
        <v>120</v>
      </c>
      <c r="C1036" t="s">
        <v>2516</v>
      </c>
      <c r="D1036">
        <v>4</v>
      </c>
      <c r="E1036" t="s">
        <v>2517</v>
      </c>
      <c r="F1036" t="s">
        <v>2518</v>
      </c>
      <c r="G1036" t="s">
        <v>124</v>
      </c>
      <c r="H1036" t="s">
        <v>125</v>
      </c>
      <c r="I1036">
        <v>0</v>
      </c>
      <c r="J1036" t="s">
        <v>126</v>
      </c>
      <c r="K1036" t="s">
        <v>125</v>
      </c>
      <c r="L1036" t="s">
        <v>2519</v>
      </c>
      <c r="U1036" t="s">
        <v>149</v>
      </c>
      <c r="W1036" t="s">
        <v>135</v>
      </c>
      <c r="X1036">
        <v>3</v>
      </c>
      <c r="AC1036" t="s">
        <v>136</v>
      </c>
      <c r="AE1036" t="s">
        <v>137</v>
      </c>
    </row>
    <row r="1037" spans="1:78" x14ac:dyDescent="0.2">
      <c r="A1037" t="s">
        <v>119</v>
      </c>
      <c r="B1037" t="s">
        <v>120</v>
      </c>
      <c r="C1037" t="s">
        <v>2520</v>
      </c>
      <c r="D1037">
        <v>3</v>
      </c>
      <c r="E1037" t="s">
        <v>2521</v>
      </c>
      <c r="F1037" t="s">
        <v>198</v>
      </c>
      <c r="G1037" t="s">
        <v>124</v>
      </c>
      <c r="H1037" t="s">
        <v>125</v>
      </c>
      <c r="I1037">
        <v>0</v>
      </c>
      <c r="J1037" t="s">
        <v>126</v>
      </c>
      <c r="K1037" t="s">
        <v>125</v>
      </c>
      <c r="L1037" t="s">
        <v>2522</v>
      </c>
      <c r="U1037" t="s">
        <v>209</v>
      </c>
      <c r="W1037" t="s">
        <v>155</v>
      </c>
      <c r="X1037">
        <v>2</v>
      </c>
      <c r="AC1037" t="s">
        <v>136</v>
      </c>
      <c r="AE1037" t="s">
        <v>137</v>
      </c>
    </row>
    <row r="1038" spans="1:78" hidden="1" x14ac:dyDescent="0.2">
      <c r="A1038" t="s">
        <v>119</v>
      </c>
      <c r="B1038" t="s">
        <v>120</v>
      </c>
      <c r="C1038" t="s">
        <v>2520</v>
      </c>
      <c r="D1038">
        <v>6</v>
      </c>
      <c r="E1038" t="s">
        <v>2523</v>
      </c>
      <c r="F1038" t="s">
        <v>1027</v>
      </c>
      <c r="G1038" t="s">
        <v>124</v>
      </c>
      <c r="H1038" t="s">
        <v>125</v>
      </c>
      <c r="I1038">
        <v>3</v>
      </c>
      <c r="J1038" t="s">
        <v>264</v>
      </c>
      <c r="K1038" t="s">
        <v>125</v>
      </c>
      <c r="L1038" t="s">
        <v>2524</v>
      </c>
      <c r="U1038" t="s">
        <v>149</v>
      </c>
      <c r="W1038" t="s">
        <v>135</v>
      </c>
      <c r="X1038">
        <v>1</v>
      </c>
      <c r="AC1038" t="s">
        <v>903</v>
      </c>
      <c r="AE1038" t="s">
        <v>137</v>
      </c>
    </row>
    <row r="1039" spans="1:78" hidden="1" x14ac:dyDescent="0.2">
      <c r="A1039" t="s">
        <v>119</v>
      </c>
      <c r="B1039" t="s">
        <v>120</v>
      </c>
      <c r="C1039" t="s">
        <v>2520</v>
      </c>
      <c r="D1039">
        <v>10</v>
      </c>
      <c r="E1039" t="s">
        <v>861</v>
      </c>
      <c r="F1039" t="s">
        <v>140</v>
      </c>
      <c r="G1039" t="s">
        <v>124</v>
      </c>
      <c r="H1039" t="s">
        <v>125</v>
      </c>
      <c r="I1039">
        <v>6</v>
      </c>
      <c r="J1039" t="s">
        <v>294</v>
      </c>
      <c r="K1039" t="s">
        <v>125</v>
      </c>
      <c r="L1039" t="s">
        <v>2525</v>
      </c>
    </row>
    <row r="1040" spans="1:78" hidden="1" x14ac:dyDescent="0.2">
      <c r="A1040" t="s">
        <v>119</v>
      </c>
      <c r="B1040" t="s">
        <v>120</v>
      </c>
      <c r="C1040" t="s">
        <v>2526</v>
      </c>
      <c r="D1040">
        <v>2</v>
      </c>
      <c r="E1040" t="s">
        <v>2527</v>
      </c>
      <c r="F1040" t="s">
        <v>1027</v>
      </c>
      <c r="G1040" t="s">
        <v>124</v>
      </c>
      <c r="H1040" t="s">
        <v>125</v>
      </c>
      <c r="I1040">
        <v>0</v>
      </c>
      <c r="J1040" t="s">
        <v>126</v>
      </c>
      <c r="K1040" t="s">
        <v>125</v>
      </c>
      <c r="L1040" t="s">
        <v>2528</v>
      </c>
      <c r="U1040" t="s">
        <v>149</v>
      </c>
      <c r="W1040" t="s">
        <v>135</v>
      </c>
      <c r="X1040">
        <v>2</v>
      </c>
      <c r="AC1040" t="s">
        <v>903</v>
      </c>
      <c r="AE1040" t="s">
        <v>137</v>
      </c>
    </row>
    <row r="1041" spans="1:78" x14ac:dyDescent="0.2">
      <c r="A1041" t="s">
        <v>119</v>
      </c>
      <c r="B1041" t="s">
        <v>120</v>
      </c>
      <c r="C1041" t="s">
        <v>2529</v>
      </c>
      <c r="D1041">
        <v>2</v>
      </c>
      <c r="E1041" t="s">
        <v>1063</v>
      </c>
      <c r="F1041" t="s">
        <v>373</v>
      </c>
      <c r="G1041" t="s">
        <v>124</v>
      </c>
      <c r="H1041" t="s">
        <v>125</v>
      </c>
      <c r="I1041">
        <v>0</v>
      </c>
      <c r="J1041" t="s">
        <v>126</v>
      </c>
      <c r="K1041" t="s">
        <v>125</v>
      </c>
      <c r="L1041" t="s">
        <v>2530</v>
      </c>
      <c r="U1041" t="s">
        <v>209</v>
      </c>
      <c r="W1041" t="s">
        <v>135</v>
      </c>
      <c r="X1041">
        <v>2</v>
      </c>
      <c r="AC1041" t="s">
        <v>136</v>
      </c>
      <c r="AE1041" t="s">
        <v>137</v>
      </c>
    </row>
    <row r="1042" spans="1:78" hidden="1" x14ac:dyDescent="0.2">
      <c r="A1042" t="s">
        <v>119</v>
      </c>
      <c r="B1042" t="s">
        <v>120</v>
      </c>
      <c r="C1042" t="s">
        <v>2531</v>
      </c>
      <c r="D1042">
        <v>4</v>
      </c>
      <c r="E1042" t="s">
        <v>2523</v>
      </c>
      <c r="F1042" t="s">
        <v>1027</v>
      </c>
      <c r="G1042" t="s">
        <v>124</v>
      </c>
      <c r="H1042" t="s">
        <v>125</v>
      </c>
      <c r="I1042">
        <v>0</v>
      </c>
      <c r="J1042" t="s">
        <v>126</v>
      </c>
      <c r="K1042" t="s">
        <v>125</v>
      </c>
      <c r="L1042" t="s">
        <v>2532</v>
      </c>
      <c r="U1042" t="s">
        <v>149</v>
      </c>
      <c r="W1042" t="s">
        <v>135</v>
      </c>
      <c r="X1042">
        <v>1</v>
      </c>
      <c r="AC1042" t="s">
        <v>903</v>
      </c>
      <c r="AE1042" t="s">
        <v>137</v>
      </c>
    </row>
    <row r="1043" spans="1:78" hidden="1" x14ac:dyDescent="0.2">
      <c r="A1043" t="s">
        <v>119</v>
      </c>
      <c r="B1043" t="s">
        <v>120</v>
      </c>
      <c r="C1043" t="s">
        <v>2531</v>
      </c>
      <c r="D1043">
        <v>6</v>
      </c>
      <c r="E1043" t="s">
        <v>2533</v>
      </c>
      <c r="F1043" t="s">
        <v>2534</v>
      </c>
      <c r="G1043" t="s">
        <v>124</v>
      </c>
      <c r="H1043" t="s">
        <v>125</v>
      </c>
      <c r="I1043">
        <v>4</v>
      </c>
      <c r="J1043" t="s">
        <v>268</v>
      </c>
      <c r="K1043" t="s">
        <v>125</v>
      </c>
      <c r="L1043" t="s">
        <v>2535</v>
      </c>
      <c r="AE1043" t="s">
        <v>394</v>
      </c>
    </row>
    <row r="1044" spans="1:78" hidden="1" x14ac:dyDescent="0.2">
      <c r="A1044" t="s">
        <v>119</v>
      </c>
      <c r="B1044" t="s">
        <v>120</v>
      </c>
      <c r="C1044" t="s">
        <v>2536</v>
      </c>
      <c r="D1044">
        <v>8</v>
      </c>
      <c r="E1044" t="s">
        <v>2537</v>
      </c>
      <c r="F1044" t="s">
        <v>1981</v>
      </c>
      <c r="G1044" t="s">
        <v>124</v>
      </c>
      <c r="H1044" t="s">
        <v>125</v>
      </c>
      <c r="I1044">
        <v>6</v>
      </c>
      <c r="J1044" t="s">
        <v>170</v>
      </c>
      <c r="K1044" t="s">
        <v>125</v>
      </c>
      <c r="L1044" t="s">
        <v>2538</v>
      </c>
      <c r="U1044" t="s">
        <v>149</v>
      </c>
      <c r="W1044" t="s">
        <v>135</v>
      </c>
      <c r="X1044">
        <v>3</v>
      </c>
      <c r="AC1044" t="s">
        <v>209</v>
      </c>
      <c r="AE1044" t="s">
        <v>137</v>
      </c>
    </row>
    <row r="1045" spans="1:78" hidden="1" x14ac:dyDescent="0.2">
      <c r="A1045" t="s">
        <v>119</v>
      </c>
      <c r="B1045" t="s">
        <v>120</v>
      </c>
      <c r="C1045" t="s">
        <v>2536</v>
      </c>
      <c r="D1045">
        <v>17</v>
      </c>
      <c r="E1045" t="s">
        <v>2539</v>
      </c>
      <c r="F1045" t="s">
        <v>2540</v>
      </c>
      <c r="G1045" t="s">
        <v>124</v>
      </c>
      <c r="H1045" t="s">
        <v>125</v>
      </c>
      <c r="I1045">
        <v>11</v>
      </c>
      <c r="J1045" t="s">
        <v>170</v>
      </c>
      <c r="K1045" t="s">
        <v>125</v>
      </c>
      <c r="L1045" t="s">
        <v>2541</v>
      </c>
      <c r="T1045" t="s">
        <v>154</v>
      </c>
      <c r="W1045" t="s">
        <v>135</v>
      </c>
      <c r="AC1045" t="s">
        <v>143</v>
      </c>
      <c r="AE1045" t="s">
        <v>144</v>
      </c>
      <c r="AG1045">
        <v>16</v>
      </c>
      <c r="AH1045" t="s">
        <v>706</v>
      </c>
      <c r="AI1045" t="s">
        <v>205</v>
      </c>
      <c r="AJ1045" t="s">
        <v>131</v>
      </c>
      <c r="AK1045" t="s">
        <v>125</v>
      </c>
      <c r="AL1045">
        <v>17</v>
      </c>
      <c r="AM1045" t="s">
        <v>132</v>
      </c>
      <c r="AN1045" t="s">
        <v>125</v>
      </c>
      <c r="AO1045" t="s">
        <v>2542</v>
      </c>
      <c r="BP1045" t="s">
        <v>149</v>
      </c>
      <c r="BR1045" t="s">
        <v>155</v>
      </c>
      <c r="BS1045">
        <v>3</v>
      </c>
      <c r="BX1045" t="s">
        <v>209</v>
      </c>
      <c r="BZ1045" t="s">
        <v>137</v>
      </c>
    </row>
    <row r="1046" spans="1:78" hidden="1" x14ac:dyDescent="0.2">
      <c r="A1046" t="s">
        <v>119</v>
      </c>
      <c r="B1046" t="s">
        <v>120</v>
      </c>
      <c r="C1046" t="s">
        <v>2536</v>
      </c>
      <c r="D1046">
        <v>28</v>
      </c>
      <c r="E1046" t="s">
        <v>1783</v>
      </c>
      <c r="F1046" t="s">
        <v>205</v>
      </c>
      <c r="G1046" t="s">
        <v>124</v>
      </c>
      <c r="H1046" t="s">
        <v>125</v>
      </c>
      <c r="I1046">
        <v>25</v>
      </c>
      <c r="J1046" t="s">
        <v>170</v>
      </c>
      <c r="K1046" t="s">
        <v>125</v>
      </c>
      <c r="L1046" t="s">
        <v>2543</v>
      </c>
      <c r="U1046" t="s">
        <v>149</v>
      </c>
      <c r="W1046" t="s">
        <v>135</v>
      </c>
      <c r="X1046">
        <v>3</v>
      </c>
      <c r="AC1046" t="s">
        <v>209</v>
      </c>
      <c r="AE1046" t="s">
        <v>137</v>
      </c>
    </row>
    <row r="1047" spans="1:78" hidden="1" x14ac:dyDescent="0.2">
      <c r="A1047" t="s">
        <v>119</v>
      </c>
      <c r="B1047" t="s">
        <v>120</v>
      </c>
      <c r="C1047" t="s">
        <v>2536</v>
      </c>
      <c r="D1047">
        <v>43</v>
      </c>
      <c r="E1047" t="s">
        <v>601</v>
      </c>
      <c r="F1047" t="s">
        <v>602</v>
      </c>
      <c r="G1047" t="s">
        <v>124</v>
      </c>
      <c r="H1047" t="s">
        <v>125</v>
      </c>
      <c r="I1047">
        <v>38</v>
      </c>
      <c r="J1047" t="s">
        <v>386</v>
      </c>
      <c r="K1047" t="s">
        <v>125</v>
      </c>
      <c r="L1047" t="s">
        <v>2544</v>
      </c>
      <c r="AE1047" t="s">
        <v>394</v>
      </c>
      <c r="AG1047">
        <v>42</v>
      </c>
      <c r="AH1047" t="s">
        <v>1977</v>
      </c>
      <c r="AI1047" t="s">
        <v>283</v>
      </c>
      <c r="AJ1047" t="s">
        <v>131</v>
      </c>
      <c r="AK1047" t="s">
        <v>125</v>
      </c>
      <c r="AL1047">
        <v>43</v>
      </c>
      <c r="AM1047" t="s">
        <v>132</v>
      </c>
      <c r="AN1047" t="s">
        <v>125</v>
      </c>
      <c r="AO1047" t="s">
        <v>2545</v>
      </c>
      <c r="BP1047" t="s">
        <v>149</v>
      </c>
      <c r="BR1047" t="s">
        <v>135</v>
      </c>
      <c r="BS1047">
        <v>3</v>
      </c>
      <c r="BX1047" t="s">
        <v>209</v>
      </c>
      <c r="BZ1047" t="s">
        <v>137</v>
      </c>
    </row>
    <row r="1048" spans="1:78" x14ac:dyDescent="0.2">
      <c r="A1048" t="s">
        <v>119</v>
      </c>
      <c r="B1048" t="s">
        <v>120</v>
      </c>
      <c r="C1048" t="s">
        <v>2536</v>
      </c>
      <c r="D1048">
        <v>67</v>
      </c>
      <c r="E1048" t="s">
        <v>920</v>
      </c>
      <c r="F1048" t="s">
        <v>194</v>
      </c>
      <c r="G1048" t="s">
        <v>124</v>
      </c>
      <c r="H1048" t="s">
        <v>125</v>
      </c>
      <c r="I1048">
        <v>55</v>
      </c>
      <c r="J1048" t="s">
        <v>199</v>
      </c>
      <c r="K1048" t="s">
        <v>125</v>
      </c>
      <c r="L1048" t="s">
        <v>2546</v>
      </c>
      <c r="U1048" t="s">
        <v>149</v>
      </c>
      <c r="W1048" t="s">
        <v>135</v>
      </c>
      <c r="X1048">
        <v>2</v>
      </c>
      <c r="AC1048" t="s">
        <v>136</v>
      </c>
      <c r="AE1048" t="s">
        <v>137</v>
      </c>
    </row>
    <row r="1049" spans="1:78" hidden="1" x14ac:dyDescent="0.2">
      <c r="A1049" t="s">
        <v>119</v>
      </c>
      <c r="B1049" t="s">
        <v>120</v>
      </c>
      <c r="C1049" t="s">
        <v>2547</v>
      </c>
      <c r="D1049">
        <v>5</v>
      </c>
      <c r="E1049" t="s">
        <v>1980</v>
      </c>
      <c r="F1049" t="s">
        <v>1981</v>
      </c>
      <c r="G1049" t="s">
        <v>124</v>
      </c>
      <c r="H1049" t="s">
        <v>125</v>
      </c>
      <c r="I1049">
        <v>0</v>
      </c>
      <c r="J1049" t="s">
        <v>126</v>
      </c>
      <c r="K1049" t="s">
        <v>125</v>
      </c>
      <c r="L1049" t="s">
        <v>2548</v>
      </c>
      <c r="T1049" t="s">
        <v>154</v>
      </c>
      <c r="W1049" t="s">
        <v>135</v>
      </c>
      <c r="AC1049" t="s">
        <v>143</v>
      </c>
      <c r="AE1049" t="s">
        <v>144</v>
      </c>
      <c r="AG1049">
        <v>4</v>
      </c>
      <c r="AH1049" t="s">
        <v>496</v>
      </c>
      <c r="AI1049" t="s">
        <v>205</v>
      </c>
      <c r="AJ1049" t="s">
        <v>131</v>
      </c>
      <c r="AK1049" t="s">
        <v>125</v>
      </c>
      <c r="AL1049">
        <v>5</v>
      </c>
      <c r="AM1049" t="s">
        <v>132</v>
      </c>
      <c r="AN1049" t="s">
        <v>125</v>
      </c>
      <c r="AO1049" t="s">
        <v>2549</v>
      </c>
      <c r="BP1049" t="s">
        <v>149</v>
      </c>
      <c r="BR1049" t="s">
        <v>135</v>
      </c>
      <c r="BS1049">
        <v>2</v>
      </c>
      <c r="BX1049" t="s">
        <v>136</v>
      </c>
      <c r="BZ1049" t="s">
        <v>137</v>
      </c>
    </row>
    <row r="1050" spans="1:78" hidden="1" x14ac:dyDescent="0.2">
      <c r="A1050" t="s">
        <v>119</v>
      </c>
      <c r="B1050" t="s">
        <v>120</v>
      </c>
      <c r="C1050" t="s">
        <v>2550</v>
      </c>
      <c r="D1050">
        <v>7</v>
      </c>
      <c r="E1050" t="s">
        <v>2551</v>
      </c>
      <c r="F1050" t="s">
        <v>2552</v>
      </c>
      <c r="G1050" t="s">
        <v>124</v>
      </c>
      <c r="H1050" t="s">
        <v>125</v>
      </c>
      <c r="I1050">
        <v>6</v>
      </c>
      <c r="J1050" t="s">
        <v>386</v>
      </c>
      <c r="K1050" t="s">
        <v>125</v>
      </c>
      <c r="L1050" t="s">
        <v>2553</v>
      </c>
      <c r="T1050" t="s">
        <v>142</v>
      </c>
      <c r="W1050" t="s">
        <v>155</v>
      </c>
      <c r="AC1050" t="s">
        <v>143</v>
      </c>
      <c r="AE1050" t="s">
        <v>144</v>
      </c>
    </row>
    <row r="1051" spans="1:78" x14ac:dyDescent="0.2">
      <c r="A1051" t="s">
        <v>119</v>
      </c>
      <c r="B1051" t="s">
        <v>120</v>
      </c>
      <c r="C1051" t="s">
        <v>2550</v>
      </c>
      <c r="D1051">
        <v>18</v>
      </c>
      <c r="E1051" t="s">
        <v>201</v>
      </c>
      <c r="F1051" t="s">
        <v>202</v>
      </c>
      <c r="G1051" t="s">
        <v>124</v>
      </c>
      <c r="H1051" t="s">
        <v>125</v>
      </c>
      <c r="I1051">
        <v>7</v>
      </c>
      <c r="J1051" t="s">
        <v>268</v>
      </c>
      <c r="K1051" t="s">
        <v>125</v>
      </c>
      <c r="L1051" t="s">
        <v>2554</v>
      </c>
      <c r="U1051" t="s">
        <v>149</v>
      </c>
      <c r="W1051" t="s">
        <v>135</v>
      </c>
      <c r="X1051">
        <v>1</v>
      </c>
      <c r="AC1051" t="s">
        <v>136</v>
      </c>
      <c r="AE1051" t="s">
        <v>137</v>
      </c>
      <c r="AG1051">
        <v>17</v>
      </c>
      <c r="AH1051" t="s">
        <v>2555</v>
      </c>
      <c r="AI1051" t="s">
        <v>205</v>
      </c>
      <c r="AJ1051" t="s">
        <v>131</v>
      </c>
      <c r="AK1051" t="s">
        <v>125</v>
      </c>
      <c r="AL1051">
        <v>18</v>
      </c>
      <c r="AM1051" t="s">
        <v>132</v>
      </c>
      <c r="AN1051" t="s">
        <v>125</v>
      </c>
      <c r="AO1051" t="s">
        <v>2556</v>
      </c>
      <c r="BP1051" t="s">
        <v>149</v>
      </c>
      <c r="BR1051" t="s">
        <v>155</v>
      </c>
      <c r="BS1051">
        <v>3</v>
      </c>
      <c r="BX1051" t="s">
        <v>136</v>
      </c>
      <c r="BZ1051" t="s">
        <v>137</v>
      </c>
    </row>
    <row r="1052" spans="1:78" hidden="1" x14ac:dyDescent="0.2">
      <c r="A1052" t="s">
        <v>119</v>
      </c>
      <c r="B1052" t="s">
        <v>120</v>
      </c>
      <c r="C1052" t="s">
        <v>2550</v>
      </c>
      <c r="D1052">
        <v>24</v>
      </c>
      <c r="E1052" t="s">
        <v>601</v>
      </c>
      <c r="F1052" t="s">
        <v>602</v>
      </c>
      <c r="G1052" t="s">
        <v>124</v>
      </c>
      <c r="H1052" t="s">
        <v>125</v>
      </c>
      <c r="I1052">
        <v>20</v>
      </c>
      <c r="J1052" t="s">
        <v>170</v>
      </c>
      <c r="K1052" t="s">
        <v>125</v>
      </c>
      <c r="L1052" t="s">
        <v>2557</v>
      </c>
      <c r="AE1052" t="s">
        <v>394</v>
      </c>
      <c r="AG1052">
        <v>23</v>
      </c>
      <c r="AH1052" t="s">
        <v>1977</v>
      </c>
      <c r="AI1052" t="s">
        <v>283</v>
      </c>
      <c r="AJ1052" t="s">
        <v>131</v>
      </c>
      <c r="AK1052" t="s">
        <v>125</v>
      </c>
      <c r="AL1052">
        <v>24</v>
      </c>
      <c r="AM1052" t="s">
        <v>132</v>
      </c>
      <c r="AN1052" t="s">
        <v>125</v>
      </c>
      <c r="AO1052" t="s">
        <v>2558</v>
      </c>
      <c r="BP1052" t="s">
        <v>149</v>
      </c>
      <c r="BR1052" t="s">
        <v>135</v>
      </c>
      <c r="BS1052">
        <v>3</v>
      </c>
      <c r="BX1052" t="s">
        <v>209</v>
      </c>
      <c r="BZ1052" t="s">
        <v>137</v>
      </c>
    </row>
    <row r="1053" spans="1:78" hidden="1" x14ac:dyDescent="0.2">
      <c r="A1053" t="s">
        <v>119</v>
      </c>
      <c r="B1053" t="s">
        <v>120</v>
      </c>
      <c r="C1053" t="s">
        <v>2550</v>
      </c>
      <c r="D1053">
        <v>27</v>
      </c>
      <c r="E1053" t="s">
        <v>2559</v>
      </c>
      <c r="F1053" t="s">
        <v>350</v>
      </c>
      <c r="G1053" t="s">
        <v>124</v>
      </c>
      <c r="H1053" t="s">
        <v>125</v>
      </c>
      <c r="I1053">
        <v>18</v>
      </c>
      <c r="J1053" t="s">
        <v>199</v>
      </c>
      <c r="K1053" t="s">
        <v>125</v>
      </c>
      <c r="L1053" t="s">
        <v>2560</v>
      </c>
      <c r="T1053" t="s">
        <v>142</v>
      </c>
      <c r="W1053" t="s">
        <v>155</v>
      </c>
      <c r="AC1053" t="s">
        <v>143</v>
      </c>
      <c r="AE1053" t="s">
        <v>144</v>
      </c>
      <c r="AG1053">
        <v>26</v>
      </c>
      <c r="AH1053" t="s">
        <v>235</v>
      </c>
      <c r="AI1053" t="s">
        <v>146</v>
      </c>
      <c r="AJ1053" t="s">
        <v>131</v>
      </c>
      <c r="AK1053" t="s">
        <v>125</v>
      </c>
      <c r="AL1053">
        <v>27</v>
      </c>
      <c r="AM1053" t="s">
        <v>132</v>
      </c>
      <c r="AN1053" t="s">
        <v>125</v>
      </c>
      <c r="AO1053" t="s">
        <v>2561</v>
      </c>
      <c r="BP1053" t="s">
        <v>149</v>
      </c>
      <c r="BR1053" t="s">
        <v>135</v>
      </c>
      <c r="BS1053">
        <v>1</v>
      </c>
      <c r="BX1053" t="s">
        <v>136</v>
      </c>
      <c r="BZ1053" t="s">
        <v>137</v>
      </c>
    </row>
    <row r="1054" spans="1:78" hidden="1" x14ac:dyDescent="0.2">
      <c r="A1054" t="s">
        <v>119</v>
      </c>
      <c r="B1054" t="s">
        <v>120</v>
      </c>
      <c r="C1054" t="s">
        <v>2550</v>
      </c>
      <c r="D1054">
        <v>34</v>
      </c>
      <c r="E1054" t="s">
        <v>2562</v>
      </c>
      <c r="F1054" t="s">
        <v>2563</v>
      </c>
      <c r="G1054" t="s">
        <v>124</v>
      </c>
      <c r="H1054" t="s">
        <v>125</v>
      </c>
      <c r="I1054">
        <v>27</v>
      </c>
      <c r="J1054" t="s">
        <v>161</v>
      </c>
      <c r="K1054" t="s">
        <v>125</v>
      </c>
      <c r="L1054" t="s">
        <v>2564</v>
      </c>
      <c r="T1054" t="s">
        <v>154</v>
      </c>
      <c r="W1054" t="s">
        <v>135</v>
      </c>
      <c r="AC1054" t="s">
        <v>143</v>
      </c>
      <c r="AE1054" t="s">
        <v>144</v>
      </c>
      <c r="AG1054">
        <v>33</v>
      </c>
      <c r="AH1054" t="s">
        <v>2555</v>
      </c>
      <c r="AI1054" t="s">
        <v>205</v>
      </c>
      <c r="AJ1054" t="s">
        <v>131</v>
      </c>
      <c r="AK1054" t="s">
        <v>125</v>
      </c>
      <c r="AL1054">
        <v>34</v>
      </c>
      <c r="AM1054" t="s">
        <v>132</v>
      </c>
      <c r="AN1054" t="s">
        <v>125</v>
      </c>
      <c r="AO1054" t="s">
        <v>2565</v>
      </c>
      <c r="BP1054" t="s">
        <v>149</v>
      </c>
      <c r="BR1054" t="s">
        <v>155</v>
      </c>
      <c r="BS1054">
        <v>3</v>
      </c>
      <c r="BX1054" t="s">
        <v>136</v>
      </c>
      <c r="BZ1054" t="s">
        <v>137</v>
      </c>
    </row>
    <row r="1055" spans="1:78" hidden="1" x14ac:dyDescent="0.2">
      <c r="A1055" t="s">
        <v>119</v>
      </c>
      <c r="B1055" t="s">
        <v>120</v>
      </c>
      <c r="C1055" t="s">
        <v>2550</v>
      </c>
      <c r="D1055">
        <v>36</v>
      </c>
      <c r="E1055" t="s">
        <v>2566</v>
      </c>
      <c r="F1055" t="s">
        <v>2567</v>
      </c>
      <c r="G1055" t="s">
        <v>124</v>
      </c>
      <c r="H1055" t="s">
        <v>125</v>
      </c>
      <c r="I1055">
        <v>35</v>
      </c>
      <c r="J1055" t="s">
        <v>386</v>
      </c>
      <c r="K1055" t="s">
        <v>125</v>
      </c>
      <c r="L1055" t="s">
        <v>2568</v>
      </c>
      <c r="T1055" t="s">
        <v>154</v>
      </c>
      <c r="W1055" t="s">
        <v>135</v>
      </c>
      <c r="AC1055" t="s">
        <v>143</v>
      </c>
      <c r="AE1055" t="s">
        <v>144</v>
      </c>
    </row>
    <row r="1056" spans="1:78" hidden="1" x14ac:dyDescent="0.2">
      <c r="A1056" t="s">
        <v>119</v>
      </c>
      <c r="B1056" t="s">
        <v>120</v>
      </c>
      <c r="C1056" t="s">
        <v>2550</v>
      </c>
      <c r="D1056">
        <v>41</v>
      </c>
      <c r="E1056" t="s">
        <v>1783</v>
      </c>
      <c r="F1056" t="s">
        <v>205</v>
      </c>
      <c r="G1056" t="s">
        <v>124</v>
      </c>
      <c r="H1056" t="s">
        <v>125</v>
      </c>
      <c r="I1056">
        <v>38</v>
      </c>
      <c r="J1056" t="s">
        <v>170</v>
      </c>
      <c r="K1056" t="s">
        <v>125</v>
      </c>
      <c r="L1056" t="s">
        <v>2569</v>
      </c>
      <c r="U1056" t="s">
        <v>149</v>
      </c>
      <c r="W1056" t="s">
        <v>135</v>
      </c>
      <c r="X1056">
        <v>3</v>
      </c>
      <c r="AC1056" t="s">
        <v>209</v>
      </c>
      <c r="AE1056" t="s">
        <v>137</v>
      </c>
    </row>
    <row r="1057" spans="1:78" hidden="1" x14ac:dyDescent="0.2">
      <c r="A1057" t="s">
        <v>119</v>
      </c>
      <c r="B1057" t="s">
        <v>120</v>
      </c>
      <c r="C1057" t="s">
        <v>2570</v>
      </c>
      <c r="D1057">
        <v>8</v>
      </c>
      <c r="E1057" t="s">
        <v>2571</v>
      </c>
      <c r="F1057" t="s">
        <v>2572</v>
      </c>
      <c r="G1057" t="s">
        <v>124</v>
      </c>
      <c r="H1057" t="s">
        <v>125</v>
      </c>
      <c r="I1057">
        <v>0</v>
      </c>
      <c r="J1057" t="s">
        <v>126</v>
      </c>
      <c r="K1057" t="s">
        <v>125</v>
      </c>
      <c r="L1057" t="s">
        <v>2573</v>
      </c>
      <c r="T1057" t="s">
        <v>154</v>
      </c>
      <c r="W1057" t="s">
        <v>155</v>
      </c>
    </row>
    <row r="1058" spans="1:78" x14ac:dyDescent="0.2">
      <c r="A1058" t="s">
        <v>119</v>
      </c>
      <c r="B1058" t="s">
        <v>120</v>
      </c>
      <c r="C1058" t="s">
        <v>2570</v>
      </c>
      <c r="D1058">
        <v>12</v>
      </c>
      <c r="E1058" t="s">
        <v>2574</v>
      </c>
      <c r="F1058" t="s">
        <v>2575</v>
      </c>
      <c r="G1058" t="s">
        <v>124</v>
      </c>
      <c r="H1058" t="s">
        <v>125</v>
      </c>
      <c r="I1058">
        <v>8</v>
      </c>
      <c r="J1058" t="s">
        <v>199</v>
      </c>
      <c r="K1058" t="s">
        <v>125</v>
      </c>
      <c r="L1058" t="s">
        <v>2576</v>
      </c>
      <c r="U1058" t="s">
        <v>209</v>
      </c>
      <c r="W1058" t="s">
        <v>135</v>
      </c>
      <c r="X1058">
        <v>3</v>
      </c>
      <c r="AC1058" t="s">
        <v>136</v>
      </c>
      <c r="AE1058" t="s">
        <v>137</v>
      </c>
    </row>
    <row r="1059" spans="1:78" hidden="1" x14ac:dyDescent="0.2">
      <c r="A1059" t="s">
        <v>119</v>
      </c>
      <c r="B1059" t="s">
        <v>120</v>
      </c>
      <c r="C1059" t="s">
        <v>2577</v>
      </c>
      <c r="D1059">
        <v>1</v>
      </c>
      <c r="E1059" t="s">
        <v>2578</v>
      </c>
      <c r="F1059" t="s">
        <v>364</v>
      </c>
      <c r="G1059" t="s">
        <v>124</v>
      </c>
      <c r="H1059" t="s">
        <v>125</v>
      </c>
      <c r="I1059">
        <v>0</v>
      </c>
      <c r="J1059" t="s">
        <v>126</v>
      </c>
      <c r="K1059" t="s">
        <v>125</v>
      </c>
      <c r="L1059" t="s">
        <v>2579</v>
      </c>
      <c r="AE1059" t="s">
        <v>128</v>
      </c>
    </row>
    <row r="1060" spans="1:78" x14ac:dyDescent="0.2">
      <c r="A1060" t="s">
        <v>119</v>
      </c>
      <c r="B1060" t="s">
        <v>120</v>
      </c>
      <c r="C1060" t="s">
        <v>2580</v>
      </c>
      <c r="D1060">
        <v>6</v>
      </c>
      <c r="E1060" t="s">
        <v>363</v>
      </c>
      <c r="F1060" t="s">
        <v>364</v>
      </c>
      <c r="G1060" t="s">
        <v>124</v>
      </c>
      <c r="H1060" t="s">
        <v>125</v>
      </c>
      <c r="I1060">
        <v>3</v>
      </c>
      <c r="J1060" t="s">
        <v>268</v>
      </c>
      <c r="K1060" t="s">
        <v>125</v>
      </c>
      <c r="L1060" t="s">
        <v>2581</v>
      </c>
      <c r="U1060" t="s">
        <v>149</v>
      </c>
      <c r="W1060" t="s">
        <v>135</v>
      </c>
      <c r="X1060">
        <v>2</v>
      </c>
      <c r="AC1060" t="s">
        <v>136</v>
      </c>
      <c r="AE1060" t="s">
        <v>137</v>
      </c>
    </row>
    <row r="1061" spans="1:78" x14ac:dyDescent="0.2">
      <c r="A1061" t="s">
        <v>119</v>
      </c>
      <c r="B1061" t="s">
        <v>120</v>
      </c>
      <c r="C1061" t="s">
        <v>2580</v>
      </c>
      <c r="D1061">
        <v>10</v>
      </c>
      <c r="E1061" t="s">
        <v>754</v>
      </c>
      <c r="F1061" t="s">
        <v>186</v>
      </c>
      <c r="G1061" t="s">
        <v>124</v>
      </c>
      <c r="H1061" t="s">
        <v>125</v>
      </c>
      <c r="I1061">
        <v>6</v>
      </c>
      <c r="J1061" t="s">
        <v>161</v>
      </c>
      <c r="K1061" t="s">
        <v>125</v>
      </c>
      <c r="L1061" t="s">
        <v>2582</v>
      </c>
      <c r="U1061" t="s">
        <v>209</v>
      </c>
      <c r="W1061" t="s">
        <v>135</v>
      </c>
      <c r="X1061">
        <v>2</v>
      </c>
      <c r="AC1061" t="s">
        <v>136</v>
      </c>
      <c r="AE1061" t="s">
        <v>137</v>
      </c>
    </row>
    <row r="1062" spans="1:78" x14ac:dyDescent="0.2">
      <c r="A1062" t="s">
        <v>119</v>
      </c>
      <c r="B1062" t="s">
        <v>120</v>
      </c>
      <c r="C1062" t="s">
        <v>2580</v>
      </c>
      <c r="D1062">
        <v>12</v>
      </c>
      <c r="E1062" t="s">
        <v>2583</v>
      </c>
      <c r="F1062" t="s">
        <v>2584</v>
      </c>
      <c r="G1062" t="s">
        <v>124</v>
      </c>
      <c r="H1062" t="s">
        <v>125</v>
      </c>
      <c r="I1062">
        <v>11</v>
      </c>
      <c r="J1062" t="s">
        <v>302</v>
      </c>
      <c r="K1062" t="s">
        <v>125</v>
      </c>
      <c r="L1062" t="s">
        <v>2585</v>
      </c>
      <c r="U1062" t="s">
        <v>209</v>
      </c>
      <c r="W1062" t="s">
        <v>135</v>
      </c>
      <c r="X1062">
        <v>2</v>
      </c>
      <c r="AC1062" t="s">
        <v>136</v>
      </c>
      <c r="AE1062" t="s">
        <v>144</v>
      </c>
    </row>
    <row r="1063" spans="1:78" hidden="1" x14ac:dyDescent="0.2">
      <c r="A1063" t="s">
        <v>119</v>
      </c>
      <c r="B1063" t="s">
        <v>120</v>
      </c>
      <c r="C1063" t="s">
        <v>2580</v>
      </c>
      <c r="D1063">
        <v>19</v>
      </c>
      <c r="E1063" t="s">
        <v>728</v>
      </c>
      <c r="F1063" t="s">
        <v>728</v>
      </c>
      <c r="G1063" t="s">
        <v>124</v>
      </c>
      <c r="H1063" t="s">
        <v>125</v>
      </c>
      <c r="I1063">
        <v>6</v>
      </c>
      <c r="J1063" t="s">
        <v>268</v>
      </c>
      <c r="K1063" t="s">
        <v>125</v>
      </c>
      <c r="L1063" t="s">
        <v>2586</v>
      </c>
      <c r="AE1063" t="s">
        <v>128</v>
      </c>
      <c r="AG1063">
        <v>18</v>
      </c>
      <c r="AH1063" t="s">
        <v>2502</v>
      </c>
      <c r="AI1063" t="s">
        <v>572</v>
      </c>
      <c r="AJ1063" t="s">
        <v>131</v>
      </c>
      <c r="AK1063" t="s">
        <v>125</v>
      </c>
      <c r="AL1063">
        <v>19</v>
      </c>
      <c r="AM1063" t="s">
        <v>132</v>
      </c>
      <c r="AN1063" t="s">
        <v>125</v>
      </c>
      <c r="AO1063" t="s">
        <v>2587</v>
      </c>
      <c r="BP1063" t="s">
        <v>149</v>
      </c>
      <c r="BR1063" t="s">
        <v>135</v>
      </c>
      <c r="BS1063">
        <v>1</v>
      </c>
      <c r="BX1063" t="s">
        <v>136</v>
      </c>
      <c r="BZ1063" t="s">
        <v>137</v>
      </c>
    </row>
    <row r="1064" spans="1:78" x14ac:dyDescent="0.2">
      <c r="A1064" t="s">
        <v>119</v>
      </c>
      <c r="B1064" t="s">
        <v>120</v>
      </c>
      <c r="C1064" t="s">
        <v>2580</v>
      </c>
      <c r="D1064">
        <v>21</v>
      </c>
      <c r="E1064" t="s">
        <v>1412</v>
      </c>
      <c r="F1064" t="s">
        <v>140</v>
      </c>
      <c r="G1064" t="s">
        <v>124</v>
      </c>
      <c r="H1064" t="s">
        <v>125</v>
      </c>
      <c r="I1064">
        <v>19</v>
      </c>
      <c r="J1064" t="s">
        <v>264</v>
      </c>
      <c r="K1064" t="s">
        <v>125</v>
      </c>
      <c r="L1064" t="s">
        <v>2588</v>
      </c>
      <c r="U1064" t="s">
        <v>149</v>
      </c>
      <c r="W1064" t="s">
        <v>135</v>
      </c>
      <c r="X1064">
        <v>2</v>
      </c>
      <c r="AC1064" t="s">
        <v>136</v>
      </c>
      <c r="AE1064" t="s">
        <v>137</v>
      </c>
    </row>
    <row r="1065" spans="1:78" x14ac:dyDescent="0.2">
      <c r="A1065" t="s">
        <v>119</v>
      </c>
      <c r="B1065" t="s">
        <v>120</v>
      </c>
      <c r="C1065" t="s">
        <v>2580</v>
      </c>
      <c r="D1065">
        <v>28</v>
      </c>
      <c r="E1065" t="s">
        <v>614</v>
      </c>
      <c r="F1065" t="s">
        <v>205</v>
      </c>
      <c r="G1065" t="s">
        <v>124</v>
      </c>
      <c r="H1065" t="s">
        <v>125</v>
      </c>
      <c r="I1065">
        <v>3</v>
      </c>
      <c r="J1065" t="s">
        <v>161</v>
      </c>
      <c r="K1065" t="s">
        <v>125</v>
      </c>
      <c r="L1065" t="s">
        <v>2589</v>
      </c>
      <c r="U1065" t="s">
        <v>149</v>
      </c>
      <c r="W1065" t="s">
        <v>135</v>
      </c>
      <c r="X1065">
        <v>3</v>
      </c>
      <c r="AC1065" t="s">
        <v>136</v>
      </c>
      <c r="AE1065" t="s">
        <v>137</v>
      </c>
    </row>
    <row r="1066" spans="1:78" x14ac:dyDescent="0.2">
      <c r="A1066" t="s">
        <v>119</v>
      </c>
      <c r="B1066" t="s">
        <v>120</v>
      </c>
      <c r="C1066" t="s">
        <v>2590</v>
      </c>
      <c r="D1066">
        <v>4</v>
      </c>
      <c r="E1066" t="s">
        <v>282</v>
      </c>
      <c r="F1066" t="s">
        <v>283</v>
      </c>
      <c r="G1066" t="s">
        <v>124</v>
      </c>
      <c r="H1066" t="s">
        <v>125</v>
      </c>
      <c r="I1066">
        <v>0</v>
      </c>
      <c r="J1066" t="s">
        <v>126</v>
      </c>
      <c r="K1066" t="s">
        <v>125</v>
      </c>
      <c r="L1066" t="s">
        <v>2591</v>
      </c>
      <c r="U1066" t="s">
        <v>149</v>
      </c>
      <c r="W1066" t="s">
        <v>155</v>
      </c>
      <c r="X1066">
        <v>1</v>
      </c>
      <c r="AC1066" t="s">
        <v>136</v>
      </c>
      <c r="AE1066" t="s">
        <v>137</v>
      </c>
    </row>
    <row r="1067" spans="1:78" hidden="1" x14ac:dyDescent="0.2">
      <c r="A1067" t="s">
        <v>119</v>
      </c>
      <c r="B1067" t="s">
        <v>120</v>
      </c>
      <c r="C1067" t="s">
        <v>2590</v>
      </c>
      <c r="D1067">
        <v>6</v>
      </c>
      <c r="E1067" t="s">
        <v>1606</v>
      </c>
      <c r="F1067" t="s">
        <v>1606</v>
      </c>
      <c r="G1067" t="s">
        <v>124</v>
      </c>
      <c r="H1067" t="s">
        <v>125</v>
      </c>
      <c r="I1067">
        <v>4</v>
      </c>
      <c r="J1067" t="s">
        <v>294</v>
      </c>
      <c r="K1067" t="s">
        <v>125</v>
      </c>
      <c r="L1067" t="s">
        <v>2592</v>
      </c>
      <c r="AE1067" t="s">
        <v>128</v>
      </c>
    </row>
    <row r="1068" spans="1:78" hidden="1" x14ac:dyDescent="0.2">
      <c r="A1068" t="s">
        <v>119</v>
      </c>
      <c r="B1068" t="s">
        <v>120</v>
      </c>
      <c r="C1068" t="s">
        <v>2593</v>
      </c>
      <c r="D1068">
        <v>5</v>
      </c>
      <c r="E1068" t="s">
        <v>2594</v>
      </c>
      <c r="F1068" t="s">
        <v>773</v>
      </c>
      <c r="G1068" t="s">
        <v>124</v>
      </c>
      <c r="H1068" t="s">
        <v>125</v>
      </c>
      <c r="I1068">
        <v>0</v>
      </c>
      <c r="J1068" t="s">
        <v>126</v>
      </c>
      <c r="K1068" t="s">
        <v>125</v>
      </c>
      <c r="L1068" t="s">
        <v>2595</v>
      </c>
      <c r="T1068" t="s">
        <v>154</v>
      </c>
      <c r="W1068" t="s">
        <v>135</v>
      </c>
      <c r="AC1068" t="s">
        <v>143</v>
      </c>
      <c r="AE1068" t="s">
        <v>144</v>
      </c>
      <c r="AG1068">
        <v>4</v>
      </c>
      <c r="AH1068" t="s">
        <v>218</v>
      </c>
      <c r="AI1068" t="s">
        <v>205</v>
      </c>
      <c r="AJ1068" t="s">
        <v>131</v>
      </c>
      <c r="AK1068" t="s">
        <v>125</v>
      </c>
      <c r="AL1068">
        <v>5</v>
      </c>
      <c r="AM1068" t="s">
        <v>132</v>
      </c>
      <c r="AN1068" t="s">
        <v>125</v>
      </c>
      <c r="AO1068" t="s">
        <v>2596</v>
      </c>
      <c r="BP1068" t="s">
        <v>149</v>
      </c>
      <c r="BR1068" t="s">
        <v>155</v>
      </c>
      <c r="BS1068">
        <v>3</v>
      </c>
      <c r="BX1068" t="s">
        <v>136</v>
      </c>
      <c r="BZ1068" t="s">
        <v>137</v>
      </c>
    </row>
    <row r="1069" spans="1:78" hidden="1" x14ac:dyDescent="0.2">
      <c r="A1069" t="s">
        <v>119</v>
      </c>
      <c r="B1069" t="s">
        <v>120</v>
      </c>
      <c r="C1069" t="s">
        <v>2593</v>
      </c>
      <c r="D1069">
        <v>17</v>
      </c>
      <c r="E1069" t="s">
        <v>2597</v>
      </c>
      <c r="F1069" t="s">
        <v>261</v>
      </c>
      <c r="G1069" t="s">
        <v>124</v>
      </c>
      <c r="H1069" t="s">
        <v>125</v>
      </c>
      <c r="I1069">
        <v>5</v>
      </c>
      <c r="J1069" t="s">
        <v>268</v>
      </c>
      <c r="K1069" t="s">
        <v>125</v>
      </c>
      <c r="L1069" t="s">
        <v>2598</v>
      </c>
      <c r="AE1069" t="s">
        <v>394</v>
      </c>
    </row>
    <row r="1070" spans="1:78" x14ac:dyDescent="0.2">
      <c r="A1070" t="s">
        <v>119</v>
      </c>
      <c r="B1070" t="s">
        <v>120</v>
      </c>
      <c r="C1070" t="s">
        <v>2593</v>
      </c>
      <c r="D1070">
        <v>18</v>
      </c>
      <c r="E1070" t="s">
        <v>1537</v>
      </c>
      <c r="F1070" t="s">
        <v>1538</v>
      </c>
      <c r="G1070" t="s">
        <v>124</v>
      </c>
      <c r="H1070" t="s">
        <v>125</v>
      </c>
      <c r="I1070">
        <v>17</v>
      </c>
      <c r="J1070" t="s">
        <v>1249</v>
      </c>
      <c r="K1070" t="s">
        <v>125</v>
      </c>
      <c r="L1070" t="s">
        <v>2599</v>
      </c>
      <c r="U1070" t="s">
        <v>209</v>
      </c>
      <c r="W1070" t="s">
        <v>135</v>
      </c>
      <c r="X1070">
        <v>2</v>
      </c>
      <c r="AC1070" t="s">
        <v>136</v>
      </c>
      <c r="AE1070" t="s">
        <v>137</v>
      </c>
    </row>
    <row r="1071" spans="1:78" x14ac:dyDescent="0.2">
      <c r="A1071" t="s">
        <v>119</v>
      </c>
      <c r="B1071" t="s">
        <v>120</v>
      </c>
      <c r="C1071" t="s">
        <v>2593</v>
      </c>
      <c r="D1071">
        <v>21</v>
      </c>
      <c r="E1071" t="s">
        <v>370</v>
      </c>
      <c r="F1071" t="s">
        <v>140</v>
      </c>
      <c r="G1071" t="s">
        <v>124</v>
      </c>
      <c r="H1071" t="s">
        <v>125</v>
      </c>
      <c r="I1071">
        <v>28</v>
      </c>
      <c r="J1071" t="s">
        <v>210</v>
      </c>
      <c r="K1071" t="s">
        <v>125</v>
      </c>
      <c r="L1071" t="s">
        <v>2600</v>
      </c>
      <c r="U1071" t="s">
        <v>149</v>
      </c>
      <c r="W1071" t="s">
        <v>135</v>
      </c>
      <c r="X1071">
        <v>3</v>
      </c>
      <c r="AC1071" t="s">
        <v>136</v>
      </c>
      <c r="AE1071" t="s">
        <v>137</v>
      </c>
    </row>
    <row r="1072" spans="1:78" x14ac:dyDescent="0.2">
      <c r="A1072" t="s">
        <v>119</v>
      </c>
      <c r="B1072" t="s">
        <v>120</v>
      </c>
      <c r="C1072" t="s">
        <v>2593</v>
      </c>
      <c r="D1072">
        <v>28</v>
      </c>
      <c r="E1072" t="s">
        <v>370</v>
      </c>
      <c r="F1072" t="s">
        <v>140</v>
      </c>
      <c r="G1072" t="s">
        <v>124</v>
      </c>
      <c r="H1072" t="s">
        <v>125</v>
      </c>
      <c r="I1072">
        <v>18</v>
      </c>
      <c r="J1072" t="s">
        <v>161</v>
      </c>
      <c r="K1072" t="s">
        <v>125</v>
      </c>
      <c r="L1072" t="s">
        <v>2601</v>
      </c>
      <c r="U1072" t="s">
        <v>149</v>
      </c>
      <c r="W1072" t="s">
        <v>135</v>
      </c>
      <c r="X1072">
        <v>3</v>
      </c>
      <c r="AC1072" t="s">
        <v>136</v>
      </c>
      <c r="AE1072" t="s">
        <v>137</v>
      </c>
    </row>
    <row r="1073" spans="1:78" x14ac:dyDescent="0.2">
      <c r="A1073" t="s">
        <v>119</v>
      </c>
      <c r="B1073" t="s">
        <v>120</v>
      </c>
      <c r="C1073" t="s">
        <v>2602</v>
      </c>
      <c r="D1073">
        <v>2</v>
      </c>
      <c r="E1073" t="s">
        <v>145</v>
      </c>
      <c r="F1073" t="s">
        <v>146</v>
      </c>
      <c r="G1073" t="s">
        <v>124</v>
      </c>
      <c r="H1073" t="s">
        <v>125</v>
      </c>
      <c r="I1073">
        <v>0</v>
      </c>
      <c r="J1073" t="s">
        <v>126</v>
      </c>
      <c r="K1073" t="s">
        <v>125</v>
      </c>
      <c r="L1073" t="s">
        <v>2603</v>
      </c>
      <c r="U1073" t="s">
        <v>149</v>
      </c>
      <c r="W1073" t="s">
        <v>135</v>
      </c>
      <c r="X1073">
        <v>3</v>
      </c>
      <c r="AC1073" t="s">
        <v>136</v>
      </c>
      <c r="AE1073" t="s">
        <v>137</v>
      </c>
    </row>
    <row r="1074" spans="1:78" hidden="1" x14ac:dyDescent="0.2">
      <c r="A1074" t="s">
        <v>119</v>
      </c>
      <c r="B1074" t="s">
        <v>120</v>
      </c>
      <c r="C1074" t="s">
        <v>2602</v>
      </c>
      <c r="D1074">
        <v>6</v>
      </c>
      <c r="E1074" t="s">
        <v>691</v>
      </c>
      <c r="F1074" t="s">
        <v>261</v>
      </c>
      <c r="G1074" t="s">
        <v>124</v>
      </c>
      <c r="H1074" t="s">
        <v>125</v>
      </c>
      <c r="I1074">
        <v>2</v>
      </c>
      <c r="J1074" t="s">
        <v>264</v>
      </c>
      <c r="K1074" t="s">
        <v>125</v>
      </c>
      <c r="L1074" t="s">
        <v>2604</v>
      </c>
      <c r="T1074" t="s">
        <v>154</v>
      </c>
      <c r="W1074" t="s">
        <v>135</v>
      </c>
      <c r="AC1074" t="s">
        <v>143</v>
      </c>
      <c r="AE1074" t="s">
        <v>144</v>
      </c>
      <c r="AG1074">
        <v>5</v>
      </c>
      <c r="AH1074" t="s">
        <v>2555</v>
      </c>
      <c r="AI1074" t="s">
        <v>205</v>
      </c>
      <c r="AJ1074" t="s">
        <v>131</v>
      </c>
      <c r="AK1074" t="s">
        <v>125</v>
      </c>
      <c r="AL1074">
        <v>6</v>
      </c>
      <c r="AM1074" t="s">
        <v>132</v>
      </c>
      <c r="AN1074" t="s">
        <v>125</v>
      </c>
      <c r="AO1074" t="s">
        <v>2605</v>
      </c>
      <c r="BP1074" t="s">
        <v>149</v>
      </c>
      <c r="BR1074" t="s">
        <v>155</v>
      </c>
      <c r="BS1074">
        <v>3</v>
      </c>
      <c r="BX1074" t="s">
        <v>136</v>
      </c>
      <c r="BZ1074" t="s">
        <v>137</v>
      </c>
    </row>
    <row r="1075" spans="1:78" x14ac:dyDescent="0.2">
      <c r="A1075" t="s">
        <v>119</v>
      </c>
      <c r="B1075" t="s">
        <v>120</v>
      </c>
      <c r="C1075" t="s">
        <v>2602</v>
      </c>
      <c r="D1075">
        <v>7</v>
      </c>
      <c r="E1075" t="s">
        <v>1537</v>
      </c>
      <c r="F1075" t="s">
        <v>1538</v>
      </c>
      <c r="G1075" t="s">
        <v>124</v>
      </c>
      <c r="H1075" t="s">
        <v>125</v>
      </c>
      <c r="I1075">
        <v>6</v>
      </c>
      <c r="J1075" t="s">
        <v>1249</v>
      </c>
      <c r="K1075" t="s">
        <v>125</v>
      </c>
      <c r="L1075" t="s">
        <v>2606</v>
      </c>
      <c r="U1075" t="s">
        <v>209</v>
      </c>
      <c r="W1075" t="s">
        <v>135</v>
      </c>
      <c r="X1075">
        <v>2</v>
      </c>
      <c r="AC1075" t="s">
        <v>136</v>
      </c>
      <c r="AE1075" t="s">
        <v>137</v>
      </c>
    </row>
    <row r="1076" spans="1:78" x14ac:dyDescent="0.2">
      <c r="A1076" t="s">
        <v>119</v>
      </c>
      <c r="B1076" t="s">
        <v>120</v>
      </c>
      <c r="C1076" t="s">
        <v>2602</v>
      </c>
      <c r="D1076">
        <v>9</v>
      </c>
      <c r="E1076" t="s">
        <v>201</v>
      </c>
      <c r="F1076" t="s">
        <v>202</v>
      </c>
      <c r="G1076" t="s">
        <v>124</v>
      </c>
      <c r="H1076" t="s">
        <v>125</v>
      </c>
      <c r="I1076">
        <v>7</v>
      </c>
      <c r="J1076" t="s">
        <v>161</v>
      </c>
      <c r="K1076" t="s">
        <v>125</v>
      </c>
      <c r="L1076" t="s">
        <v>2607</v>
      </c>
      <c r="U1076" t="s">
        <v>149</v>
      </c>
      <c r="W1076" t="s">
        <v>135</v>
      </c>
      <c r="X1076">
        <v>1</v>
      </c>
      <c r="AC1076" t="s">
        <v>136</v>
      </c>
      <c r="AE1076" t="s">
        <v>137</v>
      </c>
      <c r="AG1076">
        <v>8</v>
      </c>
      <c r="AH1076" t="s">
        <v>2608</v>
      </c>
      <c r="AI1076" t="s">
        <v>205</v>
      </c>
      <c r="AJ1076" t="s">
        <v>131</v>
      </c>
      <c r="AK1076" t="s">
        <v>125</v>
      </c>
      <c r="AL1076">
        <v>9</v>
      </c>
      <c r="AM1076" t="s">
        <v>132</v>
      </c>
      <c r="AN1076" t="s">
        <v>125</v>
      </c>
      <c r="AO1076" t="s">
        <v>2609</v>
      </c>
      <c r="BP1076" t="s">
        <v>149</v>
      </c>
      <c r="BR1076" t="s">
        <v>155</v>
      </c>
      <c r="BS1076">
        <v>1</v>
      </c>
      <c r="BX1076" t="s">
        <v>136</v>
      </c>
      <c r="BZ1076" t="s">
        <v>137</v>
      </c>
    </row>
    <row r="1077" spans="1:78" x14ac:dyDescent="0.2">
      <c r="A1077" t="s">
        <v>119</v>
      </c>
      <c r="B1077" t="s">
        <v>120</v>
      </c>
      <c r="C1077" t="s">
        <v>2610</v>
      </c>
      <c r="D1077">
        <v>2</v>
      </c>
      <c r="E1077" t="s">
        <v>932</v>
      </c>
      <c r="F1077" t="s">
        <v>933</v>
      </c>
      <c r="G1077" t="s">
        <v>124</v>
      </c>
      <c r="H1077" t="s">
        <v>125</v>
      </c>
      <c r="I1077">
        <v>0</v>
      </c>
      <c r="J1077" t="s">
        <v>126</v>
      </c>
      <c r="K1077" t="s">
        <v>125</v>
      </c>
      <c r="L1077" t="s">
        <v>2611</v>
      </c>
      <c r="U1077" t="s">
        <v>149</v>
      </c>
      <c r="W1077" t="s">
        <v>135</v>
      </c>
      <c r="X1077">
        <v>1</v>
      </c>
      <c r="AC1077" t="s">
        <v>136</v>
      </c>
      <c r="AE1077" t="s">
        <v>137</v>
      </c>
    </row>
    <row r="1078" spans="1:78" hidden="1" x14ac:dyDescent="0.2">
      <c r="A1078" t="s">
        <v>119</v>
      </c>
      <c r="B1078" t="s">
        <v>120</v>
      </c>
      <c r="C1078" t="s">
        <v>2612</v>
      </c>
      <c r="D1078">
        <v>2</v>
      </c>
      <c r="E1078" t="s">
        <v>2613</v>
      </c>
      <c r="F1078" t="s">
        <v>2614</v>
      </c>
      <c r="G1078" t="s">
        <v>124</v>
      </c>
      <c r="H1078" t="s">
        <v>125</v>
      </c>
      <c r="I1078">
        <v>0</v>
      </c>
      <c r="J1078" t="s">
        <v>126</v>
      </c>
      <c r="K1078" t="s">
        <v>125</v>
      </c>
      <c r="L1078" t="s">
        <v>2615</v>
      </c>
      <c r="T1078" t="s">
        <v>154</v>
      </c>
      <c r="W1078" t="s">
        <v>135</v>
      </c>
      <c r="AC1078" t="s">
        <v>143</v>
      </c>
      <c r="AE1078" t="s">
        <v>144</v>
      </c>
      <c r="AG1078">
        <v>1</v>
      </c>
      <c r="AH1078" t="s">
        <v>496</v>
      </c>
      <c r="AI1078" t="s">
        <v>205</v>
      </c>
      <c r="AJ1078" t="s">
        <v>131</v>
      </c>
      <c r="AK1078" t="s">
        <v>125</v>
      </c>
      <c r="AL1078">
        <v>2</v>
      </c>
      <c r="AM1078" t="s">
        <v>132</v>
      </c>
      <c r="AN1078" t="s">
        <v>125</v>
      </c>
      <c r="AO1078" t="s">
        <v>2616</v>
      </c>
      <c r="BP1078" t="s">
        <v>149</v>
      </c>
      <c r="BR1078" t="s">
        <v>135</v>
      </c>
      <c r="BS1078">
        <v>2</v>
      </c>
      <c r="BX1078" t="s">
        <v>136</v>
      </c>
      <c r="BZ1078" t="s">
        <v>137</v>
      </c>
    </row>
    <row r="1079" spans="1:78" hidden="1" x14ac:dyDescent="0.2">
      <c r="A1079" t="s">
        <v>119</v>
      </c>
      <c r="B1079" t="s">
        <v>120</v>
      </c>
      <c r="C1079" t="s">
        <v>2617</v>
      </c>
      <c r="D1079">
        <v>3</v>
      </c>
      <c r="E1079" t="s">
        <v>2618</v>
      </c>
      <c r="F1079" t="s">
        <v>2619</v>
      </c>
      <c r="G1079" t="s">
        <v>124</v>
      </c>
      <c r="H1079" t="s">
        <v>125</v>
      </c>
      <c r="I1079">
        <v>0</v>
      </c>
      <c r="J1079" t="s">
        <v>126</v>
      </c>
      <c r="K1079" t="s">
        <v>125</v>
      </c>
      <c r="L1079" t="s">
        <v>2620</v>
      </c>
      <c r="T1079" t="s">
        <v>154</v>
      </c>
      <c r="W1079" t="s">
        <v>135</v>
      </c>
      <c r="AC1079" t="s">
        <v>143</v>
      </c>
      <c r="AE1079" t="s">
        <v>144</v>
      </c>
      <c r="AG1079">
        <v>2</v>
      </c>
      <c r="AH1079" t="s">
        <v>496</v>
      </c>
      <c r="AI1079" t="s">
        <v>205</v>
      </c>
      <c r="AJ1079" t="s">
        <v>131</v>
      </c>
      <c r="AK1079" t="s">
        <v>125</v>
      </c>
      <c r="AL1079">
        <v>3</v>
      </c>
      <c r="AM1079" t="s">
        <v>132</v>
      </c>
      <c r="AN1079" t="s">
        <v>125</v>
      </c>
      <c r="AO1079" t="s">
        <v>2621</v>
      </c>
      <c r="BP1079" t="s">
        <v>149</v>
      </c>
      <c r="BR1079" t="s">
        <v>135</v>
      </c>
      <c r="BS1079">
        <v>2</v>
      </c>
      <c r="BX1079" t="s">
        <v>136</v>
      </c>
      <c r="BZ1079" t="s">
        <v>137</v>
      </c>
    </row>
    <row r="1080" spans="1:78" hidden="1" x14ac:dyDescent="0.2">
      <c r="A1080" t="s">
        <v>119</v>
      </c>
      <c r="B1080" t="s">
        <v>120</v>
      </c>
      <c r="C1080" t="s">
        <v>2617</v>
      </c>
      <c r="D1080">
        <v>5</v>
      </c>
      <c r="E1080" t="s">
        <v>602</v>
      </c>
      <c r="F1080" t="s">
        <v>602</v>
      </c>
      <c r="G1080" t="s">
        <v>124</v>
      </c>
      <c r="H1080" t="s">
        <v>125</v>
      </c>
      <c r="I1080">
        <v>3</v>
      </c>
      <c r="J1080" t="s">
        <v>294</v>
      </c>
      <c r="K1080" t="s">
        <v>125</v>
      </c>
      <c r="L1080" t="s">
        <v>2622</v>
      </c>
      <c r="AE1080" t="s">
        <v>128</v>
      </c>
    </row>
    <row r="1081" spans="1:78" x14ac:dyDescent="0.2">
      <c r="A1081" t="s">
        <v>119</v>
      </c>
      <c r="B1081" t="s">
        <v>120</v>
      </c>
      <c r="C1081" t="s">
        <v>2623</v>
      </c>
      <c r="D1081">
        <v>3</v>
      </c>
      <c r="E1081" t="s">
        <v>327</v>
      </c>
      <c r="F1081" t="s">
        <v>198</v>
      </c>
      <c r="G1081" t="s">
        <v>124</v>
      </c>
      <c r="H1081" t="s">
        <v>125</v>
      </c>
      <c r="I1081">
        <v>0</v>
      </c>
      <c r="J1081" t="s">
        <v>126</v>
      </c>
      <c r="K1081" t="s">
        <v>125</v>
      </c>
      <c r="L1081" t="s">
        <v>2624</v>
      </c>
      <c r="U1081" t="s">
        <v>149</v>
      </c>
      <c r="W1081" t="s">
        <v>135</v>
      </c>
      <c r="X1081">
        <v>3</v>
      </c>
      <c r="AC1081" t="s">
        <v>136</v>
      </c>
      <c r="AE1081" t="s">
        <v>137</v>
      </c>
    </row>
    <row r="1082" spans="1:78" x14ac:dyDescent="0.2">
      <c r="A1082" t="s">
        <v>119</v>
      </c>
      <c r="B1082" t="s">
        <v>120</v>
      </c>
      <c r="C1082" t="s">
        <v>2623</v>
      </c>
      <c r="D1082">
        <v>5</v>
      </c>
      <c r="E1082" t="s">
        <v>2625</v>
      </c>
      <c r="F1082" t="s">
        <v>194</v>
      </c>
      <c r="G1082" t="s">
        <v>124</v>
      </c>
      <c r="H1082" t="s">
        <v>125</v>
      </c>
      <c r="I1082">
        <v>3</v>
      </c>
      <c r="J1082" t="s">
        <v>264</v>
      </c>
      <c r="K1082" t="s">
        <v>125</v>
      </c>
      <c r="L1082" t="s">
        <v>2626</v>
      </c>
      <c r="U1082" t="s">
        <v>149</v>
      </c>
      <c r="W1082" t="s">
        <v>135</v>
      </c>
      <c r="X1082">
        <v>3</v>
      </c>
      <c r="AC1082" t="s">
        <v>136</v>
      </c>
      <c r="AE1082" t="s">
        <v>137</v>
      </c>
    </row>
    <row r="1083" spans="1:78" x14ac:dyDescent="0.2">
      <c r="A1083" t="s">
        <v>119</v>
      </c>
      <c r="B1083" t="s">
        <v>120</v>
      </c>
      <c r="C1083" t="s">
        <v>2627</v>
      </c>
      <c r="D1083">
        <v>7</v>
      </c>
      <c r="E1083" t="s">
        <v>2028</v>
      </c>
      <c r="F1083" t="s">
        <v>632</v>
      </c>
      <c r="G1083" t="s">
        <v>124</v>
      </c>
      <c r="H1083" t="s">
        <v>125</v>
      </c>
      <c r="I1083">
        <v>1</v>
      </c>
      <c r="J1083" t="s">
        <v>386</v>
      </c>
      <c r="K1083" t="s">
        <v>125</v>
      </c>
      <c r="L1083" t="s">
        <v>2628</v>
      </c>
      <c r="U1083" t="s">
        <v>149</v>
      </c>
      <c r="W1083" t="s">
        <v>135</v>
      </c>
      <c r="X1083">
        <v>3</v>
      </c>
      <c r="AC1083" t="s">
        <v>136</v>
      </c>
      <c r="AE1083" t="s">
        <v>137</v>
      </c>
    </row>
    <row r="1084" spans="1:78" x14ac:dyDescent="0.2">
      <c r="A1084" t="s">
        <v>119</v>
      </c>
      <c r="B1084" t="s">
        <v>120</v>
      </c>
      <c r="C1084" t="s">
        <v>2629</v>
      </c>
      <c r="D1084">
        <v>3</v>
      </c>
      <c r="E1084" t="s">
        <v>1526</v>
      </c>
      <c r="F1084" t="s">
        <v>667</v>
      </c>
      <c r="G1084" t="s">
        <v>124</v>
      </c>
      <c r="H1084" t="s">
        <v>125</v>
      </c>
      <c r="I1084">
        <v>0</v>
      </c>
      <c r="J1084" t="s">
        <v>126</v>
      </c>
      <c r="K1084" t="s">
        <v>125</v>
      </c>
      <c r="L1084" t="s">
        <v>2630</v>
      </c>
      <c r="U1084" t="s">
        <v>149</v>
      </c>
      <c r="W1084" t="s">
        <v>135</v>
      </c>
      <c r="X1084">
        <v>1</v>
      </c>
      <c r="AC1084" t="s">
        <v>136</v>
      </c>
      <c r="AE1084" t="s">
        <v>137</v>
      </c>
    </row>
    <row r="1085" spans="1:78" hidden="1" x14ac:dyDescent="0.2">
      <c r="A1085" t="s">
        <v>119</v>
      </c>
      <c r="B1085" t="s">
        <v>120</v>
      </c>
      <c r="C1085" t="s">
        <v>2629</v>
      </c>
      <c r="D1085">
        <v>10</v>
      </c>
      <c r="E1085" t="s">
        <v>2631</v>
      </c>
      <c r="F1085" t="s">
        <v>994</v>
      </c>
      <c r="G1085" t="s">
        <v>124</v>
      </c>
      <c r="H1085" t="s">
        <v>125</v>
      </c>
      <c r="I1085">
        <v>3</v>
      </c>
      <c r="J1085" t="s">
        <v>268</v>
      </c>
      <c r="K1085" t="s">
        <v>125</v>
      </c>
      <c r="L1085" t="s">
        <v>2632</v>
      </c>
      <c r="AE1085" t="s">
        <v>128</v>
      </c>
      <c r="AG1085">
        <v>9</v>
      </c>
      <c r="AH1085" t="s">
        <v>1339</v>
      </c>
      <c r="AI1085" t="s">
        <v>130</v>
      </c>
      <c r="AJ1085" t="s">
        <v>131</v>
      </c>
      <c r="AK1085" t="s">
        <v>125</v>
      </c>
      <c r="AL1085">
        <v>10</v>
      </c>
      <c r="AM1085" t="s">
        <v>132</v>
      </c>
      <c r="AN1085" t="s">
        <v>125</v>
      </c>
      <c r="AO1085" t="s">
        <v>2633</v>
      </c>
      <c r="BP1085" t="s">
        <v>149</v>
      </c>
      <c r="BR1085" t="s">
        <v>135</v>
      </c>
      <c r="BS1085">
        <v>1</v>
      </c>
      <c r="BX1085" t="s">
        <v>136</v>
      </c>
      <c r="BZ1085" t="s">
        <v>137</v>
      </c>
    </row>
    <row r="1086" spans="1:78" x14ac:dyDescent="0.2">
      <c r="A1086" t="s">
        <v>119</v>
      </c>
      <c r="B1086" t="s">
        <v>120</v>
      </c>
      <c r="C1086" t="s">
        <v>2634</v>
      </c>
      <c r="D1086">
        <v>4</v>
      </c>
      <c r="E1086" t="s">
        <v>145</v>
      </c>
      <c r="F1086" t="s">
        <v>146</v>
      </c>
      <c r="G1086" t="s">
        <v>124</v>
      </c>
      <c r="H1086" t="s">
        <v>125</v>
      </c>
      <c r="I1086">
        <v>0</v>
      </c>
      <c r="J1086" t="s">
        <v>126</v>
      </c>
      <c r="K1086" t="s">
        <v>125</v>
      </c>
      <c r="L1086" t="s">
        <v>2635</v>
      </c>
      <c r="U1086" t="s">
        <v>149</v>
      </c>
      <c r="W1086" t="s">
        <v>135</v>
      </c>
      <c r="X1086">
        <v>3</v>
      </c>
      <c r="AC1086" t="s">
        <v>136</v>
      </c>
      <c r="AE1086" t="s">
        <v>137</v>
      </c>
    </row>
    <row r="1087" spans="1:78" hidden="1" x14ac:dyDescent="0.2">
      <c r="A1087" t="s">
        <v>119</v>
      </c>
      <c r="B1087" t="s">
        <v>120</v>
      </c>
      <c r="C1087" t="s">
        <v>2636</v>
      </c>
      <c r="D1087">
        <v>5</v>
      </c>
      <c r="E1087" t="s">
        <v>1651</v>
      </c>
      <c r="F1087" t="s">
        <v>1651</v>
      </c>
      <c r="G1087" t="s">
        <v>124</v>
      </c>
      <c r="H1087" t="s">
        <v>125</v>
      </c>
      <c r="I1087">
        <v>0</v>
      </c>
      <c r="J1087" t="s">
        <v>126</v>
      </c>
      <c r="K1087" t="s">
        <v>125</v>
      </c>
      <c r="L1087" t="s">
        <v>2637</v>
      </c>
      <c r="AE1087" t="s">
        <v>128</v>
      </c>
    </row>
    <row r="1088" spans="1:78" hidden="1" x14ac:dyDescent="0.2">
      <c r="A1088" t="s">
        <v>119</v>
      </c>
      <c r="B1088" t="s">
        <v>120</v>
      </c>
      <c r="C1088" t="s">
        <v>2638</v>
      </c>
      <c r="D1088">
        <v>5</v>
      </c>
      <c r="E1088" t="s">
        <v>1651</v>
      </c>
      <c r="F1088" t="s">
        <v>1651</v>
      </c>
      <c r="G1088" t="s">
        <v>124</v>
      </c>
      <c r="H1088" t="s">
        <v>125</v>
      </c>
      <c r="I1088">
        <v>0</v>
      </c>
      <c r="J1088" t="s">
        <v>126</v>
      </c>
      <c r="K1088" t="s">
        <v>125</v>
      </c>
      <c r="L1088" t="s">
        <v>2639</v>
      </c>
      <c r="AE1088" t="s">
        <v>128</v>
      </c>
    </row>
    <row r="1089" spans="1:78" x14ac:dyDescent="0.2">
      <c r="A1089" t="s">
        <v>119</v>
      </c>
      <c r="B1089" t="s">
        <v>120</v>
      </c>
      <c r="C1089" t="s">
        <v>2638</v>
      </c>
      <c r="D1089">
        <v>10</v>
      </c>
      <c r="E1089" t="s">
        <v>1497</v>
      </c>
      <c r="F1089" t="s">
        <v>1498</v>
      </c>
      <c r="G1089" t="s">
        <v>124</v>
      </c>
      <c r="H1089" t="s">
        <v>125</v>
      </c>
      <c r="I1089">
        <v>5</v>
      </c>
      <c r="J1089" t="s">
        <v>161</v>
      </c>
      <c r="K1089" t="s">
        <v>125</v>
      </c>
      <c r="L1089" t="s">
        <v>2640</v>
      </c>
      <c r="U1089" t="s">
        <v>149</v>
      </c>
      <c r="W1089" t="s">
        <v>135</v>
      </c>
      <c r="X1089">
        <v>3</v>
      </c>
      <c r="AC1089" t="s">
        <v>136</v>
      </c>
      <c r="AE1089" t="s">
        <v>137</v>
      </c>
    </row>
    <row r="1090" spans="1:78" hidden="1" x14ac:dyDescent="0.2">
      <c r="A1090" t="s">
        <v>119</v>
      </c>
      <c r="B1090" t="s">
        <v>120</v>
      </c>
      <c r="C1090" t="s">
        <v>2638</v>
      </c>
      <c r="D1090">
        <v>13</v>
      </c>
      <c r="E1090" t="s">
        <v>1497</v>
      </c>
      <c r="F1090" t="s">
        <v>1497</v>
      </c>
      <c r="G1090" t="s">
        <v>124</v>
      </c>
      <c r="H1090" t="s">
        <v>125</v>
      </c>
      <c r="I1090">
        <v>10</v>
      </c>
      <c r="J1090" t="s">
        <v>199</v>
      </c>
      <c r="K1090" t="s">
        <v>125</v>
      </c>
      <c r="L1090" t="s">
        <v>2641</v>
      </c>
      <c r="T1090" t="s">
        <v>142</v>
      </c>
      <c r="W1090" t="s">
        <v>135</v>
      </c>
    </row>
    <row r="1091" spans="1:78" x14ac:dyDescent="0.2">
      <c r="A1091" t="s">
        <v>119</v>
      </c>
      <c r="B1091" t="s">
        <v>120</v>
      </c>
      <c r="C1091" t="s">
        <v>2638</v>
      </c>
      <c r="D1091">
        <v>14</v>
      </c>
      <c r="E1091" t="s">
        <v>2642</v>
      </c>
      <c r="F1091" t="s">
        <v>350</v>
      </c>
      <c r="G1091" t="s">
        <v>124</v>
      </c>
      <c r="H1091" t="s">
        <v>125</v>
      </c>
      <c r="I1091">
        <v>13</v>
      </c>
      <c r="J1091" t="s">
        <v>182</v>
      </c>
      <c r="K1091" t="s">
        <v>125</v>
      </c>
      <c r="L1091" t="s">
        <v>2643</v>
      </c>
      <c r="U1091" t="s">
        <v>209</v>
      </c>
      <c r="W1091" t="s">
        <v>135</v>
      </c>
      <c r="X1091">
        <v>2</v>
      </c>
      <c r="AC1091" t="s">
        <v>136</v>
      </c>
      <c r="AE1091" t="s">
        <v>137</v>
      </c>
    </row>
    <row r="1092" spans="1:78" x14ac:dyDescent="0.2">
      <c r="A1092" t="s">
        <v>119</v>
      </c>
      <c r="B1092" t="s">
        <v>120</v>
      </c>
      <c r="C1092" t="s">
        <v>2644</v>
      </c>
      <c r="D1092">
        <v>3</v>
      </c>
      <c r="E1092" t="s">
        <v>370</v>
      </c>
      <c r="F1092" t="s">
        <v>140</v>
      </c>
      <c r="G1092" t="s">
        <v>124</v>
      </c>
      <c r="H1092" t="s">
        <v>125</v>
      </c>
      <c r="I1092">
        <v>0</v>
      </c>
      <c r="J1092" t="s">
        <v>126</v>
      </c>
      <c r="K1092" t="s">
        <v>125</v>
      </c>
      <c r="L1092" t="s">
        <v>2645</v>
      </c>
      <c r="U1092" t="s">
        <v>149</v>
      </c>
      <c r="W1092" t="s">
        <v>135</v>
      </c>
      <c r="X1092">
        <v>3</v>
      </c>
      <c r="AC1092" t="s">
        <v>136</v>
      </c>
      <c r="AE1092" t="s">
        <v>137</v>
      </c>
    </row>
    <row r="1093" spans="1:78" x14ac:dyDescent="0.2">
      <c r="A1093" t="s">
        <v>119</v>
      </c>
      <c r="B1093" t="s">
        <v>120</v>
      </c>
      <c r="C1093" t="s">
        <v>2644</v>
      </c>
      <c r="D1093">
        <v>8</v>
      </c>
      <c r="E1093" t="s">
        <v>2646</v>
      </c>
      <c r="F1093" t="s">
        <v>2647</v>
      </c>
      <c r="G1093" t="s">
        <v>124</v>
      </c>
      <c r="H1093" t="s">
        <v>125</v>
      </c>
      <c r="I1093">
        <v>3</v>
      </c>
      <c r="J1093" t="s">
        <v>199</v>
      </c>
      <c r="K1093" t="s">
        <v>125</v>
      </c>
      <c r="L1093" t="s">
        <v>2648</v>
      </c>
      <c r="U1093" t="s">
        <v>209</v>
      </c>
      <c r="W1093" t="s">
        <v>135</v>
      </c>
      <c r="X1093">
        <v>2</v>
      </c>
      <c r="AC1093" t="s">
        <v>136</v>
      </c>
      <c r="AE1093" t="s">
        <v>137</v>
      </c>
    </row>
    <row r="1094" spans="1:78" hidden="1" x14ac:dyDescent="0.2">
      <c r="A1094" t="s">
        <v>119</v>
      </c>
      <c r="B1094" t="s">
        <v>120</v>
      </c>
      <c r="C1094" t="s">
        <v>2649</v>
      </c>
      <c r="D1094">
        <v>5</v>
      </c>
      <c r="E1094" t="s">
        <v>691</v>
      </c>
      <c r="F1094" t="s">
        <v>261</v>
      </c>
      <c r="G1094" t="s">
        <v>124</v>
      </c>
      <c r="H1094" t="s">
        <v>125</v>
      </c>
      <c r="I1094">
        <v>0</v>
      </c>
      <c r="J1094" t="s">
        <v>126</v>
      </c>
      <c r="K1094" t="s">
        <v>125</v>
      </c>
      <c r="L1094" t="s">
        <v>2650</v>
      </c>
      <c r="T1094" t="s">
        <v>154</v>
      </c>
      <c r="W1094" t="s">
        <v>135</v>
      </c>
      <c r="AC1094" t="s">
        <v>143</v>
      </c>
      <c r="AE1094" t="s">
        <v>144</v>
      </c>
      <c r="AG1094">
        <v>4</v>
      </c>
      <c r="AH1094" t="s">
        <v>421</v>
      </c>
      <c r="AI1094" t="s">
        <v>205</v>
      </c>
      <c r="AJ1094" t="s">
        <v>131</v>
      </c>
      <c r="AK1094" t="s">
        <v>125</v>
      </c>
      <c r="AL1094">
        <v>5</v>
      </c>
      <c r="AM1094" t="s">
        <v>132</v>
      </c>
      <c r="AN1094" t="s">
        <v>125</v>
      </c>
      <c r="AO1094" t="s">
        <v>2651</v>
      </c>
      <c r="BP1094" t="s">
        <v>149</v>
      </c>
      <c r="BR1094" t="s">
        <v>135</v>
      </c>
      <c r="BS1094">
        <v>1</v>
      </c>
      <c r="BX1094" t="s">
        <v>209</v>
      </c>
      <c r="BZ1094" t="s">
        <v>137</v>
      </c>
    </row>
    <row r="1095" spans="1:78" hidden="1" x14ac:dyDescent="0.2">
      <c r="A1095" t="s">
        <v>119</v>
      </c>
      <c r="B1095" t="s">
        <v>120</v>
      </c>
      <c r="C1095" t="s">
        <v>2649</v>
      </c>
      <c r="D1095">
        <v>8</v>
      </c>
      <c r="E1095" t="s">
        <v>421</v>
      </c>
      <c r="F1095" t="s">
        <v>205</v>
      </c>
      <c r="G1095" t="s">
        <v>124</v>
      </c>
      <c r="H1095" t="s">
        <v>125</v>
      </c>
      <c r="I1095">
        <v>5</v>
      </c>
      <c r="J1095" t="s">
        <v>1427</v>
      </c>
      <c r="K1095" t="s">
        <v>125</v>
      </c>
      <c r="L1095" t="s">
        <v>2652</v>
      </c>
      <c r="U1095" t="s">
        <v>149</v>
      </c>
      <c r="W1095" t="s">
        <v>135</v>
      </c>
      <c r="X1095">
        <v>1</v>
      </c>
      <c r="AC1095" t="s">
        <v>209</v>
      </c>
      <c r="AE1095" t="s">
        <v>137</v>
      </c>
    </row>
    <row r="1096" spans="1:78" hidden="1" x14ac:dyDescent="0.2">
      <c r="A1096" t="s">
        <v>119</v>
      </c>
      <c r="B1096" t="s">
        <v>120</v>
      </c>
      <c r="C1096" t="s">
        <v>2653</v>
      </c>
      <c r="D1096">
        <v>4</v>
      </c>
      <c r="E1096" t="s">
        <v>1886</v>
      </c>
      <c r="F1096" t="s">
        <v>1886</v>
      </c>
      <c r="G1096" t="s">
        <v>124</v>
      </c>
      <c r="H1096" t="s">
        <v>125</v>
      </c>
      <c r="I1096">
        <v>0</v>
      </c>
      <c r="J1096" t="s">
        <v>126</v>
      </c>
      <c r="K1096" t="s">
        <v>125</v>
      </c>
      <c r="L1096" t="s">
        <v>2654</v>
      </c>
      <c r="AE1096" t="s">
        <v>128</v>
      </c>
      <c r="AG1096">
        <v>3</v>
      </c>
      <c r="AH1096" t="s">
        <v>666</v>
      </c>
      <c r="AI1096" t="s">
        <v>667</v>
      </c>
      <c r="AJ1096" t="s">
        <v>131</v>
      </c>
      <c r="AK1096" t="s">
        <v>125</v>
      </c>
      <c r="AL1096">
        <v>4</v>
      </c>
      <c r="AM1096" t="s">
        <v>132</v>
      </c>
      <c r="AN1096" t="s">
        <v>125</v>
      </c>
      <c r="AO1096" t="s">
        <v>2655</v>
      </c>
      <c r="BP1096" t="s">
        <v>149</v>
      </c>
      <c r="BR1096" t="s">
        <v>135</v>
      </c>
      <c r="BS1096">
        <v>1</v>
      </c>
      <c r="BX1096" t="s">
        <v>209</v>
      </c>
      <c r="BZ1096" t="s">
        <v>137</v>
      </c>
    </row>
    <row r="1097" spans="1:78" x14ac:dyDescent="0.2">
      <c r="A1097" t="s">
        <v>119</v>
      </c>
      <c r="B1097" t="s">
        <v>120</v>
      </c>
      <c r="C1097" t="s">
        <v>2656</v>
      </c>
      <c r="D1097">
        <v>6</v>
      </c>
      <c r="E1097" t="s">
        <v>2028</v>
      </c>
      <c r="F1097" t="s">
        <v>632</v>
      </c>
      <c r="G1097" t="s">
        <v>124</v>
      </c>
      <c r="H1097" t="s">
        <v>125</v>
      </c>
      <c r="I1097">
        <v>0</v>
      </c>
      <c r="J1097" t="s">
        <v>126</v>
      </c>
      <c r="K1097" t="s">
        <v>125</v>
      </c>
      <c r="L1097" t="s">
        <v>2657</v>
      </c>
      <c r="U1097" t="s">
        <v>149</v>
      </c>
      <c r="W1097" t="s">
        <v>135</v>
      </c>
      <c r="X1097">
        <v>3</v>
      </c>
      <c r="AC1097" t="s">
        <v>136</v>
      </c>
      <c r="AE1097" t="s">
        <v>137</v>
      </c>
    </row>
    <row r="1098" spans="1:78" x14ac:dyDescent="0.2">
      <c r="A1098" t="s">
        <v>119</v>
      </c>
      <c r="B1098" t="s">
        <v>120</v>
      </c>
      <c r="C1098" t="s">
        <v>2658</v>
      </c>
      <c r="D1098">
        <v>5</v>
      </c>
      <c r="E1098" t="s">
        <v>2659</v>
      </c>
      <c r="F1098" t="s">
        <v>2660</v>
      </c>
      <c r="G1098" t="s">
        <v>124</v>
      </c>
      <c r="H1098" t="s">
        <v>125</v>
      </c>
      <c r="I1098">
        <v>3</v>
      </c>
      <c r="J1098" t="s">
        <v>386</v>
      </c>
      <c r="K1098" t="s">
        <v>125</v>
      </c>
      <c r="L1098" t="s">
        <v>2661</v>
      </c>
      <c r="U1098" t="s">
        <v>209</v>
      </c>
      <c r="W1098" t="s">
        <v>135</v>
      </c>
      <c r="X1098">
        <v>2</v>
      </c>
      <c r="AC1098" t="s">
        <v>136</v>
      </c>
      <c r="AE1098" t="s">
        <v>137</v>
      </c>
    </row>
    <row r="1099" spans="1:78" x14ac:dyDescent="0.2">
      <c r="A1099" t="s">
        <v>119</v>
      </c>
      <c r="B1099" t="s">
        <v>120</v>
      </c>
      <c r="C1099" t="s">
        <v>2662</v>
      </c>
      <c r="D1099">
        <v>2</v>
      </c>
      <c r="E1099" t="s">
        <v>349</v>
      </c>
      <c r="F1099" t="s">
        <v>350</v>
      </c>
      <c r="G1099" t="s">
        <v>124</v>
      </c>
      <c r="H1099" t="s">
        <v>125</v>
      </c>
      <c r="I1099">
        <v>0</v>
      </c>
      <c r="J1099" t="s">
        <v>126</v>
      </c>
      <c r="K1099" t="s">
        <v>125</v>
      </c>
      <c r="L1099" t="s">
        <v>2663</v>
      </c>
      <c r="U1099" t="s">
        <v>209</v>
      </c>
      <c r="W1099" t="s">
        <v>135</v>
      </c>
      <c r="X1099">
        <v>2</v>
      </c>
      <c r="AC1099" t="s">
        <v>136</v>
      </c>
      <c r="AE1099" t="s">
        <v>137</v>
      </c>
    </row>
    <row r="1100" spans="1:78" x14ac:dyDescent="0.2">
      <c r="A1100" t="s">
        <v>119</v>
      </c>
      <c r="B1100" t="s">
        <v>120</v>
      </c>
      <c r="C1100" t="s">
        <v>2662</v>
      </c>
      <c r="D1100">
        <v>6</v>
      </c>
      <c r="E1100" t="s">
        <v>797</v>
      </c>
      <c r="F1100" t="s">
        <v>632</v>
      </c>
      <c r="G1100" t="s">
        <v>124</v>
      </c>
      <c r="H1100" t="s">
        <v>125</v>
      </c>
      <c r="I1100">
        <v>2</v>
      </c>
      <c r="J1100" t="s">
        <v>1249</v>
      </c>
      <c r="K1100" t="s">
        <v>125</v>
      </c>
      <c r="L1100" t="s">
        <v>2664</v>
      </c>
      <c r="U1100" t="s">
        <v>209</v>
      </c>
      <c r="W1100" t="s">
        <v>135</v>
      </c>
      <c r="X1100">
        <v>2</v>
      </c>
      <c r="AC1100" t="s">
        <v>136</v>
      </c>
      <c r="AE1100" t="s">
        <v>137</v>
      </c>
    </row>
    <row r="1101" spans="1:78" x14ac:dyDescent="0.2">
      <c r="A1101" t="s">
        <v>119</v>
      </c>
      <c r="B1101" t="s">
        <v>120</v>
      </c>
      <c r="C1101" t="s">
        <v>2665</v>
      </c>
      <c r="D1101">
        <v>7</v>
      </c>
      <c r="E1101" t="s">
        <v>343</v>
      </c>
      <c r="F1101" t="s">
        <v>311</v>
      </c>
      <c r="G1101" t="s">
        <v>124</v>
      </c>
      <c r="H1101" t="s">
        <v>125</v>
      </c>
      <c r="I1101">
        <v>0</v>
      </c>
      <c r="J1101" t="s">
        <v>126</v>
      </c>
      <c r="K1101" t="s">
        <v>125</v>
      </c>
      <c r="L1101" t="s">
        <v>2666</v>
      </c>
      <c r="U1101" t="s">
        <v>149</v>
      </c>
      <c r="W1101" t="s">
        <v>135</v>
      </c>
      <c r="X1101">
        <v>1</v>
      </c>
      <c r="AC1101" t="s">
        <v>136</v>
      </c>
      <c r="AE1101" t="s">
        <v>137</v>
      </c>
    </row>
    <row r="1102" spans="1:78" x14ac:dyDescent="0.2">
      <c r="A1102" t="s">
        <v>119</v>
      </c>
      <c r="B1102" t="s">
        <v>120</v>
      </c>
      <c r="C1102" t="s">
        <v>2665</v>
      </c>
      <c r="D1102">
        <v>16</v>
      </c>
      <c r="E1102" t="s">
        <v>197</v>
      </c>
      <c r="F1102" t="s">
        <v>198</v>
      </c>
      <c r="G1102" t="s">
        <v>124</v>
      </c>
      <c r="H1102" t="s">
        <v>125</v>
      </c>
      <c r="I1102">
        <v>7</v>
      </c>
      <c r="J1102" t="s">
        <v>161</v>
      </c>
      <c r="K1102" t="s">
        <v>125</v>
      </c>
      <c r="L1102" t="s">
        <v>2667</v>
      </c>
      <c r="U1102" t="s">
        <v>149</v>
      </c>
      <c r="W1102" t="s">
        <v>135</v>
      </c>
      <c r="X1102">
        <v>1</v>
      </c>
      <c r="AC1102" t="s">
        <v>136</v>
      </c>
      <c r="AE1102" t="s">
        <v>137</v>
      </c>
    </row>
    <row r="1103" spans="1:78" x14ac:dyDescent="0.2">
      <c r="A1103" t="s">
        <v>119</v>
      </c>
      <c r="B1103" t="s">
        <v>120</v>
      </c>
      <c r="C1103" t="s">
        <v>2665</v>
      </c>
      <c r="D1103">
        <v>20</v>
      </c>
      <c r="E1103" t="s">
        <v>564</v>
      </c>
      <c r="F1103" t="s">
        <v>146</v>
      </c>
      <c r="G1103" t="s">
        <v>124</v>
      </c>
      <c r="H1103" t="s">
        <v>125</v>
      </c>
      <c r="I1103">
        <v>16</v>
      </c>
      <c r="J1103" t="s">
        <v>264</v>
      </c>
      <c r="K1103" t="s">
        <v>125</v>
      </c>
      <c r="L1103" t="s">
        <v>2668</v>
      </c>
      <c r="U1103" t="s">
        <v>309</v>
      </c>
      <c r="W1103" t="s">
        <v>155</v>
      </c>
      <c r="X1103">
        <v>3</v>
      </c>
      <c r="AC1103" t="s">
        <v>136</v>
      </c>
      <c r="AE1103" t="s">
        <v>137</v>
      </c>
    </row>
    <row r="1104" spans="1:78" hidden="1" x14ac:dyDescent="0.2">
      <c r="A1104" t="s">
        <v>119</v>
      </c>
      <c r="B1104" t="s">
        <v>120</v>
      </c>
      <c r="C1104" t="s">
        <v>2669</v>
      </c>
      <c r="D1104">
        <v>6</v>
      </c>
      <c r="E1104" t="s">
        <v>194</v>
      </c>
      <c r="F1104" t="s">
        <v>194</v>
      </c>
      <c r="G1104" t="s">
        <v>124</v>
      </c>
      <c r="H1104" t="s">
        <v>125</v>
      </c>
      <c r="I1104">
        <v>4</v>
      </c>
      <c r="J1104" t="s">
        <v>386</v>
      </c>
      <c r="K1104" t="s">
        <v>125</v>
      </c>
      <c r="L1104" t="s">
        <v>2670</v>
      </c>
      <c r="AE1104" t="s">
        <v>128</v>
      </c>
    </row>
    <row r="1105" spans="1:78" hidden="1" x14ac:dyDescent="0.2">
      <c r="A1105" t="s">
        <v>119</v>
      </c>
      <c r="B1105" t="s">
        <v>120</v>
      </c>
      <c r="C1105" t="s">
        <v>2669</v>
      </c>
      <c r="D1105">
        <v>11</v>
      </c>
      <c r="E1105" t="s">
        <v>198</v>
      </c>
      <c r="F1105" t="s">
        <v>198</v>
      </c>
      <c r="G1105" t="s">
        <v>124</v>
      </c>
      <c r="H1105" t="s">
        <v>125</v>
      </c>
      <c r="I1105">
        <v>9</v>
      </c>
      <c r="J1105" t="s">
        <v>386</v>
      </c>
      <c r="K1105" t="s">
        <v>125</v>
      </c>
      <c r="L1105" t="s">
        <v>2671</v>
      </c>
      <c r="AE1105" t="s">
        <v>128</v>
      </c>
    </row>
    <row r="1106" spans="1:78" hidden="1" x14ac:dyDescent="0.2">
      <c r="A1106" t="s">
        <v>119</v>
      </c>
      <c r="B1106" t="s">
        <v>120</v>
      </c>
      <c r="C1106" t="s">
        <v>2672</v>
      </c>
      <c r="D1106">
        <v>3</v>
      </c>
      <c r="E1106" t="s">
        <v>2673</v>
      </c>
      <c r="F1106" t="s">
        <v>2674</v>
      </c>
      <c r="G1106" t="s">
        <v>124</v>
      </c>
      <c r="H1106" t="s">
        <v>125</v>
      </c>
      <c r="I1106">
        <v>0</v>
      </c>
      <c r="J1106" t="s">
        <v>126</v>
      </c>
      <c r="K1106" t="s">
        <v>125</v>
      </c>
      <c r="L1106" t="s">
        <v>2675</v>
      </c>
      <c r="AE1106" t="s">
        <v>394</v>
      </c>
      <c r="AG1106">
        <v>2</v>
      </c>
      <c r="AH1106" t="s">
        <v>546</v>
      </c>
      <c r="AI1106" t="s">
        <v>283</v>
      </c>
      <c r="AJ1106" t="s">
        <v>131</v>
      </c>
      <c r="AK1106" t="s">
        <v>125</v>
      </c>
      <c r="AL1106">
        <v>3</v>
      </c>
      <c r="AM1106" t="s">
        <v>132</v>
      </c>
      <c r="AN1106" t="s">
        <v>125</v>
      </c>
      <c r="AO1106" t="s">
        <v>2676</v>
      </c>
      <c r="BP1106" t="s">
        <v>149</v>
      </c>
      <c r="BR1106" t="s">
        <v>135</v>
      </c>
      <c r="BS1106">
        <v>3</v>
      </c>
      <c r="BX1106" t="s">
        <v>136</v>
      </c>
      <c r="BZ1106" t="s">
        <v>137</v>
      </c>
    </row>
    <row r="1107" spans="1:78" hidden="1" x14ac:dyDescent="0.2">
      <c r="A1107" t="s">
        <v>119</v>
      </c>
      <c r="B1107" t="s">
        <v>120</v>
      </c>
      <c r="C1107" t="s">
        <v>2677</v>
      </c>
      <c r="D1107">
        <v>3</v>
      </c>
      <c r="E1107" t="s">
        <v>194</v>
      </c>
      <c r="F1107" t="s">
        <v>194</v>
      </c>
      <c r="G1107" t="s">
        <v>124</v>
      </c>
      <c r="H1107" t="s">
        <v>125</v>
      </c>
      <c r="I1107">
        <v>1</v>
      </c>
      <c r="J1107" t="s">
        <v>386</v>
      </c>
      <c r="K1107" t="s">
        <v>125</v>
      </c>
      <c r="L1107" t="s">
        <v>2678</v>
      </c>
      <c r="AE1107" t="s">
        <v>128</v>
      </c>
    </row>
    <row r="1108" spans="1:78" hidden="1" x14ac:dyDescent="0.2">
      <c r="A1108" t="s">
        <v>119</v>
      </c>
      <c r="B1108" t="s">
        <v>120</v>
      </c>
      <c r="C1108" t="s">
        <v>2679</v>
      </c>
      <c r="D1108">
        <v>5</v>
      </c>
      <c r="E1108" t="s">
        <v>2680</v>
      </c>
      <c r="F1108" t="s">
        <v>632</v>
      </c>
      <c r="G1108" t="s">
        <v>124</v>
      </c>
      <c r="H1108" t="s">
        <v>125</v>
      </c>
      <c r="I1108">
        <v>0</v>
      </c>
      <c r="J1108" t="s">
        <v>126</v>
      </c>
      <c r="K1108" t="s">
        <v>125</v>
      </c>
      <c r="L1108" t="s">
        <v>2681</v>
      </c>
      <c r="U1108" t="s">
        <v>149</v>
      </c>
      <c r="W1108" t="s">
        <v>155</v>
      </c>
      <c r="X1108">
        <v>3</v>
      </c>
      <c r="AC1108" t="s">
        <v>903</v>
      </c>
      <c r="AE1108" t="s">
        <v>137</v>
      </c>
    </row>
    <row r="1109" spans="1:78" hidden="1" x14ac:dyDescent="0.2">
      <c r="A1109" t="s">
        <v>119</v>
      </c>
      <c r="B1109" t="s">
        <v>120</v>
      </c>
      <c r="C1109" t="s">
        <v>2679</v>
      </c>
      <c r="D1109">
        <v>15</v>
      </c>
      <c r="E1109" t="s">
        <v>2682</v>
      </c>
      <c r="F1109" t="s">
        <v>419</v>
      </c>
      <c r="G1109" t="s">
        <v>124</v>
      </c>
      <c r="H1109" t="s">
        <v>125</v>
      </c>
      <c r="I1109">
        <v>5</v>
      </c>
      <c r="J1109" t="s">
        <v>161</v>
      </c>
      <c r="K1109" t="s">
        <v>125</v>
      </c>
      <c r="L1109" t="s">
        <v>2683</v>
      </c>
      <c r="W1109" t="s">
        <v>155</v>
      </c>
      <c r="AG1109">
        <v>14</v>
      </c>
      <c r="AH1109" t="s">
        <v>323</v>
      </c>
      <c r="AI1109" t="s">
        <v>283</v>
      </c>
      <c r="AJ1109" t="s">
        <v>131</v>
      </c>
      <c r="AK1109" t="s">
        <v>125</v>
      </c>
      <c r="AL1109">
        <v>15</v>
      </c>
      <c r="AM1109" t="s">
        <v>132</v>
      </c>
      <c r="AN1109" t="s">
        <v>125</v>
      </c>
      <c r="AO1109" t="s">
        <v>2684</v>
      </c>
      <c r="BP1109" t="s">
        <v>149</v>
      </c>
      <c r="BR1109" t="s">
        <v>135</v>
      </c>
      <c r="BS1109">
        <v>1</v>
      </c>
      <c r="BX1109" t="s">
        <v>136</v>
      </c>
      <c r="BZ1109" t="s">
        <v>137</v>
      </c>
    </row>
    <row r="1110" spans="1:78" hidden="1" x14ac:dyDescent="0.2">
      <c r="A1110" t="s">
        <v>119</v>
      </c>
      <c r="B1110" t="s">
        <v>120</v>
      </c>
      <c r="C1110" t="s">
        <v>2685</v>
      </c>
      <c r="D1110">
        <v>4</v>
      </c>
      <c r="E1110" t="s">
        <v>494</v>
      </c>
      <c r="F1110" t="s">
        <v>494</v>
      </c>
      <c r="G1110" t="s">
        <v>124</v>
      </c>
      <c r="H1110" t="s">
        <v>125</v>
      </c>
      <c r="I1110">
        <v>0</v>
      </c>
      <c r="J1110" t="s">
        <v>126</v>
      </c>
      <c r="K1110" t="s">
        <v>125</v>
      </c>
      <c r="L1110" t="s">
        <v>2686</v>
      </c>
      <c r="AE1110" t="s">
        <v>128</v>
      </c>
      <c r="AG1110">
        <v>3</v>
      </c>
      <c r="AH1110" t="s">
        <v>375</v>
      </c>
      <c r="AI1110" t="s">
        <v>130</v>
      </c>
      <c r="AJ1110" t="s">
        <v>131</v>
      </c>
      <c r="AK1110" t="s">
        <v>125</v>
      </c>
      <c r="AL1110">
        <v>4</v>
      </c>
      <c r="AM1110" t="s">
        <v>132</v>
      </c>
      <c r="AN1110" t="s">
        <v>125</v>
      </c>
      <c r="AO1110" t="s">
        <v>2687</v>
      </c>
      <c r="BP1110" t="s">
        <v>149</v>
      </c>
      <c r="BR1110" t="s">
        <v>135</v>
      </c>
      <c r="BS1110">
        <v>2</v>
      </c>
      <c r="BX1110" t="s">
        <v>136</v>
      </c>
      <c r="BZ1110" t="s">
        <v>137</v>
      </c>
    </row>
    <row r="1111" spans="1:78" x14ac:dyDescent="0.2">
      <c r="A1111" t="s">
        <v>119</v>
      </c>
      <c r="B1111" t="s">
        <v>120</v>
      </c>
      <c r="C1111" t="s">
        <v>2688</v>
      </c>
      <c r="D1111">
        <v>11</v>
      </c>
      <c r="E1111" t="s">
        <v>1458</v>
      </c>
      <c r="F1111" t="s">
        <v>1459</v>
      </c>
      <c r="G1111" t="s">
        <v>124</v>
      </c>
      <c r="H1111" t="s">
        <v>125</v>
      </c>
      <c r="I1111">
        <v>8</v>
      </c>
      <c r="J1111" t="s">
        <v>161</v>
      </c>
      <c r="K1111" t="s">
        <v>125</v>
      </c>
      <c r="L1111" t="s">
        <v>2689</v>
      </c>
      <c r="U1111" t="s">
        <v>149</v>
      </c>
      <c r="W1111" t="s">
        <v>135</v>
      </c>
      <c r="X1111">
        <v>1</v>
      </c>
      <c r="AC1111" t="s">
        <v>136</v>
      </c>
      <c r="AE1111" t="s">
        <v>137</v>
      </c>
    </row>
    <row r="1112" spans="1:78" hidden="1" x14ac:dyDescent="0.2">
      <c r="A1112" t="s">
        <v>119</v>
      </c>
      <c r="B1112" t="s">
        <v>120</v>
      </c>
      <c r="C1112" t="s">
        <v>2690</v>
      </c>
      <c r="D1112">
        <v>1</v>
      </c>
      <c r="E1112" t="s">
        <v>2691</v>
      </c>
      <c r="F1112" t="s">
        <v>728</v>
      </c>
      <c r="G1112" t="s">
        <v>124</v>
      </c>
      <c r="H1112" t="s">
        <v>125</v>
      </c>
      <c r="I1112">
        <v>0</v>
      </c>
      <c r="J1112" t="s">
        <v>126</v>
      </c>
      <c r="K1112" t="s">
        <v>125</v>
      </c>
      <c r="L1112" t="s">
        <v>2692</v>
      </c>
      <c r="U1112" t="s">
        <v>149</v>
      </c>
      <c r="W1112" t="s">
        <v>135</v>
      </c>
      <c r="X1112">
        <v>2</v>
      </c>
      <c r="AC1112" t="s">
        <v>903</v>
      </c>
      <c r="AE1112" t="s">
        <v>137</v>
      </c>
    </row>
    <row r="1113" spans="1:78" x14ac:dyDescent="0.2">
      <c r="A1113" t="s">
        <v>119</v>
      </c>
      <c r="B1113" t="s">
        <v>120</v>
      </c>
      <c r="C1113" t="s">
        <v>2693</v>
      </c>
      <c r="D1113">
        <v>3</v>
      </c>
      <c r="E1113" t="s">
        <v>754</v>
      </c>
      <c r="F1113" t="s">
        <v>186</v>
      </c>
      <c r="G1113" t="s">
        <v>124</v>
      </c>
      <c r="H1113" t="s">
        <v>125</v>
      </c>
      <c r="I1113">
        <v>0</v>
      </c>
      <c r="J1113" t="s">
        <v>126</v>
      </c>
      <c r="K1113" t="s">
        <v>125</v>
      </c>
      <c r="L1113" t="s">
        <v>2694</v>
      </c>
      <c r="U1113" t="s">
        <v>209</v>
      </c>
      <c r="W1113" t="s">
        <v>135</v>
      </c>
      <c r="X1113">
        <v>3</v>
      </c>
      <c r="AC1113" t="s">
        <v>136</v>
      </c>
      <c r="AE1113" t="s">
        <v>137</v>
      </c>
    </row>
    <row r="1114" spans="1:78" hidden="1" x14ac:dyDescent="0.2">
      <c r="A1114" t="s">
        <v>119</v>
      </c>
      <c r="B1114" t="s">
        <v>120</v>
      </c>
      <c r="C1114" t="s">
        <v>2695</v>
      </c>
      <c r="D1114">
        <v>3</v>
      </c>
      <c r="E1114" t="s">
        <v>1478</v>
      </c>
      <c r="F1114" t="s">
        <v>1478</v>
      </c>
      <c r="G1114" t="s">
        <v>124</v>
      </c>
      <c r="H1114" t="s">
        <v>125</v>
      </c>
      <c r="I1114">
        <v>0</v>
      </c>
      <c r="J1114" t="s">
        <v>126</v>
      </c>
      <c r="K1114" t="s">
        <v>125</v>
      </c>
      <c r="L1114" t="s">
        <v>2696</v>
      </c>
      <c r="AE1114" t="s">
        <v>128</v>
      </c>
    </row>
    <row r="1115" spans="1:78" x14ac:dyDescent="0.2">
      <c r="A1115" t="s">
        <v>119</v>
      </c>
      <c r="B1115" t="s">
        <v>120</v>
      </c>
      <c r="C1115" t="s">
        <v>2697</v>
      </c>
      <c r="D1115">
        <v>7</v>
      </c>
      <c r="E1115" t="s">
        <v>1497</v>
      </c>
      <c r="F1115" t="s">
        <v>1498</v>
      </c>
      <c r="G1115" t="s">
        <v>124</v>
      </c>
      <c r="H1115" t="s">
        <v>125</v>
      </c>
      <c r="I1115">
        <v>2</v>
      </c>
      <c r="J1115" t="s">
        <v>161</v>
      </c>
      <c r="K1115" t="s">
        <v>125</v>
      </c>
      <c r="L1115" t="s">
        <v>2698</v>
      </c>
      <c r="U1115" t="s">
        <v>149</v>
      </c>
      <c r="W1115" t="s">
        <v>135</v>
      </c>
      <c r="X1115">
        <v>3</v>
      </c>
      <c r="AC1115" t="s">
        <v>136</v>
      </c>
      <c r="AE1115" t="s">
        <v>137</v>
      </c>
    </row>
    <row r="1116" spans="1:78" hidden="1" x14ac:dyDescent="0.2">
      <c r="A1116" t="s">
        <v>119</v>
      </c>
      <c r="B1116" t="s">
        <v>120</v>
      </c>
      <c r="C1116" t="s">
        <v>2699</v>
      </c>
      <c r="D1116">
        <v>1</v>
      </c>
      <c r="E1116" t="s">
        <v>1783</v>
      </c>
      <c r="F1116" t="s">
        <v>205</v>
      </c>
      <c r="G1116" t="s">
        <v>124</v>
      </c>
      <c r="H1116" t="s">
        <v>125</v>
      </c>
      <c r="I1116">
        <v>0</v>
      </c>
      <c r="J1116" t="s">
        <v>126</v>
      </c>
      <c r="K1116" t="s">
        <v>125</v>
      </c>
      <c r="L1116" t="s">
        <v>2700</v>
      </c>
      <c r="U1116" t="s">
        <v>149</v>
      </c>
      <c r="W1116" t="s">
        <v>135</v>
      </c>
      <c r="X1116">
        <v>3</v>
      </c>
      <c r="AC1116" t="s">
        <v>209</v>
      </c>
      <c r="AE1116" t="s">
        <v>137</v>
      </c>
    </row>
    <row r="1117" spans="1:78" x14ac:dyDescent="0.2">
      <c r="A1117" t="s">
        <v>119</v>
      </c>
      <c r="B1117" t="s">
        <v>120</v>
      </c>
      <c r="C1117" t="s">
        <v>2701</v>
      </c>
      <c r="D1117">
        <v>1</v>
      </c>
      <c r="E1117" t="s">
        <v>1825</v>
      </c>
      <c r="F1117" t="s">
        <v>198</v>
      </c>
      <c r="G1117" t="s">
        <v>124</v>
      </c>
      <c r="H1117" t="s">
        <v>125</v>
      </c>
      <c r="I1117">
        <v>0</v>
      </c>
      <c r="J1117" t="s">
        <v>126</v>
      </c>
      <c r="K1117" t="s">
        <v>125</v>
      </c>
      <c r="L1117" t="s">
        <v>2702</v>
      </c>
      <c r="U1117" t="s">
        <v>149</v>
      </c>
      <c r="W1117" t="s">
        <v>135</v>
      </c>
      <c r="X1117">
        <v>2</v>
      </c>
      <c r="AC1117" t="s">
        <v>136</v>
      </c>
      <c r="AE1117" t="s">
        <v>137</v>
      </c>
    </row>
    <row r="1118" spans="1:78" hidden="1" x14ac:dyDescent="0.2">
      <c r="A1118" t="s">
        <v>119</v>
      </c>
      <c r="B1118" t="s">
        <v>120</v>
      </c>
      <c r="C1118" t="s">
        <v>2701</v>
      </c>
      <c r="D1118">
        <v>8</v>
      </c>
      <c r="E1118" t="s">
        <v>1283</v>
      </c>
      <c r="F1118" t="s">
        <v>123</v>
      </c>
      <c r="G1118" t="s">
        <v>124</v>
      </c>
      <c r="H1118" t="s">
        <v>125</v>
      </c>
      <c r="I1118">
        <v>1</v>
      </c>
      <c r="J1118" t="s">
        <v>264</v>
      </c>
      <c r="K1118" t="s">
        <v>125</v>
      </c>
      <c r="L1118" t="s">
        <v>2703</v>
      </c>
      <c r="T1118" t="s">
        <v>154</v>
      </c>
      <c r="W1118" t="s">
        <v>135</v>
      </c>
      <c r="AC1118" t="s">
        <v>143</v>
      </c>
      <c r="AE1118" t="s">
        <v>144</v>
      </c>
      <c r="AG1118">
        <v>7</v>
      </c>
      <c r="AH1118" t="s">
        <v>232</v>
      </c>
      <c r="AI1118" t="s">
        <v>205</v>
      </c>
      <c r="AJ1118" t="s">
        <v>131</v>
      </c>
      <c r="AK1118" t="s">
        <v>125</v>
      </c>
      <c r="AL1118">
        <v>8</v>
      </c>
      <c r="AM1118" t="s">
        <v>132</v>
      </c>
      <c r="AN1118" t="s">
        <v>125</v>
      </c>
      <c r="AO1118" t="s">
        <v>2704</v>
      </c>
      <c r="BP1118" t="s">
        <v>209</v>
      </c>
      <c r="BR1118" t="s">
        <v>155</v>
      </c>
      <c r="BS1118">
        <v>1</v>
      </c>
      <c r="BX1118" t="s">
        <v>136</v>
      </c>
      <c r="BZ1118" t="s">
        <v>137</v>
      </c>
    </row>
    <row r="1119" spans="1:78" hidden="1" x14ac:dyDescent="0.2">
      <c r="A1119" t="s">
        <v>119</v>
      </c>
      <c r="B1119" t="s">
        <v>120</v>
      </c>
      <c r="C1119" t="s">
        <v>2705</v>
      </c>
      <c r="D1119">
        <v>7</v>
      </c>
      <c r="E1119" t="s">
        <v>691</v>
      </c>
      <c r="F1119" t="s">
        <v>261</v>
      </c>
      <c r="G1119" t="s">
        <v>124</v>
      </c>
      <c r="H1119" t="s">
        <v>125</v>
      </c>
      <c r="I1119">
        <v>2</v>
      </c>
      <c r="J1119" t="s">
        <v>161</v>
      </c>
      <c r="K1119" t="s">
        <v>125</v>
      </c>
      <c r="L1119" t="s">
        <v>2706</v>
      </c>
      <c r="T1119" t="s">
        <v>154</v>
      </c>
      <c r="W1119" t="s">
        <v>135</v>
      </c>
      <c r="AC1119" t="s">
        <v>143</v>
      </c>
      <c r="AE1119" t="s">
        <v>144</v>
      </c>
      <c r="AG1119">
        <v>6</v>
      </c>
      <c r="AH1119" t="s">
        <v>614</v>
      </c>
      <c r="AI1119" t="s">
        <v>205</v>
      </c>
      <c r="AJ1119" t="s">
        <v>131</v>
      </c>
      <c r="AK1119" t="s">
        <v>125</v>
      </c>
      <c r="AL1119">
        <v>7</v>
      </c>
      <c r="AM1119" t="s">
        <v>132</v>
      </c>
      <c r="AN1119" t="s">
        <v>125</v>
      </c>
      <c r="AO1119" t="s">
        <v>2707</v>
      </c>
      <c r="BP1119" t="s">
        <v>149</v>
      </c>
      <c r="BR1119" t="s">
        <v>135</v>
      </c>
      <c r="BS1119">
        <v>3</v>
      </c>
      <c r="BX1119" t="s">
        <v>136</v>
      </c>
      <c r="BZ1119" t="s">
        <v>137</v>
      </c>
    </row>
    <row r="1120" spans="1:78" hidden="1" x14ac:dyDescent="0.2">
      <c r="A1120" t="s">
        <v>119</v>
      </c>
      <c r="B1120" t="s">
        <v>120</v>
      </c>
      <c r="C1120" t="s">
        <v>2708</v>
      </c>
      <c r="D1120">
        <v>5</v>
      </c>
      <c r="E1120" t="s">
        <v>691</v>
      </c>
      <c r="F1120" t="s">
        <v>261</v>
      </c>
      <c r="G1120" t="s">
        <v>124</v>
      </c>
      <c r="H1120" t="s">
        <v>125</v>
      </c>
      <c r="I1120">
        <v>0</v>
      </c>
      <c r="J1120" t="s">
        <v>126</v>
      </c>
      <c r="K1120" t="s">
        <v>125</v>
      </c>
      <c r="L1120" t="s">
        <v>2709</v>
      </c>
      <c r="T1120" t="s">
        <v>154</v>
      </c>
      <c r="W1120" t="s">
        <v>135</v>
      </c>
      <c r="AC1120" t="s">
        <v>143</v>
      </c>
      <c r="AE1120" t="s">
        <v>144</v>
      </c>
      <c r="AG1120">
        <v>4</v>
      </c>
      <c r="AH1120" t="s">
        <v>614</v>
      </c>
      <c r="AI1120" t="s">
        <v>205</v>
      </c>
      <c r="AJ1120" t="s">
        <v>131</v>
      </c>
      <c r="AK1120" t="s">
        <v>125</v>
      </c>
      <c r="AL1120">
        <v>5</v>
      </c>
      <c r="AM1120" t="s">
        <v>132</v>
      </c>
      <c r="AN1120" t="s">
        <v>125</v>
      </c>
      <c r="AO1120" t="s">
        <v>2710</v>
      </c>
      <c r="BP1120" t="s">
        <v>149</v>
      </c>
      <c r="BR1120" t="s">
        <v>135</v>
      </c>
      <c r="BS1120">
        <v>3</v>
      </c>
      <c r="BX1120" t="s">
        <v>136</v>
      </c>
      <c r="BZ1120" t="s">
        <v>137</v>
      </c>
    </row>
    <row r="1121" spans="1:78" x14ac:dyDescent="0.2">
      <c r="A1121" t="s">
        <v>119</v>
      </c>
      <c r="B1121" t="s">
        <v>120</v>
      </c>
      <c r="C1121" t="s">
        <v>2711</v>
      </c>
      <c r="D1121">
        <v>3</v>
      </c>
      <c r="E1121" t="s">
        <v>1368</v>
      </c>
      <c r="F1121" t="s">
        <v>123</v>
      </c>
      <c r="G1121" t="s">
        <v>124</v>
      </c>
      <c r="H1121" t="s">
        <v>125</v>
      </c>
      <c r="I1121">
        <v>2</v>
      </c>
      <c r="J1121" t="s">
        <v>199</v>
      </c>
      <c r="K1121" t="s">
        <v>125</v>
      </c>
      <c r="L1121" t="s">
        <v>2712</v>
      </c>
      <c r="U1121" t="s">
        <v>149</v>
      </c>
      <c r="W1121" t="s">
        <v>155</v>
      </c>
      <c r="X1121">
        <v>3</v>
      </c>
      <c r="AC1121" t="s">
        <v>136</v>
      </c>
      <c r="AE1121" t="s">
        <v>137</v>
      </c>
    </row>
    <row r="1122" spans="1:78" x14ac:dyDescent="0.2">
      <c r="A1122" t="s">
        <v>119</v>
      </c>
      <c r="B1122" t="s">
        <v>120</v>
      </c>
      <c r="C1122" t="s">
        <v>2713</v>
      </c>
      <c r="D1122">
        <v>3</v>
      </c>
      <c r="E1122" t="s">
        <v>614</v>
      </c>
      <c r="F1122" t="s">
        <v>205</v>
      </c>
      <c r="G1122" t="s">
        <v>124</v>
      </c>
      <c r="H1122" t="s">
        <v>125</v>
      </c>
      <c r="I1122">
        <v>0</v>
      </c>
      <c r="J1122" t="s">
        <v>126</v>
      </c>
      <c r="K1122" t="s">
        <v>125</v>
      </c>
      <c r="L1122" t="s">
        <v>2714</v>
      </c>
      <c r="U1122" t="s">
        <v>149</v>
      </c>
      <c r="W1122" t="s">
        <v>135</v>
      </c>
      <c r="X1122">
        <v>3</v>
      </c>
      <c r="AC1122" t="s">
        <v>136</v>
      </c>
      <c r="AE1122" t="s">
        <v>137</v>
      </c>
    </row>
    <row r="1123" spans="1:78" x14ac:dyDescent="0.2">
      <c r="A1123" t="s">
        <v>119</v>
      </c>
      <c r="B1123" t="s">
        <v>120</v>
      </c>
      <c r="C1123" t="s">
        <v>2713</v>
      </c>
      <c r="D1123">
        <v>12</v>
      </c>
      <c r="E1123" t="s">
        <v>1368</v>
      </c>
      <c r="F1123" t="s">
        <v>123</v>
      </c>
      <c r="G1123" t="s">
        <v>124</v>
      </c>
      <c r="H1123" t="s">
        <v>125</v>
      </c>
      <c r="I1123">
        <v>3</v>
      </c>
      <c r="J1123" t="s">
        <v>268</v>
      </c>
      <c r="K1123" t="s">
        <v>125</v>
      </c>
      <c r="L1123" t="s">
        <v>2715</v>
      </c>
      <c r="U1123" t="s">
        <v>149</v>
      </c>
      <c r="W1123" t="s">
        <v>135</v>
      </c>
      <c r="X1123">
        <v>3</v>
      </c>
      <c r="AC1123" t="s">
        <v>136</v>
      </c>
      <c r="AE1123" t="s">
        <v>137</v>
      </c>
    </row>
    <row r="1124" spans="1:78" x14ac:dyDescent="0.2">
      <c r="A1124" t="s">
        <v>119</v>
      </c>
      <c r="B1124" t="s">
        <v>120</v>
      </c>
      <c r="C1124" t="s">
        <v>2716</v>
      </c>
      <c r="D1124">
        <v>4</v>
      </c>
      <c r="E1124" t="s">
        <v>614</v>
      </c>
      <c r="F1124" t="s">
        <v>205</v>
      </c>
      <c r="G1124" t="s">
        <v>124</v>
      </c>
      <c r="H1124" t="s">
        <v>125</v>
      </c>
      <c r="I1124">
        <v>0</v>
      </c>
      <c r="J1124" t="s">
        <v>126</v>
      </c>
      <c r="K1124" t="s">
        <v>125</v>
      </c>
      <c r="L1124" t="s">
        <v>2717</v>
      </c>
      <c r="U1124" t="s">
        <v>149</v>
      </c>
      <c r="W1124" t="s">
        <v>135</v>
      </c>
      <c r="X1124">
        <v>3</v>
      </c>
      <c r="AC1124" t="s">
        <v>136</v>
      </c>
      <c r="AE1124" t="s">
        <v>137</v>
      </c>
    </row>
    <row r="1125" spans="1:78" x14ac:dyDescent="0.2">
      <c r="A1125" t="s">
        <v>119</v>
      </c>
      <c r="B1125" t="s">
        <v>120</v>
      </c>
      <c r="C1125" t="s">
        <v>2716</v>
      </c>
      <c r="D1125">
        <v>11</v>
      </c>
      <c r="E1125" t="s">
        <v>2718</v>
      </c>
      <c r="F1125" t="s">
        <v>2719</v>
      </c>
      <c r="G1125" t="s">
        <v>124</v>
      </c>
      <c r="H1125" t="s">
        <v>125</v>
      </c>
      <c r="I1125">
        <v>4</v>
      </c>
      <c r="J1125" t="s">
        <v>161</v>
      </c>
      <c r="K1125" t="s">
        <v>125</v>
      </c>
      <c r="L1125" t="s">
        <v>2720</v>
      </c>
      <c r="U1125" t="s">
        <v>149</v>
      </c>
      <c r="W1125" t="s">
        <v>135</v>
      </c>
      <c r="X1125">
        <v>3</v>
      </c>
      <c r="AC1125" t="s">
        <v>136</v>
      </c>
      <c r="AE1125" t="s">
        <v>137</v>
      </c>
    </row>
    <row r="1126" spans="1:78" x14ac:dyDescent="0.2">
      <c r="A1126" t="s">
        <v>119</v>
      </c>
      <c r="B1126" t="s">
        <v>120</v>
      </c>
      <c r="C1126" t="s">
        <v>2721</v>
      </c>
      <c r="D1126">
        <v>5</v>
      </c>
      <c r="E1126" t="s">
        <v>614</v>
      </c>
      <c r="F1126" t="s">
        <v>205</v>
      </c>
      <c r="G1126" t="s">
        <v>124</v>
      </c>
      <c r="H1126" t="s">
        <v>125</v>
      </c>
      <c r="I1126">
        <v>0</v>
      </c>
      <c r="J1126" t="s">
        <v>126</v>
      </c>
      <c r="K1126" t="s">
        <v>125</v>
      </c>
      <c r="L1126" t="s">
        <v>2722</v>
      </c>
      <c r="U1126" t="s">
        <v>149</v>
      </c>
      <c r="W1126" t="s">
        <v>135</v>
      </c>
      <c r="X1126">
        <v>3</v>
      </c>
      <c r="AC1126" t="s">
        <v>136</v>
      </c>
      <c r="AE1126" t="s">
        <v>137</v>
      </c>
    </row>
    <row r="1127" spans="1:78" x14ac:dyDescent="0.2">
      <c r="A1127" t="s">
        <v>119</v>
      </c>
      <c r="B1127" t="s">
        <v>120</v>
      </c>
      <c r="C1127" t="s">
        <v>2723</v>
      </c>
      <c r="D1127">
        <v>3</v>
      </c>
      <c r="E1127" t="s">
        <v>1825</v>
      </c>
      <c r="F1127" t="s">
        <v>198</v>
      </c>
      <c r="G1127" t="s">
        <v>124</v>
      </c>
      <c r="H1127" t="s">
        <v>125</v>
      </c>
      <c r="I1127">
        <v>0</v>
      </c>
      <c r="J1127" t="s">
        <v>126</v>
      </c>
      <c r="K1127" t="s">
        <v>125</v>
      </c>
      <c r="L1127" t="s">
        <v>2724</v>
      </c>
      <c r="U1127" t="s">
        <v>149</v>
      </c>
      <c r="W1127" t="s">
        <v>135</v>
      </c>
      <c r="X1127">
        <v>2</v>
      </c>
      <c r="AC1127" t="s">
        <v>136</v>
      </c>
      <c r="AE1127" t="s">
        <v>137</v>
      </c>
    </row>
    <row r="1128" spans="1:78" x14ac:dyDescent="0.2">
      <c r="A1128" t="s">
        <v>119</v>
      </c>
      <c r="B1128" t="s">
        <v>120</v>
      </c>
      <c r="C1128" t="s">
        <v>2723</v>
      </c>
      <c r="D1128">
        <v>6</v>
      </c>
      <c r="E1128" t="s">
        <v>1412</v>
      </c>
      <c r="F1128" t="s">
        <v>140</v>
      </c>
      <c r="G1128" t="s">
        <v>124</v>
      </c>
      <c r="H1128" t="s">
        <v>125</v>
      </c>
      <c r="I1128">
        <v>5</v>
      </c>
      <c r="J1128" t="s">
        <v>161</v>
      </c>
      <c r="K1128" t="s">
        <v>125</v>
      </c>
      <c r="L1128" t="s">
        <v>2725</v>
      </c>
      <c r="U1128" t="s">
        <v>149</v>
      </c>
      <c r="W1128" t="s">
        <v>135</v>
      </c>
      <c r="X1128">
        <v>2</v>
      </c>
      <c r="AC1128" t="s">
        <v>136</v>
      </c>
      <c r="AE1128" t="s">
        <v>137</v>
      </c>
    </row>
    <row r="1129" spans="1:78" x14ac:dyDescent="0.2">
      <c r="A1129" t="s">
        <v>119</v>
      </c>
      <c r="B1129" t="s">
        <v>120</v>
      </c>
      <c r="C1129" t="s">
        <v>2723</v>
      </c>
      <c r="D1129">
        <v>10</v>
      </c>
      <c r="E1129" t="s">
        <v>2726</v>
      </c>
      <c r="F1129" t="s">
        <v>364</v>
      </c>
      <c r="G1129" t="s">
        <v>124</v>
      </c>
      <c r="H1129" t="s">
        <v>125</v>
      </c>
      <c r="I1129">
        <v>5</v>
      </c>
      <c r="J1129" t="s">
        <v>161</v>
      </c>
      <c r="K1129" t="s">
        <v>125</v>
      </c>
      <c r="L1129" t="s">
        <v>2727</v>
      </c>
      <c r="U1129" t="s">
        <v>149</v>
      </c>
      <c r="W1129" t="s">
        <v>135</v>
      </c>
      <c r="X1129">
        <v>3</v>
      </c>
      <c r="AC1129" t="s">
        <v>136</v>
      </c>
      <c r="AE1129" t="s">
        <v>137</v>
      </c>
    </row>
    <row r="1130" spans="1:78" hidden="1" x14ac:dyDescent="0.2">
      <c r="A1130" t="s">
        <v>119</v>
      </c>
      <c r="B1130" t="s">
        <v>120</v>
      </c>
      <c r="C1130" t="s">
        <v>2728</v>
      </c>
      <c r="D1130">
        <v>1</v>
      </c>
      <c r="E1130" t="s">
        <v>2729</v>
      </c>
      <c r="F1130" t="s">
        <v>933</v>
      </c>
      <c r="G1130" t="s">
        <v>124</v>
      </c>
      <c r="H1130" t="s">
        <v>125</v>
      </c>
      <c r="I1130">
        <v>0</v>
      </c>
      <c r="J1130" t="s">
        <v>126</v>
      </c>
      <c r="K1130" t="s">
        <v>125</v>
      </c>
      <c r="L1130" t="s">
        <v>2730</v>
      </c>
      <c r="U1130" t="s">
        <v>149</v>
      </c>
      <c r="W1130" t="s">
        <v>135</v>
      </c>
      <c r="X1130">
        <v>1</v>
      </c>
      <c r="AC1130" t="s">
        <v>209</v>
      </c>
      <c r="AE1130" t="s">
        <v>137</v>
      </c>
    </row>
    <row r="1131" spans="1:78" hidden="1" x14ac:dyDescent="0.2">
      <c r="A1131" t="s">
        <v>119</v>
      </c>
      <c r="B1131" t="s">
        <v>120</v>
      </c>
      <c r="C1131" t="s">
        <v>2731</v>
      </c>
      <c r="D1131">
        <v>5</v>
      </c>
      <c r="E1131" t="s">
        <v>2732</v>
      </c>
      <c r="F1131" t="s">
        <v>2733</v>
      </c>
      <c r="G1131" t="s">
        <v>124</v>
      </c>
      <c r="H1131" t="s">
        <v>125</v>
      </c>
      <c r="I1131">
        <v>0</v>
      </c>
      <c r="J1131" t="s">
        <v>126</v>
      </c>
      <c r="K1131" t="s">
        <v>125</v>
      </c>
      <c r="L1131" t="s">
        <v>2734</v>
      </c>
      <c r="AE1131" t="s">
        <v>128</v>
      </c>
      <c r="AG1131">
        <v>4</v>
      </c>
      <c r="AH1131" t="s">
        <v>2735</v>
      </c>
      <c r="AI1131" t="s">
        <v>130</v>
      </c>
      <c r="AJ1131" t="s">
        <v>131</v>
      </c>
      <c r="AK1131" t="s">
        <v>125</v>
      </c>
      <c r="AL1131">
        <v>5</v>
      </c>
      <c r="AM1131" t="s">
        <v>132</v>
      </c>
      <c r="AN1131" t="s">
        <v>125</v>
      </c>
      <c r="AO1131" t="s">
        <v>2736</v>
      </c>
      <c r="BP1131" t="s">
        <v>149</v>
      </c>
      <c r="BR1131" t="s">
        <v>135</v>
      </c>
      <c r="BS1131">
        <v>3</v>
      </c>
      <c r="BX1131" t="s">
        <v>136</v>
      </c>
      <c r="BZ1131" t="s">
        <v>137</v>
      </c>
    </row>
    <row r="1132" spans="1:78" x14ac:dyDescent="0.2">
      <c r="A1132" t="s">
        <v>119</v>
      </c>
      <c r="B1132" t="s">
        <v>120</v>
      </c>
      <c r="C1132" t="s">
        <v>2737</v>
      </c>
      <c r="D1132">
        <v>2</v>
      </c>
      <c r="E1132" t="s">
        <v>145</v>
      </c>
      <c r="F1132" t="s">
        <v>146</v>
      </c>
      <c r="G1132" t="s">
        <v>124</v>
      </c>
      <c r="H1132" t="s">
        <v>125</v>
      </c>
      <c r="I1132">
        <v>0</v>
      </c>
      <c r="J1132" t="s">
        <v>126</v>
      </c>
      <c r="K1132" t="s">
        <v>125</v>
      </c>
      <c r="L1132" t="s">
        <v>2738</v>
      </c>
      <c r="U1132" t="s">
        <v>149</v>
      </c>
      <c r="W1132" t="s">
        <v>135</v>
      </c>
      <c r="X1132">
        <v>3</v>
      </c>
      <c r="AC1132" t="s">
        <v>136</v>
      </c>
      <c r="AE1132" t="s">
        <v>137</v>
      </c>
    </row>
    <row r="1133" spans="1:78" hidden="1" x14ac:dyDescent="0.2">
      <c r="A1133" t="s">
        <v>119</v>
      </c>
      <c r="B1133" t="s">
        <v>120</v>
      </c>
      <c r="C1133" t="s">
        <v>2737</v>
      </c>
      <c r="D1133">
        <v>5</v>
      </c>
      <c r="E1133" t="s">
        <v>691</v>
      </c>
      <c r="F1133" t="s">
        <v>261</v>
      </c>
      <c r="G1133" t="s">
        <v>124</v>
      </c>
      <c r="H1133" t="s">
        <v>125</v>
      </c>
      <c r="I1133">
        <v>1</v>
      </c>
      <c r="J1133" t="s">
        <v>170</v>
      </c>
      <c r="K1133" t="s">
        <v>125</v>
      </c>
      <c r="L1133" t="s">
        <v>2739</v>
      </c>
      <c r="T1133" t="s">
        <v>154</v>
      </c>
      <c r="W1133" t="s">
        <v>135</v>
      </c>
      <c r="AC1133" t="s">
        <v>143</v>
      </c>
      <c r="AE1133" t="s">
        <v>144</v>
      </c>
      <c r="AG1133">
        <v>4</v>
      </c>
      <c r="AH1133" t="s">
        <v>614</v>
      </c>
      <c r="AI1133" t="s">
        <v>205</v>
      </c>
      <c r="AJ1133" t="s">
        <v>131</v>
      </c>
      <c r="AK1133" t="s">
        <v>125</v>
      </c>
      <c r="AL1133">
        <v>5</v>
      </c>
      <c r="AM1133" t="s">
        <v>132</v>
      </c>
      <c r="AN1133" t="s">
        <v>125</v>
      </c>
      <c r="AO1133" t="s">
        <v>2740</v>
      </c>
      <c r="BP1133" t="s">
        <v>149</v>
      </c>
      <c r="BR1133" t="s">
        <v>135</v>
      </c>
      <c r="BS1133">
        <v>3</v>
      </c>
      <c r="BX1133" t="s">
        <v>136</v>
      </c>
      <c r="BZ1133" t="s">
        <v>137</v>
      </c>
    </row>
    <row r="1134" spans="1:78" hidden="1" x14ac:dyDescent="0.2">
      <c r="A1134" t="s">
        <v>119</v>
      </c>
      <c r="B1134" t="s">
        <v>120</v>
      </c>
      <c r="C1134" t="s">
        <v>2737</v>
      </c>
      <c r="D1134">
        <v>6</v>
      </c>
      <c r="E1134" t="s">
        <v>1724</v>
      </c>
      <c r="F1134" t="s">
        <v>1725</v>
      </c>
      <c r="G1134" t="s">
        <v>124</v>
      </c>
      <c r="H1134" t="s">
        <v>125</v>
      </c>
      <c r="I1134">
        <v>2</v>
      </c>
      <c r="J1134" t="s">
        <v>182</v>
      </c>
      <c r="K1134" t="s">
        <v>125</v>
      </c>
      <c r="L1134" t="s">
        <v>2741</v>
      </c>
    </row>
    <row r="1135" spans="1:78" hidden="1" x14ac:dyDescent="0.2">
      <c r="A1135" t="s">
        <v>119</v>
      </c>
      <c r="B1135" t="s">
        <v>120</v>
      </c>
      <c r="C1135" t="s">
        <v>2742</v>
      </c>
      <c r="D1135">
        <v>6</v>
      </c>
      <c r="E1135" t="s">
        <v>2743</v>
      </c>
      <c r="F1135" t="s">
        <v>458</v>
      </c>
      <c r="G1135" t="s">
        <v>124</v>
      </c>
      <c r="H1135" t="s">
        <v>125</v>
      </c>
      <c r="I1135">
        <v>0</v>
      </c>
      <c r="J1135" t="s">
        <v>126</v>
      </c>
      <c r="K1135" t="s">
        <v>125</v>
      </c>
      <c r="L1135" t="s">
        <v>2744</v>
      </c>
    </row>
    <row r="1136" spans="1:78" hidden="1" x14ac:dyDescent="0.2">
      <c r="A1136" t="s">
        <v>119</v>
      </c>
      <c r="B1136" t="s">
        <v>120</v>
      </c>
      <c r="C1136" t="s">
        <v>2745</v>
      </c>
      <c r="D1136">
        <v>5</v>
      </c>
      <c r="E1136" t="s">
        <v>2413</v>
      </c>
      <c r="F1136" t="s">
        <v>140</v>
      </c>
      <c r="G1136" t="s">
        <v>124</v>
      </c>
      <c r="H1136" t="s">
        <v>125</v>
      </c>
      <c r="I1136">
        <v>0</v>
      </c>
      <c r="J1136" t="s">
        <v>126</v>
      </c>
      <c r="K1136" t="s">
        <v>125</v>
      </c>
      <c r="L1136" t="s">
        <v>2746</v>
      </c>
      <c r="T1136" t="s">
        <v>142</v>
      </c>
    </row>
    <row r="1137" spans="1:78" hidden="1" x14ac:dyDescent="0.2">
      <c r="A1137" t="s">
        <v>119</v>
      </c>
      <c r="B1137" t="s">
        <v>120</v>
      </c>
      <c r="C1137" t="s">
        <v>2747</v>
      </c>
      <c r="D1137">
        <v>8</v>
      </c>
      <c r="E1137" t="s">
        <v>140</v>
      </c>
      <c r="F1137" t="s">
        <v>140</v>
      </c>
      <c r="G1137" t="s">
        <v>124</v>
      </c>
      <c r="H1137" t="s">
        <v>125</v>
      </c>
      <c r="I1137">
        <v>0</v>
      </c>
      <c r="J1137" t="s">
        <v>126</v>
      </c>
      <c r="K1137" t="s">
        <v>125</v>
      </c>
      <c r="L1137" t="s">
        <v>2748</v>
      </c>
      <c r="AE1137" t="s">
        <v>128</v>
      </c>
      <c r="AG1137">
        <v>7</v>
      </c>
      <c r="AH1137" t="s">
        <v>1339</v>
      </c>
      <c r="AI1137" t="s">
        <v>130</v>
      </c>
      <c r="AJ1137" t="s">
        <v>131</v>
      </c>
      <c r="AK1137" t="s">
        <v>125</v>
      </c>
      <c r="AL1137">
        <v>8</v>
      </c>
      <c r="AM1137" t="s">
        <v>132</v>
      </c>
      <c r="AN1137" t="s">
        <v>125</v>
      </c>
      <c r="AO1137" t="s">
        <v>2749</v>
      </c>
      <c r="BP1137" t="s">
        <v>149</v>
      </c>
      <c r="BR1137" t="s">
        <v>135</v>
      </c>
      <c r="BS1137">
        <v>1</v>
      </c>
      <c r="BX1137" t="s">
        <v>136</v>
      </c>
      <c r="BZ1137" t="s">
        <v>137</v>
      </c>
    </row>
    <row r="1138" spans="1:78" hidden="1" x14ac:dyDescent="0.2">
      <c r="A1138" t="s">
        <v>119</v>
      </c>
      <c r="B1138" t="s">
        <v>120</v>
      </c>
      <c r="C1138" t="s">
        <v>2750</v>
      </c>
      <c r="D1138">
        <v>3</v>
      </c>
      <c r="E1138" t="s">
        <v>691</v>
      </c>
      <c r="F1138" t="s">
        <v>261</v>
      </c>
      <c r="G1138" t="s">
        <v>124</v>
      </c>
      <c r="H1138" t="s">
        <v>125</v>
      </c>
      <c r="I1138">
        <v>0</v>
      </c>
      <c r="J1138" t="s">
        <v>126</v>
      </c>
      <c r="K1138" t="s">
        <v>125</v>
      </c>
      <c r="L1138" t="s">
        <v>2751</v>
      </c>
      <c r="T1138" t="s">
        <v>154</v>
      </c>
      <c r="W1138" t="s">
        <v>135</v>
      </c>
      <c r="AC1138" t="s">
        <v>143</v>
      </c>
      <c r="AE1138" t="s">
        <v>144</v>
      </c>
      <c r="AG1138">
        <v>2</v>
      </c>
      <c r="AH1138" t="s">
        <v>614</v>
      </c>
      <c r="AI1138" t="s">
        <v>205</v>
      </c>
      <c r="AJ1138" t="s">
        <v>131</v>
      </c>
      <c r="AK1138" t="s">
        <v>125</v>
      </c>
      <c r="AL1138">
        <v>3</v>
      </c>
      <c r="AM1138" t="s">
        <v>132</v>
      </c>
      <c r="AN1138" t="s">
        <v>125</v>
      </c>
      <c r="AO1138" t="s">
        <v>2752</v>
      </c>
      <c r="BP1138" t="s">
        <v>149</v>
      </c>
      <c r="BR1138" t="s">
        <v>135</v>
      </c>
      <c r="BS1138">
        <v>3</v>
      </c>
      <c r="BX1138" t="s">
        <v>136</v>
      </c>
      <c r="BZ1138" t="s">
        <v>137</v>
      </c>
    </row>
    <row r="1139" spans="1:78" hidden="1" x14ac:dyDescent="0.2">
      <c r="A1139" t="s">
        <v>119</v>
      </c>
      <c r="B1139" t="s">
        <v>120</v>
      </c>
      <c r="C1139" t="s">
        <v>2750</v>
      </c>
      <c r="D1139">
        <v>8</v>
      </c>
      <c r="E1139" t="s">
        <v>861</v>
      </c>
      <c r="F1139" t="s">
        <v>140</v>
      </c>
      <c r="G1139" t="s">
        <v>124</v>
      </c>
      <c r="H1139" t="s">
        <v>125</v>
      </c>
      <c r="I1139">
        <v>3</v>
      </c>
      <c r="J1139" t="s">
        <v>161</v>
      </c>
      <c r="K1139" t="s">
        <v>125</v>
      </c>
      <c r="L1139" t="s">
        <v>2753</v>
      </c>
      <c r="AG1139">
        <v>7</v>
      </c>
      <c r="AH1139" t="s">
        <v>1339</v>
      </c>
      <c r="AI1139" t="s">
        <v>130</v>
      </c>
      <c r="AJ1139" t="s">
        <v>131</v>
      </c>
      <c r="AK1139" t="s">
        <v>125</v>
      </c>
      <c r="AL1139">
        <v>8</v>
      </c>
      <c r="AM1139" t="s">
        <v>132</v>
      </c>
      <c r="AN1139" t="s">
        <v>125</v>
      </c>
      <c r="AO1139" t="s">
        <v>2754</v>
      </c>
      <c r="BP1139" t="s">
        <v>149</v>
      </c>
      <c r="BR1139" t="s">
        <v>135</v>
      </c>
      <c r="BS1139">
        <v>1</v>
      </c>
      <c r="BX1139" t="s">
        <v>136</v>
      </c>
      <c r="BZ1139" t="s">
        <v>137</v>
      </c>
    </row>
    <row r="1140" spans="1:78" x14ac:dyDescent="0.2">
      <c r="A1140" t="s">
        <v>119</v>
      </c>
      <c r="B1140" t="s">
        <v>120</v>
      </c>
      <c r="C1140" t="s">
        <v>2755</v>
      </c>
      <c r="D1140">
        <v>1</v>
      </c>
      <c r="E1140" t="s">
        <v>145</v>
      </c>
      <c r="F1140" t="s">
        <v>146</v>
      </c>
      <c r="G1140" t="s">
        <v>124</v>
      </c>
      <c r="H1140" t="s">
        <v>125</v>
      </c>
      <c r="I1140">
        <v>0</v>
      </c>
      <c r="J1140" t="s">
        <v>126</v>
      </c>
      <c r="K1140" t="s">
        <v>125</v>
      </c>
      <c r="L1140" t="s">
        <v>2756</v>
      </c>
      <c r="U1140" t="s">
        <v>149</v>
      </c>
      <c r="W1140" t="s">
        <v>135</v>
      </c>
      <c r="X1140">
        <v>3</v>
      </c>
      <c r="AC1140" t="s">
        <v>136</v>
      </c>
      <c r="AE1140" t="s">
        <v>137</v>
      </c>
    </row>
    <row r="1141" spans="1:78" x14ac:dyDescent="0.2">
      <c r="A1141" t="s">
        <v>119</v>
      </c>
      <c r="B1141" t="s">
        <v>120</v>
      </c>
      <c r="C1141" t="s">
        <v>2755</v>
      </c>
      <c r="D1141">
        <v>4</v>
      </c>
      <c r="E1141" t="s">
        <v>974</v>
      </c>
      <c r="F1141" t="s">
        <v>350</v>
      </c>
      <c r="G1141" t="s">
        <v>124</v>
      </c>
      <c r="H1141" t="s">
        <v>125</v>
      </c>
      <c r="I1141">
        <v>1</v>
      </c>
      <c r="J1141" t="s">
        <v>264</v>
      </c>
      <c r="K1141" t="s">
        <v>125</v>
      </c>
      <c r="L1141" t="s">
        <v>2757</v>
      </c>
      <c r="U1141" t="s">
        <v>149</v>
      </c>
      <c r="W1141" t="s">
        <v>135</v>
      </c>
      <c r="X1141">
        <v>1</v>
      </c>
      <c r="AC1141" t="s">
        <v>136</v>
      </c>
      <c r="AE1141" t="s">
        <v>137</v>
      </c>
    </row>
    <row r="1142" spans="1:78" x14ac:dyDescent="0.2">
      <c r="A1142" t="s">
        <v>119</v>
      </c>
      <c r="B1142" t="s">
        <v>120</v>
      </c>
      <c r="C1142" t="s">
        <v>2758</v>
      </c>
      <c r="D1142">
        <v>4</v>
      </c>
      <c r="E1142" t="s">
        <v>2759</v>
      </c>
      <c r="F1142" t="s">
        <v>1416</v>
      </c>
      <c r="G1142" t="s">
        <v>124</v>
      </c>
      <c r="H1142" t="s">
        <v>125</v>
      </c>
      <c r="I1142">
        <v>0</v>
      </c>
      <c r="J1142" t="s">
        <v>126</v>
      </c>
      <c r="K1142" t="s">
        <v>125</v>
      </c>
      <c r="L1142" t="s">
        <v>2760</v>
      </c>
      <c r="U1142" t="s">
        <v>149</v>
      </c>
      <c r="W1142" t="s">
        <v>135</v>
      </c>
      <c r="X1142">
        <v>3</v>
      </c>
      <c r="AC1142" t="s">
        <v>136</v>
      </c>
      <c r="AE1142" t="s">
        <v>137</v>
      </c>
    </row>
    <row r="1143" spans="1:78" hidden="1" x14ac:dyDescent="0.2">
      <c r="A1143" t="s">
        <v>119</v>
      </c>
      <c r="B1143" t="s">
        <v>120</v>
      </c>
      <c r="C1143" t="s">
        <v>2758</v>
      </c>
      <c r="D1143">
        <v>13</v>
      </c>
      <c r="E1143" t="s">
        <v>2761</v>
      </c>
      <c r="F1143" t="s">
        <v>2761</v>
      </c>
      <c r="G1143" t="s">
        <v>124</v>
      </c>
      <c r="H1143" t="s">
        <v>125</v>
      </c>
      <c r="I1143">
        <v>12</v>
      </c>
      <c r="J1143" t="s">
        <v>294</v>
      </c>
      <c r="K1143" t="s">
        <v>125</v>
      </c>
      <c r="L1143" t="s">
        <v>2762</v>
      </c>
      <c r="T1143" t="s">
        <v>142</v>
      </c>
      <c r="W1143" t="s">
        <v>155</v>
      </c>
    </row>
    <row r="1144" spans="1:78" x14ac:dyDescent="0.2">
      <c r="A1144" t="s">
        <v>119</v>
      </c>
      <c r="B1144" t="s">
        <v>120</v>
      </c>
      <c r="C1144" t="s">
        <v>2763</v>
      </c>
      <c r="D1144">
        <v>13</v>
      </c>
      <c r="E1144" t="s">
        <v>414</v>
      </c>
      <c r="F1144" t="s">
        <v>415</v>
      </c>
      <c r="G1144" t="s">
        <v>124</v>
      </c>
      <c r="H1144" t="s">
        <v>125</v>
      </c>
      <c r="I1144">
        <v>0</v>
      </c>
      <c r="J1144" t="s">
        <v>126</v>
      </c>
      <c r="K1144" t="s">
        <v>125</v>
      </c>
      <c r="L1144" t="s">
        <v>2764</v>
      </c>
      <c r="U1144" t="s">
        <v>149</v>
      </c>
      <c r="W1144" t="s">
        <v>135</v>
      </c>
      <c r="X1144">
        <v>1</v>
      </c>
      <c r="AC1144" t="s">
        <v>136</v>
      </c>
      <c r="AE1144" t="s">
        <v>137</v>
      </c>
    </row>
    <row r="1145" spans="1:78" hidden="1" x14ac:dyDescent="0.2">
      <c r="A1145" t="s">
        <v>119</v>
      </c>
      <c r="B1145" t="s">
        <v>120</v>
      </c>
      <c r="C1145" t="s">
        <v>2763</v>
      </c>
      <c r="D1145">
        <v>18</v>
      </c>
      <c r="E1145" t="s">
        <v>691</v>
      </c>
      <c r="F1145" t="s">
        <v>261</v>
      </c>
      <c r="G1145" t="s">
        <v>124</v>
      </c>
      <c r="H1145" t="s">
        <v>125</v>
      </c>
      <c r="I1145">
        <v>13</v>
      </c>
      <c r="J1145" t="s">
        <v>264</v>
      </c>
      <c r="K1145" t="s">
        <v>125</v>
      </c>
      <c r="L1145" t="s">
        <v>2765</v>
      </c>
      <c r="T1145" t="s">
        <v>154</v>
      </c>
      <c r="W1145" t="s">
        <v>135</v>
      </c>
      <c r="AC1145" t="s">
        <v>143</v>
      </c>
      <c r="AE1145" t="s">
        <v>144</v>
      </c>
      <c r="AG1145">
        <v>17</v>
      </c>
      <c r="AH1145" t="s">
        <v>2608</v>
      </c>
      <c r="AI1145" t="s">
        <v>205</v>
      </c>
      <c r="AJ1145" t="s">
        <v>131</v>
      </c>
      <c r="AK1145" t="s">
        <v>125</v>
      </c>
      <c r="AL1145">
        <v>18</v>
      </c>
      <c r="AM1145" t="s">
        <v>132</v>
      </c>
      <c r="AN1145" t="s">
        <v>125</v>
      </c>
      <c r="AO1145" t="s">
        <v>2766</v>
      </c>
      <c r="BP1145" t="s">
        <v>149</v>
      </c>
      <c r="BR1145" t="s">
        <v>155</v>
      </c>
      <c r="BS1145">
        <v>1</v>
      </c>
      <c r="BX1145" t="s">
        <v>136</v>
      </c>
      <c r="BZ1145" t="s">
        <v>137</v>
      </c>
    </row>
    <row r="1146" spans="1:78" hidden="1" x14ac:dyDescent="0.2">
      <c r="A1146" t="s">
        <v>119</v>
      </c>
      <c r="B1146" t="s">
        <v>120</v>
      </c>
      <c r="C1146" t="s">
        <v>2763</v>
      </c>
      <c r="D1146">
        <v>27</v>
      </c>
      <c r="E1146" t="s">
        <v>691</v>
      </c>
      <c r="F1146" t="s">
        <v>261</v>
      </c>
      <c r="G1146" t="s">
        <v>124</v>
      </c>
      <c r="H1146" t="s">
        <v>125</v>
      </c>
      <c r="I1146">
        <v>18</v>
      </c>
      <c r="J1146" t="s">
        <v>161</v>
      </c>
      <c r="K1146" t="s">
        <v>125</v>
      </c>
      <c r="L1146" t="s">
        <v>2767</v>
      </c>
      <c r="T1146" t="s">
        <v>154</v>
      </c>
      <c r="W1146" t="s">
        <v>135</v>
      </c>
      <c r="AC1146" t="s">
        <v>143</v>
      </c>
      <c r="AE1146" t="s">
        <v>144</v>
      </c>
      <c r="AG1146">
        <v>26</v>
      </c>
      <c r="AH1146" t="s">
        <v>614</v>
      </c>
      <c r="AI1146" t="s">
        <v>205</v>
      </c>
      <c r="AJ1146" t="s">
        <v>131</v>
      </c>
      <c r="AK1146" t="s">
        <v>125</v>
      </c>
      <c r="AL1146">
        <v>27</v>
      </c>
      <c r="AM1146" t="s">
        <v>132</v>
      </c>
      <c r="AN1146" t="s">
        <v>125</v>
      </c>
      <c r="AO1146" t="s">
        <v>2768</v>
      </c>
      <c r="BP1146" t="s">
        <v>149</v>
      </c>
      <c r="BR1146" t="s">
        <v>135</v>
      </c>
      <c r="BS1146">
        <v>3</v>
      </c>
      <c r="BX1146" t="s">
        <v>136</v>
      </c>
      <c r="BZ1146" t="s">
        <v>137</v>
      </c>
    </row>
    <row r="1147" spans="1:78" x14ac:dyDescent="0.2">
      <c r="A1147" t="s">
        <v>119</v>
      </c>
      <c r="B1147" t="s">
        <v>120</v>
      </c>
      <c r="C1147" t="s">
        <v>2763</v>
      </c>
      <c r="D1147">
        <v>35</v>
      </c>
      <c r="E1147" t="s">
        <v>370</v>
      </c>
      <c r="F1147" t="s">
        <v>140</v>
      </c>
      <c r="G1147" t="s">
        <v>124</v>
      </c>
      <c r="H1147" t="s">
        <v>125</v>
      </c>
      <c r="I1147">
        <v>27</v>
      </c>
      <c r="J1147" t="s">
        <v>161</v>
      </c>
      <c r="K1147" t="s">
        <v>125</v>
      </c>
      <c r="L1147" t="s">
        <v>2769</v>
      </c>
      <c r="U1147" t="s">
        <v>149</v>
      </c>
      <c r="W1147" t="s">
        <v>135</v>
      </c>
      <c r="X1147">
        <v>3</v>
      </c>
      <c r="AC1147" t="s">
        <v>136</v>
      </c>
      <c r="AE1147" t="s">
        <v>137</v>
      </c>
    </row>
    <row r="1148" spans="1:78" x14ac:dyDescent="0.2">
      <c r="A1148" t="s">
        <v>119</v>
      </c>
      <c r="B1148" t="s">
        <v>120</v>
      </c>
      <c r="C1148" t="s">
        <v>2763</v>
      </c>
      <c r="D1148">
        <v>40</v>
      </c>
      <c r="E1148" t="s">
        <v>496</v>
      </c>
      <c r="F1148" t="s">
        <v>205</v>
      </c>
      <c r="G1148" t="s">
        <v>124</v>
      </c>
      <c r="H1148" t="s">
        <v>125</v>
      </c>
      <c r="I1148">
        <v>35</v>
      </c>
      <c r="J1148" t="s">
        <v>1249</v>
      </c>
      <c r="K1148" t="s">
        <v>125</v>
      </c>
      <c r="L1148" t="s">
        <v>2770</v>
      </c>
      <c r="U1148" t="s">
        <v>149</v>
      </c>
      <c r="W1148" t="s">
        <v>135</v>
      </c>
      <c r="X1148">
        <v>2</v>
      </c>
      <c r="AC1148" t="s">
        <v>136</v>
      </c>
      <c r="AE1148" t="s">
        <v>137</v>
      </c>
    </row>
    <row r="1149" spans="1:78" x14ac:dyDescent="0.2">
      <c r="A1149" t="s">
        <v>119</v>
      </c>
      <c r="B1149" t="s">
        <v>120</v>
      </c>
      <c r="C1149" t="s">
        <v>2771</v>
      </c>
      <c r="D1149">
        <v>5</v>
      </c>
      <c r="E1149" t="s">
        <v>614</v>
      </c>
      <c r="F1149" t="s">
        <v>205</v>
      </c>
      <c r="G1149" t="s">
        <v>124</v>
      </c>
      <c r="H1149" t="s">
        <v>125</v>
      </c>
      <c r="I1149">
        <v>0</v>
      </c>
      <c r="J1149" t="s">
        <v>126</v>
      </c>
      <c r="K1149" t="s">
        <v>125</v>
      </c>
      <c r="L1149" t="s">
        <v>2772</v>
      </c>
      <c r="U1149" t="s">
        <v>149</v>
      </c>
      <c r="W1149" t="s">
        <v>135</v>
      </c>
      <c r="X1149">
        <v>3</v>
      </c>
      <c r="AC1149" t="s">
        <v>136</v>
      </c>
      <c r="AE1149" t="s">
        <v>137</v>
      </c>
    </row>
    <row r="1150" spans="1:78" hidden="1" x14ac:dyDescent="0.2">
      <c r="A1150" t="s">
        <v>119</v>
      </c>
      <c r="B1150" t="s">
        <v>120</v>
      </c>
      <c r="C1150" t="s">
        <v>2771</v>
      </c>
      <c r="D1150">
        <v>15</v>
      </c>
      <c r="E1150" t="s">
        <v>2773</v>
      </c>
      <c r="F1150" t="s">
        <v>2774</v>
      </c>
      <c r="G1150" t="s">
        <v>124</v>
      </c>
      <c r="H1150" t="s">
        <v>125</v>
      </c>
      <c r="I1150">
        <v>5</v>
      </c>
      <c r="J1150" t="s">
        <v>268</v>
      </c>
      <c r="K1150" t="s">
        <v>125</v>
      </c>
      <c r="L1150" t="s">
        <v>2775</v>
      </c>
      <c r="T1150" t="s">
        <v>142</v>
      </c>
      <c r="W1150" t="s">
        <v>135</v>
      </c>
      <c r="AG1150">
        <v>14</v>
      </c>
      <c r="AH1150" t="s">
        <v>160</v>
      </c>
      <c r="AI1150" t="s">
        <v>146</v>
      </c>
      <c r="AJ1150" t="s">
        <v>131</v>
      </c>
      <c r="AK1150" t="s">
        <v>125</v>
      </c>
      <c r="AL1150">
        <v>15</v>
      </c>
      <c r="AM1150" t="s">
        <v>132</v>
      </c>
      <c r="AN1150" t="s">
        <v>125</v>
      </c>
      <c r="AO1150" t="s">
        <v>2776</v>
      </c>
      <c r="BP1150" t="s">
        <v>149</v>
      </c>
      <c r="BR1150" t="s">
        <v>135</v>
      </c>
      <c r="BS1150">
        <v>1</v>
      </c>
      <c r="BX1150" t="s">
        <v>136</v>
      </c>
      <c r="BZ1150" t="s">
        <v>137</v>
      </c>
    </row>
    <row r="1151" spans="1:78" x14ac:dyDescent="0.2">
      <c r="A1151" t="s">
        <v>119</v>
      </c>
      <c r="B1151" t="s">
        <v>120</v>
      </c>
      <c r="C1151" t="s">
        <v>2771</v>
      </c>
      <c r="D1151">
        <v>16</v>
      </c>
      <c r="E1151" t="s">
        <v>343</v>
      </c>
      <c r="F1151" t="s">
        <v>311</v>
      </c>
      <c r="G1151" t="s">
        <v>124</v>
      </c>
      <c r="H1151" t="s">
        <v>125</v>
      </c>
      <c r="I1151">
        <v>5</v>
      </c>
      <c r="J1151" t="s">
        <v>199</v>
      </c>
      <c r="K1151" t="s">
        <v>125</v>
      </c>
      <c r="L1151" t="s">
        <v>2777</v>
      </c>
      <c r="U1151" t="s">
        <v>149</v>
      </c>
      <c r="W1151" t="s">
        <v>135</v>
      </c>
      <c r="X1151">
        <v>1</v>
      </c>
      <c r="AC1151" t="s">
        <v>136</v>
      </c>
      <c r="AE1151" t="s">
        <v>137</v>
      </c>
    </row>
    <row r="1152" spans="1:78" hidden="1" x14ac:dyDescent="0.2">
      <c r="A1152" t="s">
        <v>119</v>
      </c>
      <c r="B1152" t="s">
        <v>120</v>
      </c>
      <c r="C1152" t="s">
        <v>2771</v>
      </c>
      <c r="D1152">
        <v>22</v>
      </c>
      <c r="E1152" t="s">
        <v>205</v>
      </c>
      <c r="F1152" t="s">
        <v>205</v>
      </c>
      <c r="G1152" t="s">
        <v>124</v>
      </c>
      <c r="H1152" t="s">
        <v>125</v>
      </c>
      <c r="I1152">
        <v>18</v>
      </c>
      <c r="J1152" t="s">
        <v>1249</v>
      </c>
      <c r="K1152" t="s">
        <v>125</v>
      </c>
      <c r="L1152" t="s">
        <v>2778</v>
      </c>
      <c r="AE1152" t="s">
        <v>128</v>
      </c>
      <c r="AG1152">
        <v>21</v>
      </c>
      <c r="AH1152" t="s">
        <v>375</v>
      </c>
      <c r="AI1152" t="s">
        <v>130</v>
      </c>
      <c r="AJ1152" t="s">
        <v>131</v>
      </c>
      <c r="AK1152" t="s">
        <v>125</v>
      </c>
      <c r="AL1152">
        <v>22</v>
      </c>
      <c r="AM1152" t="s">
        <v>132</v>
      </c>
      <c r="AN1152" t="s">
        <v>125</v>
      </c>
      <c r="AO1152" t="s">
        <v>2779</v>
      </c>
      <c r="BP1152" t="s">
        <v>149</v>
      </c>
      <c r="BR1152" t="s">
        <v>135</v>
      </c>
      <c r="BS1152">
        <v>2</v>
      </c>
      <c r="BX1152" t="s">
        <v>136</v>
      </c>
      <c r="BZ1152" t="s">
        <v>137</v>
      </c>
    </row>
    <row r="1153" spans="1:78" hidden="1" x14ac:dyDescent="0.2">
      <c r="A1153" t="s">
        <v>119</v>
      </c>
      <c r="B1153" t="s">
        <v>120</v>
      </c>
      <c r="C1153" t="s">
        <v>2780</v>
      </c>
      <c r="D1153">
        <v>8</v>
      </c>
      <c r="E1153" t="s">
        <v>407</v>
      </c>
      <c r="F1153" t="s">
        <v>140</v>
      </c>
      <c r="G1153" t="s">
        <v>124</v>
      </c>
      <c r="H1153" t="s">
        <v>125</v>
      </c>
      <c r="I1153">
        <v>0</v>
      </c>
      <c r="J1153" t="s">
        <v>126</v>
      </c>
      <c r="K1153" t="s">
        <v>125</v>
      </c>
      <c r="L1153" t="s">
        <v>2781</v>
      </c>
      <c r="T1153" t="s">
        <v>154</v>
      </c>
      <c r="W1153" t="s">
        <v>135</v>
      </c>
      <c r="AC1153" t="s">
        <v>143</v>
      </c>
      <c r="AE1153" t="s">
        <v>144</v>
      </c>
      <c r="AG1153">
        <v>7</v>
      </c>
      <c r="AH1153" t="s">
        <v>614</v>
      </c>
      <c r="AI1153" t="s">
        <v>205</v>
      </c>
      <c r="AJ1153" t="s">
        <v>131</v>
      </c>
      <c r="AK1153" t="s">
        <v>125</v>
      </c>
      <c r="AL1153">
        <v>8</v>
      </c>
      <c r="AM1153" t="s">
        <v>132</v>
      </c>
      <c r="AN1153" t="s">
        <v>125</v>
      </c>
      <c r="AO1153" t="s">
        <v>2782</v>
      </c>
      <c r="BP1153" t="s">
        <v>149</v>
      </c>
      <c r="BR1153" t="s">
        <v>135</v>
      </c>
      <c r="BS1153">
        <v>3</v>
      </c>
      <c r="BX1153" t="s">
        <v>136</v>
      </c>
      <c r="BZ1153" t="s">
        <v>137</v>
      </c>
    </row>
    <row r="1154" spans="1:78" hidden="1" x14ac:dyDescent="0.2">
      <c r="A1154" t="s">
        <v>119</v>
      </c>
      <c r="B1154" t="s">
        <v>120</v>
      </c>
      <c r="C1154" t="s">
        <v>2780</v>
      </c>
      <c r="D1154">
        <v>9</v>
      </c>
      <c r="E1154" t="s">
        <v>2783</v>
      </c>
      <c r="F1154" t="s">
        <v>2783</v>
      </c>
      <c r="G1154" t="s">
        <v>124</v>
      </c>
      <c r="H1154" t="s">
        <v>125</v>
      </c>
      <c r="I1154">
        <v>8</v>
      </c>
      <c r="J1154" t="s">
        <v>264</v>
      </c>
      <c r="K1154" t="s">
        <v>125</v>
      </c>
      <c r="L1154" t="s">
        <v>2784</v>
      </c>
      <c r="AE1154" t="s">
        <v>128</v>
      </c>
    </row>
    <row r="1155" spans="1:78" hidden="1" x14ac:dyDescent="0.2">
      <c r="A1155" t="s">
        <v>119</v>
      </c>
      <c r="B1155" t="s">
        <v>120</v>
      </c>
      <c r="C1155" t="s">
        <v>2780</v>
      </c>
      <c r="D1155">
        <v>13</v>
      </c>
      <c r="E1155" t="s">
        <v>1980</v>
      </c>
      <c r="F1155" t="s">
        <v>1981</v>
      </c>
      <c r="G1155" t="s">
        <v>124</v>
      </c>
      <c r="H1155" t="s">
        <v>125</v>
      </c>
      <c r="I1155">
        <v>8</v>
      </c>
      <c r="J1155" t="s">
        <v>268</v>
      </c>
      <c r="K1155" t="s">
        <v>125</v>
      </c>
      <c r="L1155" t="s">
        <v>2785</v>
      </c>
      <c r="T1155" t="s">
        <v>154</v>
      </c>
      <c r="W1155" t="s">
        <v>135</v>
      </c>
      <c r="AC1155" t="s">
        <v>143</v>
      </c>
      <c r="AE1155" t="s">
        <v>144</v>
      </c>
      <c r="AG1155">
        <v>12</v>
      </c>
      <c r="AH1155" t="s">
        <v>614</v>
      </c>
      <c r="AI1155" t="s">
        <v>205</v>
      </c>
      <c r="AJ1155" t="s">
        <v>131</v>
      </c>
      <c r="AK1155" t="s">
        <v>125</v>
      </c>
      <c r="AL1155">
        <v>13</v>
      </c>
      <c r="AM1155" t="s">
        <v>132</v>
      </c>
      <c r="AN1155" t="s">
        <v>125</v>
      </c>
      <c r="AO1155" t="s">
        <v>2786</v>
      </c>
      <c r="BP1155" t="s">
        <v>149</v>
      </c>
      <c r="BR1155" t="s">
        <v>135</v>
      </c>
      <c r="BS1155">
        <v>3</v>
      </c>
      <c r="BX1155" t="s">
        <v>136</v>
      </c>
      <c r="BZ1155" t="s">
        <v>137</v>
      </c>
    </row>
    <row r="1156" spans="1:78" x14ac:dyDescent="0.2">
      <c r="A1156" t="s">
        <v>119</v>
      </c>
      <c r="B1156" t="s">
        <v>120</v>
      </c>
      <c r="C1156" t="s">
        <v>2780</v>
      </c>
      <c r="D1156">
        <v>17</v>
      </c>
      <c r="E1156" t="s">
        <v>201</v>
      </c>
      <c r="F1156" t="s">
        <v>202</v>
      </c>
      <c r="G1156" t="s">
        <v>124</v>
      </c>
      <c r="H1156" t="s">
        <v>125</v>
      </c>
      <c r="I1156">
        <v>13</v>
      </c>
      <c r="J1156" t="s">
        <v>264</v>
      </c>
      <c r="K1156" t="s">
        <v>125</v>
      </c>
      <c r="L1156" t="s">
        <v>2787</v>
      </c>
      <c r="U1156" t="s">
        <v>149</v>
      </c>
      <c r="W1156" t="s">
        <v>135</v>
      </c>
      <c r="X1156">
        <v>1</v>
      </c>
      <c r="AC1156" t="s">
        <v>136</v>
      </c>
      <c r="AE1156" t="s">
        <v>137</v>
      </c>
      <c r="AG1156">
        <v>16</v>
      </c>
      <c r="AH1156" t="s">
        <v>614</v>
      </c>
      <c r="AI1156" t="s">
        <v>205</v>
      </c>
      <c r="AJ1156" t="s">
        <v>131</v>
      </c>
      <c r="AK1156" t="s">
        <v>125</v>
      </c>
      <c r="AL1156">
        <v>17</v>
      </c>
      <c r="AM1156" t="s">
        <v>132</v>
      </c>
      <c r="AN1156" t="s">
        <v>125</v>
      </c>
      <c r="AO1156" t="s">
        <v>2788</v>
      </c>
      <c r="BP1156" t="s">
        <v>149</v>
      </c>
      <c r="BR1156" t="s">
        <v>135</v>
      </c>
      <c r="BS1156">
        <v>3</v>
      </c>
      <c r="BX1156" t="s">
        <v>136</v>
      </c>
      <c r="BZ1156" t="s">
        <v>137</v>
      </c>
    </row>
    <row r="1157" spans="1:78" hidden="1" x14ac:dyDescent="0.2">
      <c r="A1157" t="s">
        <v>119</v>
      </c>
      <c r="B1157" t="s">
        <v>120</v>
      </c>
      <c r="C1157" t="s">
        <v>2780</v>
      </c>
      <c r="D1157">
        <v>25</v>
      </c>
      <c r="E1157" t="s">
        <v>691</v>
      </c>
      <c r="F1157" t="s">
        <v>261</v>
      </c>
      <c r="G1157" t="s">
        <v>124</v>
      </c>
      <c r="H1157" t="s">
        <v>125</v>
      </c>
      <c r="I1157">
        <v>17</v>
      </c>
      <c r="J1157" t="s">
        <v>264</v>
      </c>
      <c r="K1157" t="s">
        <v>125</v>
      </c>
      <c r="L1157" t="s">
        <v>2789</v>
      </c>
      <c r="T1157" t="s">
        <v>154</v>
      </c>
      <c r="W1157" t="s">
        <v>135</v>
      </c>
      <c r="AC1157" t="s">
        <v>143</v>
      </c>
      <c r="AE1157" t="s">
        <v>144</v>
      </c>
      <c r="AG1157">
        <v>24</v>
      </c>
      <c r="AH1157" t="s">
        <v>614</v>
      </c>
      <c r="AI1157" t="s">
        <v>205</v>
      </c>
      <c r="AJ1157" t="s">
        <v>131</v>
      </c>
      <c r="AK1157" t="s">
        <v>125</v>
      </c>
      <c r="AL1157">
        <v>25</v>
      </c>
      <c r="AM1157" t="s">
        <v>132</v>
      </c>
      <c r="AN1157" t="s">
        <v>125</v>
      </c>
      <c r="AO1157" t="s">
        <v>2790</v>
      </c>
      <c r="BP1157" t="s">
        <v>149</v>
      </c>
      <c r="BR1157" t="s">
        <v>135</v>
      </c>
      <c r="BS1157">
        <v>3</v>
      </c>
      <c r="BX1157" t="s">
        <v>136</v>
      </c>
      <c r="BZ1157" t="s">
        <v>137</v>
      </c>
    </row>
    <row r="1158" spans="1:78" hidden="1" x14ac:dyDescent="0.2">
      <c r="A1158" t="s">
        <v>119</v>
      </c>
      <c r="B1158" t="s">
        <v>120</v>
      </c>
      <c r="C1158" t="s">
        <v>2780</v>
      </c>
      <c r="D1158">
        <v>26</v>
      </c>
      <c r="E1158" t="s">
        <v>2791</v>
      </c>
      <c r="F1158" t="s">
        <v>2791</v>
      </c>
      <c r="G1158" t="s">
        <v>124</v>
      </c>
      <c r="H1158" t="s">
        <v>125</v>
      </c>
      <c r="I1158">
        <v>25</v>
      </c>
      <c r="J1158" t="s">
        <v>1249</v>
      </c>
      <c r="K1158" t="s">
        <v>125</v>
      </c>
      <c r="L1158" t="s">
        <v>2792</v>
      </c>
      <c r="T1158" t="s">
        <v>154</v>
      </c>
      <c r="W1158" t="s">
        <v>155</v>
      </c>
    </row>
    <row r="1159" spans="1:78" x14ac:dyDescent="0.2">
      <c r="A1159" t="s">
        <v>119</v>
      </c>
      <c r="B1159" t="s">
        <v>120</v>
      </c>
      <c r="C1159" t="s">
        <v>2793</v>
      </c>
      <c r="D1159">
        <v>5</v>
      </c>
      <c r="E1159" t="s">
        <v>1449</v>
      </c>
      <c r="F1159" t="s">
        <v>1450</v>
      </c>
      <c r="G1159" t="s">
        <v>124</v>
      </c>
      <c r="H1159" t="s">
        <v>125</v>
      </c>
      <c r="I1159">
        <v>0</v>
      </c>
      <c r="J1159" t="s">
        <v>126</v>
      </c>
      <c r="K1159" t="s">
        <v>125</v>
      </c>
      <c r="L1159" t="s">
        <v>2794</v>
      </c>
      <c r="U1159" t="s">
        <v>149</v>
      </c>
      <c r="W1159" t="s">
        <v>135</v>
      </c>
      <c r="X1159">
        <v>3</v>
      </c>
      <c r="AC1159" t="s">
        <v>136</v>
      </c>
      <c r="AE1159" t="s">
        <v>137</v>
      </c>
    </row>
    <row r="1160" spans="1:78" hidden="1" x14ac:dyDescent="0.2">
      <c r="A1160" t="s">
        <v>119</v>
      </c>
      <c r="B1160" t="s">
        <v>120</v>
      </c>
      <c r="C1160" t="s">
        <v>2795</v>
      </c>
      <c r="D1160">
        <v>4</v>
      </c>
      <c r="E1160" t="s">
        <v>2796</v>
      </c>
      <c r="F1160" t="s">
        <v>2783</v>
      </c>
      <c r="G1160" t="s">
        <v>124</v>
      </c>
      <c r="H1160" t="s">
        <v>125</v>
      </c>
      <c r="I1160">
        <v>0</v>
      </c>
      <c r="J1160" t="s">
        <v>126</v>
      </c>
      <c r="K1160" t="s">
        <v>125</v>
      </c>
      <c r="L1160" t="s">
        <v>2797</v>
      </c>
      <c r="T1160" t="s">
        <v>154</v>
      </c>
      <c r="W1160" t="s">
        <v>135</v>
      </c>
      <c r="AC1160" t="s">
        <v>143</v>
      </c>
      <c r="AE1160" t="s">
        <v>144</v>
      </c>
      <c r="AG1160">
        <v>3</v>
      </c>
      <c r="AH1160" t="s">
        <v>204</v>
      </c>
      <c r="AI1160" t="s">
        <v>205</v>
      </c>
      <c r="AJ1160" t="s">
        <v>131</v>
      </c>
      <c r="AK1160" t="s">
        <v>125</v>
      </c>
      <c r="AL1160">
        <v>4</v>
      </c>
      <c r="AM1160" t="s">
        <v>132</v>
      </c>
      <c r="AN1160" t="s">
        <v>125</v>
      </c>
      <c r="AO1160" t="s">
        <v>2798</v>
      </c>
      <c r="BP1160" t="s">
        <v>149</v>
      </c>
      <c r="BR1160" t="s">
        <v>135</v>
      </c>
      <c r="BS1160">
        <v>1</v>
      </c>
      <c r="BX1160" t="s">
        <v>136</v>
      </c>
      <c r="BZ1160" t="s">
        <v>137</v>
      </c>
    </row>
    <row r="1161" spans="1:78" x14ac:dyDescent="0.2">
      <c r="A1161" t="s">
        <v>119</v>
      </c>
      <c r="B1161" t="s">
        <v>120</v>
      </c>
      <c r="C1161" t="s">
        <v>2799</v>
      </c>
      <c r="D1161">
        <v>2</v>
      </c>
      <c r="E1161" t="s">
        <v>145</v>
      </c>
      <c r="F1161" t="s">
        <v>146</v>
      </c>
      <c r="G1161" t="s">
        <v>124</v>
      </c>
      <c r="H1161" t="s">
        <v>125</v>
      </c>
      <c r="I1161">
        <v>0</v>
      </c>
      <c r="J1161" t="s">
        <v>126</v>
      </c>
      <c r="K1161" t="s">
        <v>125</v>
      </c>
      <c r="L1161" t="s">
        <v>2800</v>
      </c>
      <c r="U1161" t="s">
        <v>149</v>
      </c>
      <c r="W1161" t="s">
        <v>135</v>
      </c>
      <c r="X1161">
        <v>3</v>
      </c>
      <c r="AC1161" t="s">
        <v>136</v>
      </c>
      <c r="AE1161" t="s">
        <v>137</v>
      </c>
    </row>
    <row r="1162" spans="1:78" hidden="1" x14ac:dyDescent="0.2">
      <c r="A1162" t="s">
        <v>119</v>
      </c>
      <c r="B1162" t="s">
        <v>120</v>
      </c>
      <c r="C1162" t="s">
        <v>2799</v>
      </c>
      <c r="D1162">
        <v>4</v>
      </c>
      <c r="E1162" t="s">
        <v>198</v>
      </c>
      <c r="F1162" t="s">
        <v>198</v>
      </c>
      <c r="G1162" t="s">
        <v>124</v>
      </c>
      <c r="H1162" t="s">
        <v>125</v>
      </c>
      <c r="I1162">
        <v>2</v>
      </c>
      <c r="J1162" t="s">
        <v>161</v>
      </c>
      <c r="K1162" t="s">
        <v>125</v>
      </c>
      <c r="L1162" t="s">
        <v>2801</v>
      </c>
      <c r="AE1162" t="s">
        <v>128</v>
      </c>
      <c r="AG1162">
        <v>3</v>
      </c>
      <c r="AH1162" t="s">
        <v>1526</v>
      </c>
      <c r="AI1162" t="s">
        <v>667</v>
      </c>
      <c r="AJ1162" t="s">
        <v>131</v>
      </c>
      <c r="AK1162" t="s">
        <v>125</v>
      </c>
      <c r="AL1162">
        <v>4</v>
      </c>
      <c r="AM1162" t="s">
        <v>132</v>
      </c>
      <c r="AN1162" t="s">
        <v>125</v>
      </c>
      <c r="AO1162" t="s">
        <v>2802</v>
      </c>
      <c r="BP1162" t="s">
        <v>149</v>
      </c>
      <c r="BR1162" t="s">
        <v>135</v>
      </c>
      <c r="BS1162">
        <v>1</v>
      </c>
      <c r="BX1162" t="s">
        <v>136</v>
      </c>
      <c r="BZ1162" t="s">
        <v>137</v>
      </c>
    </row>
    <row r="1163" spans="1:78" hidden="1" x14ac:dyDescent="0.2">
      <c r="A1163" t="s">
        <v>119</v>
      </c>
      <c r="B1163" t="s">
        <v>120</v>
      </c>
      <c r="C1163" t="s">
        <v>2803</v>
      </c>
      <c r="D1163">
        <v>17</v>
      </c>
      <c r="E1163" t="s">
        <v>2341</v>
      </c>
      <c r="F1163" t="s">
        <v>598</v>
      </c>
      <c r="G1163" t="s">
        <v>124</v>
      </c>
      <c r="H1163" t="s">
        <v>125</v>
      </c>
      <c r="I1163">
        <v>8</v>
      </c>
      <c r="J1163" t="s">
        <v>170</v>
      </c>
      <c r="K1163" t="s">
        <v>125</v>
      </c>
      <c r="L1163" t="s">
        <v>2804</v>
      </c>
      <c r="T1163" t="s">
        <v>154</v>
      </c>
      <c r="W1163" t="s">
        <v>135</v>
      </c>
      <c r="AC1163" t="s">
        <v>143</v>
      </c>
      <c r="AE1163" t="s">
        <v>144</v>
      </c>
      <c r="AG1163">
        <v>16</v>
      </c>
      <c r="AH1163" t="s">
        <v>145</v>
      </c>
      <c r="AI1163" t="s">
        <v>146</v>
      </c>
      <c r="AJ1163" t="s">
        <v>131</v>
      </c>
      <c r="AK1163" t="s">
        <v>125</v>
      </c>
      <c r="AL1163">
        <v>17</v>
      </c>
      <c r="AM1163" t="s">
        <v>132</v>
      </c>
      <c r="AN1163" t="s">
        <v>125</v>
      </c>
      <c r="AO1163" t="s">
        <v>2805</v>
      </c>
      <c r="BP1163" t="s">
        <v>149</v>
      </c>
      <c r="BR1163" t="s">
        <v>135</v>
      </c>
      <c r="BS1163">
        <v>3</v>
      </c>
      <c r="BX1163" t="s">
        <v>136</v>
      </c>
      <c r="BZ1163" t="s">
        <v>137</v>
      </c>
    </row>
    <row r="1164" spans="1:78" x14ac:dyDescent="0.2">
      <c r="A1164" t="s">
        <v>119</v>
      </c>
      <c r="B1164" t="s">
        <v>120</v>
      </c>
      <c r="C1164" t="s">
        <v>2806</v>
      </c>
      <c r="D1164">
        <v>1</v>
      </c>
      <c r="E1164" t="s">
        <v>370</v>
      </c>
      <c r="F1164" t="s">
        <v>140</v>
      </c>
      <c r="G1164" t="s">
        <v>124</v>
      </c>
      <c r="H1164" t="s">
        <v>125</v>
      </c>
      <c r="I1164">
        <v>0</v>
      </c>
      <c r="J1164" t="s">
        <v>126</v>
      </c>
      <c r="K1164" t="s">
        <v>125</v>
      </c>
      <c r="L1164" t="s">
        <v>2807</v>
      </c>
      <c r="U1164" t="s">
        <v>149</v>
      </c>
      <c r="W1164" t="s">
        <v>135</v>
      </c>
      <c r="X1164">
        <v>3</v>
      </c>
      <c r="AC1164" t="s">
        <v>136</v>
      </c>
      <c r="AE1164" t="s">
        <v>137</v>
      </c>
    </row>
    <row r="1165" spans="1:78" hidden="1" x14ac:dyDescent="0.2">
      <c r="A1165" t="s">
        <v>119</v>
      </c>
      <c r="B1165" t="s">
        <v>120</v>
      </c>
      <c r="C1165" t="s">
        <v>2806</v>
      </c>
      <c r="D1165">
        <v>2</v>
      </c>
      <c r="E1165" t="s">
        <v>202</v>
      </c>
      <c r="F1165" t="s">
        <v>202</v>
      </c>
      <c r="G1165" t="s">
        <v>124</v>
      </c>
      <c r="H1165" t="s">
        <v>125</v>
      </c>
      <c r="I1165">
        <v>1</v>
      </c>
      <c r="J1165" t="s">
        <v>264</v>
      </c>
      <c r="K1165" t="s">
        <v>125</v>
      </c>
      <c r="L1165" t="s">
        <v>2808</v>
      </c>
      <c r="AE1165" t="s">
        <v>128</v>
      </c>
    </row>
    <row r="1166" spans="1:78" x14ac:dyDescent="0.2">
      <c r="A1166" t="s">
        <v>119</v>
      </c>
      <c r="B1166" t="s">
        <v>120</v>
      </c>
      <c r="C1166" t="s">
        <v>2809</v>
      </c>
      <c r="D1166">
        <v>2</v>
      </c>
      <c r="E1166" t="s">
        <v>204</v>
      </c>
      <c r="F1166" t="s">
        <v>205</v>
      </c>
      <c r="G1166" t="s">
        <v>124</v>
      </c>
      <c r="H1166" t="s">
        <v>125</v>
      </c>
      <c r="I1166">
        <v>0</v>
      </c>
      <c r="J1166" t="s">
        <v>126</v>
      </c>
      <c r="K1166" t="s">
        <v>125</v>
      </c>
      <c r="L1166" t="s">
        <v>2810</v>
      </c>
      <c r="U1166" t="s">
        <v>149</v>
      </c>
      <c r="W1166" t="s">
        <v>135</v>
      </c>
      <c r="X1166">
        <v>1</v>
      </c>
      <c r="AC1166" t="s">
        <v>136</v>
      </c>
      <c r="AE1166" t="s">
        <v>137</v>
      </c>
    </row>
    <row r="1167" spans="1:78" x14ac:dyDescent="0.2">
      <c r="A1167" t="s">
        <v>119</v>
      </c>
      <c r="B1167" t="s">
        <v>120</v>
      </c>
      <c r="C1167" t="s">
        <v>2809</v>
      </c>
      <c r="D1167">
        <v>11</v>
      </c>
      <c r="E1167" t="s">
        <v>414</v>
      </c>
      <c r="F1167" t="s">
        <v>415</v>
      </c>
      <c r="G1167" t="s">
        <v>124</v>
      </c>
      <c r="H1167" t="s">
        <v>125</v>
      </c>
      <c r="I1167">
        <v>2</v>
      </c>
      <c r="J1167" t="s">
        <v>161</v>
      </c>
      <c r="K1167" t="s">
        <v>125</v>
      </c>
      <c r="L1167" t="s">
        <v>2811</v>
      </c>
      <c r="U1167" t="s">
        <v>149</v>
      </c>
      <c r="W1167" t="s">
        <v>135</v>
      </c>
      <c r="X1167">
        <v>1</v>
      </c>
      <c r="AC1167" t="s">
        <v>136</v>
      </c>
      <c r="AE1167" t="s">
        <v>137</v>
      </c>
    </row>
    <row r="1168" spans="1:78" x14ac:dyDescent="0.2">
      <c r="A1168" t="s">
        <v>119</v>
      </c>
      <c r="B1168" t="s">
        <v>120</v>
      </c>
      <c r="C1168" t="s">
        <v>2809</v>
      </c>
      <c r="D1168">
        <v>14</v>
      </c>
      <c r="E1168" t="s">
        <v>1708</v>
      </c>
      <c r="F1168" t="s">
        <v>773</v>
      </c>
      <c r="G1168" t="s">
        <v>124</v>
      </c>
      <c r="H1168" t="s">
        <v>125</v>
      </c>
      <c r="I1168">
        <v>11</v>
      </c>
      <c r="J1168" t="s">
        <v>264</v>
      </c>
      <c r="K1168" t="s">
        <v>125</v>
      </c>
      <c r="L1168" t="s">
        <v>2812</v>
      </c>
      <c r="U1168" t="s">
        <v>149</v>
      </c>
      <c r="W1168" t="s">
        <v>135</v>
      </c>
      <c r="X1168">
        <v>3</v>
      </c>
      <c r="AC1168" t="s">
        <v>136</v>
      </c>
      <c r="AE1168" t="s">
        <v>137</v>
      </c>
    </row>
    <row r="1169" spans="1:78" x14ac:dyDescent="0.2">
      <c r="A1169" t="s">
        <v>119</v>
      </c>
      <c r="B1169" t="s">
        <v>120</v>
      </c>
      <c r="C1169" t="s">
        <v>2813</v>
      </c>
      <c r="D1169">
        <v>5</v>
      </c>
      <c r="E1169" t="s">
        <v>2814</v>
      </c>
      <c r="F1169" t="s">
        <v>257</v>
      </c>
      <c r="G1169" t="s">
        <v>124</v>
      </c>
      <c r="H1169" t="s">
        <v>125</v>
      </c>
      <c r="I1169">
        <v>3</v>
      </c>
      <c r="J1169" t="s">
        <v>170</v>
      </c>
      <c r="K1169" t="s">
        <v>125</v>
      </c>
      <c r="L1169" t="s">
        <v>2815</v>
      </c>
      <c r="U1169" t="s">
        <v>149</v>
      </c>
      <c r="W1169" t="s">
        <v>135</v>
      </c>
      <c r="X1169">
        <v>3</v>
      </c>
      <c r="AC1169" t="s">
        <v>136</v>
      </c>
      <c r="AE1169" t="s">
        <v>137</v>
      </c>
    </row>
    <row r="1170" spans="1:78" x14ac:dyDescent="0.2">
      <c r="A1170" t="s">
        <v>119</v>
      </c>
      <c r="B1170" t="s">
        <v>120</v>
      </c>
      <c r="C1170" t="s">
        <v>2816</v>
      </c>
      <c r="D1170">
        <v>3</v>
      </c>
      <c r="E1170" t="s">
        <v>145</v>
      </c>
      <c r="F1170" t="s">
        <v>146</v>
      </c>
      <c r="G1170" t="s">
        <v>124</v>
      </c>
      <c r="H1170" t="s">
        <v>125</v>
      </c>
      <c r="I1170">
        <v>0</v>
      </c>
      <c r="J1170" t="s">
        <v>126</v>
      </c>
      <c r="K1170" t="s">
        <v>125</v>
      </c>
      <c r="L1170" t="s">
        <v>2817</v>
      </c>
      <c r="U1170" t="s">
        <v>149</v>
      </c>
      <c r="W1170" t="s">
        <v>135</v>
      </c>
      <c r="X1170">
        <v>3</v>
      </c>
      <c r="AC1170" t="s">
        <v>136</v>
      </c>
      <c r="AE1170" t="s">
        <v>137</v>
      </c>
    </row>
    <row r="1171" spans="1:78" x14ac:dyDescent="0.2">
      <c r="A1171" t="s">
        <v>119</v>
      </c>
      <c r="B1171" t="s">
        <v>120</v>
      </c>
      <c r="C1171" t="s">
        <v>2818</v>
      </c>
      <c r="D1171">
        <v>4</v>
      </c>
      <c r="E1171" t="s">
        <v>370</v>
      </c>
      <c r="F1171" t="s">
        <v>140</v>
      </c>
      <c r="G1171" t="s">
        <v>124</v>
      </c>
      <c r="H1171" t="s">
        <v>125</v>
      </c>
      <c r="I1171">
        <v>0</v>
      </c>
      <c r="J1171" t="s">
        <v>126</v>
      </c>
      <c r="K1171" t="s">
        <v>125</v>
      </c>
      <c r="L1171" t="s">
        <v>2819</v>
      </c>
      <c r="U1171" t="s">
        <v>149</v>
      </c>
      <c r="W1171" t="s">
        <v>135</v>
      </c>
      <c r="X1171">
        <v>3</v>
      </c>
      <c r="AC1171" t="s">
        <v>136</v>
      </c>
      <c r="AE1171" t="s">
        <v>137</v>
      </c>
    </row>
    <row r="1172" spans="1:78" x14ac:dyDescent="0.2">
      <c r="A1172" t="s">
        <v>119</v>
      </c>
      <c r="B1172" t="s">
        <v>120</v>
      </c>
      <c r="C1172" t="s">
        <v>2820</v>
      </c>
      <c r="D1172">
        <v>4</v>
      </c>
      <c r="E1172" t="s">
        <v>2821</v>
      </c>
      <c r="F1172" t="s">
        <v>534</v>
      </c>
      <c r="G1172" t="s">
        <v>124</v>
      </c>
      <c r="H1172" t="s">
        <v>125</v>
      </c>
      <c r="I1172">
        <v>0</v>
      </c>
      <c r="J1172" t="s">
        <v>126</v>
      </c>
      <c r="K1172" t="s">
        <v>125</v>
      </c>
      <c r="L1172" t="s">
        <v>2822</v>
      </c>
      <c r="U1172" t="s">
        <v>149</v>
      </c>
      <c r="W1172" t="s">
        <v>135</v>
      </c>
      <c r="X1172">
        <v>1</v>
      </c>
      <c r="AC1172" t="s">
        <v>136</v>
      </c>
      <c r="AE1172" t="s">
        <v>137</v>
      </c>
    </row>
    <row r="1173" spans="1:78" x14ac:dyDescent="0.2">
      <c r="A1173" t="s">
        <v>119</v>
      </c>
      <c r="B1173" t="s">
        <v>120</v>
      </c>
      <c r="C1173" t="s">
        <v>2823</v>
      </c>
      <c r="D1173">
        <v>4</v>
      </c>
      <c r="E1173" t="s">
        <v>1708</v>
      </c>
      <c r="F1173" t="s">
        <v>773</v>
      </c>
      <c r="G1173" t="s">
        <v>124</v>
      </c>
      <c r="H1173" t="s">
        <v>125</v>
      </c>
      <c r="I1173">
        <v>0</v>
      </c>
      <c r="J1173" t="s">
        <v>126</v>
      </c>
      <c r="K1173" t="s">
        <v>125</v>
      </c>
      <c r="L1173" t="s">
        <v>2824</v>
      </c>
      <c r="U1173" t="s">
        <v>149</v>
      </c>
      <c r="W1173" t="s">
        <v>135</v>
      </c>
      <c r="X1173">
        <v>3</v>
      </c>
      <c r="AC1173" t="s">
        <v>136</v>
      </c>
      <c r="AE1173" t="s">
        <v>137</v>
      </c>
    </row>
    <row r="1174" spans="1:78" hidden="1" x14ac:dyDescent="0.2">
      <c r="A1174" t="s">
        <v>119</v>
      </c>
      <c r="B1174" t="s">
        <v>120</v>
      </c>
      <c r="C1174" t="s">
        <v>2825</v>
      </c>
      <c r="D1174">
        <v>3</v>
      </c>
      <c r="E1174" t="s">
        <v>2826</v>
      </c>
      <c r="F1174" t="s">
        <v>257</v>
      </c>
      <c r="G1174" t="s">
        <v>124</v>
      </c>
      <c r="H1174" t="s">
        <v>125</v>
      </c>
      <c r="I1174">
        <v>0</v>
      </c>
      <c r="J1174" t="s">
        <v>126</v>
      </c>
      <c r="K1174" t="s">
        <v>125</v>
      </c>
      <c r="L1174" t="s">
        <v>2827</v>
      </c>
      <c r="T1174" t="s">
        <v>142</v>
      </c>
      <c r="W1174" t="s">
        <v>135</v>
      </c>
      <c r="AC1174" t="s">
        <v>143</v>
      </c>
      <c r="AE1174" t="s">
        <v>144</v>
      </c>
      <c r="AG1174">
        <v>2</v>
      </c>
      <c r="AH1174" t="s">
        <v>204</v>
      </c>
      <c r="AI1174" t="s">
        <v>205</v>
      </c>
      <c r="AJ1174" t="s">
        <v>131</v>
      </c>
      <c r="AK1174" t="s">
        <v>125</v>
      </c>
      <c r="AL1174">
        <v>3</v>
      </c>
      <c r="AM1174" t="s">
        <v>132</v>
      </c>
      <c r="AN1174" t="s">
        <v>125</v>
      </c>
      <c r="AO1174" t="s">
        <v>2828</v>
      </c>
      <c r="BP1174" t="s">
        <v>149</v>
      </c>
      <c r="BR1174" t="s">
        <v>135</v>
      </c>
      <c r="BS1174">
        <v>1</v>
      </c>
      <c r="BX1174" t="s">
        <v>136</v>
      </c>
      <c r="BZ1174" t="s">
        <v>137</v>
      </c>
    </row>
    <row r="1175" spans="1:78" x14ac:dyDescent="0.2">
      <c r="A1175" t="s">
        <v>119</v>
      </c>
      <c r="B1175" t="s">
        <v>120</v>
      </c>
      <c r="C1175" t="s">
        <v>2825</v>
      </c>
      <c r="D1175">
        <v>7</v>
      </c>
      <c r="E1175" t="s">
        <v>2829</v>
      </c>
      <c r="F1175" t="s">
        <v>602</v>
      </c>
      <c r="G1175" t="s">
        <v>124</v>
      </c>
      <c r="H1175" t="s">
        <v>125</v>
      </c>
      <c r="I1175">
        <v>3</v>
      </c>
      <c r="J1175" t="s">
        <v>268</v>
      </c>
      <c r="K1175" t="s">
        <v>125</v>
      </c>
      <c r="L1175" t="s">
        <v>2830</v>
      </c>
      <c r="U1175" t="s">
        <v>149</v>
      </c>
      <c r="W1175" t="s">
        <v>135</v>
      </c>
      <c r="X1175">
        <v>3</v>
      </c>
      <c r="AC1175" t="s">
        <v>136</v>
      </c>
      <c r="AE1175" t="s">
        <v>137</v>
      </c>
    </row>
    <row r="1176" spans="1:78" hidden="1" x14ac:dyDescent="0.2">
      <c r="A1176" t="s">
        <v>119</v>
      </c>
      <c r="B1176" t="s">
        <v>120</v>
      </c>
      <c r="C1176" t="s">
        <v>2831</v>
      </c>
      <c r="D1176">
        <v>2</v>
      </c>
      <c r="E1176" t="s">
        <v>888</v>
      </c>
      <c r="F1176" t="s">
        <v>140</v>
      </c>
      <c r="G1176" t="s">
        <v>124</v>
      </c>
      <c r="H1176" t="s">
        <v>125</v>
      </c>
      <c r="I1176">
        <v>0</v>
      </c>
      <c r="J1176" t="s">
        <v>126</v>
      </c>
      <c r="K1176" t="s">
        <v>125</v>
      </c>
      <c r="L1176" t="s">
        <v>2832</v>
      </c>
      <c r="AG1176">
        <v>1</v>
      </c>
      <c r="AH1176" t="s">
        <v>1515</v>
      </c>
      <c r="AI1176" t="s">
        <v>572</v>
      </c>
      <c r="AJ1176" t="s">
        <v>131</v>
      </c>
      <c r="AK1176" t="s">
        <v>125</v>
      </c>
      <c r="AL1176">
        <v>2</v>
      </c>
      <c r="AM1176" t="s">
        <v>132</v>
      </c>
      <c r="AN1176" t="s">
        <v>125</v>
      </c>
      <c r="AO1176" t="s">
        <v>2833</v>
      </c>
      <c r="BP1176" t="s">
        <v>149</v>
      </c>
      <c r="BR1176" t="s">
        <v>135</v>
      </c>
      <c r="BS1176">
        <v>2</v>
      </c>
      <c r="BX1176" t="s">
        <v>136</v>
      </c>
      <c r="BZ1176" t="s">
        <v>137</v>
      </c>
    </row>
    <row r="1177" spans="1:78" x14ac:dyDescent="0.2">
      <c r="A1177" t="s">
        <v>119</v>
      </c>
      <c r="B1177" t="s">
        <v>120</v>
      </c>
      <c r="C1177" t="s">
        <v>2834</v>
      </c>
      <c r="D1177">
        <v>2</v>
      </c>
      <c r="E1177" t="s">
        <v>343</v>
      </c>
      <c r="F1177" t="s">
        <v>311</v>
      </c>
      <c r="G1177" t="s">
        <v>124</v>
      </c>
      <c r="H1177" t="s">
        <v>125</v>
      </c>
      <c r="I1177">
        <v>0</v>
      </c>
      <c r="J1177" t="s">
        <v>126</v>
      </c>
      <c r="K1177" t="s">
        <v>125</v>
      </c>
      <c r="L1177" t="s">
        <v>2835</v>
      </c>
      <c r="U1177" t="s">
        <v>149</v>
      </c>
      <c r="W1177" t="s">
        <v>135</v>
      </c>
      <c r="X1177">
        <v>1</v>
      </c>
      <c r="AC1177" t="s">
        <v>136</v>
      </c>
      <c r="AE1177" t="s">
        <v>137</v>
      </c>
    </row>
    <row r="1178" spans="1:78" hidden="1" x14ac:dyDescent="0.2">
      <c r="A1178" t="s">
        <v>119</v>
      </c>
      <c r="B1178" t="s">
        <v>120</v>
      </c>
      <c r="C1178" t="s">
        <v>2836</v>
      </c>
      <c r="D1178">
        <v>6</v>
      </c>
      <c r="E1178" t="s">
        <v>267</v>
      </c>
      <c r="F1178" t="s">
        <v>140</v>
      </c>
      <c r="G1178" t="s">
        <v>124</v>
      </c>
      <c r="H1178" t="s">
        <v>125</v>
      </c>
      <c r="I1178">
        <v>0</v>
      </c>
      <c r="J1178" t="s">
        <v>126</v>
      </c>
      <c r="K1178" t="s">
        <v>125</v>
      </c>
      <c r="L1178" t="s">
        <v>2837</v>
      </c>
      <c r="T1178" t="s">
        <v>154</v>
      </c>
    </row>
    <row r="1179" spans="1:78" x14ac:dyDescent="0.2">
      <c r="A1179" t="s">
        <v>119</v>
      </c>
      <c r="B1179" t="s">
        <v>120</v>
      </c>
      <c r="C1179" t="s">
        <v>2836</v>
      </c>
      <c r="D1179">
        <v>10</v>
      </c>
      <c r="E1179" t="s">
        <v>343</v>
      </c>
      <c r="F1179" t="s">
        <v>311</v>
      </c>
      <c r="G1179" t="s">
        <v>124</v>
      </c>
      <c r="H1179" t="s">
        <v>125</v>
      </c>
      <c r="I1179">
        <v>6</v>
      </c>
      <c r="J1179" t="s">
        <v>268</v>
      </c>
      <c r="K1179" t="s">
        <v>125</v>
      </c>
      <c r="L1179" t="s">
        <v>2838</v>
      </c>
      <c r="U1179" t="s">
        <v>149</v>
      </c>
      <c r="W1179" t="s">
        <v>135</v>
      </c>
      <c r="X1179">
        <v>1</v>
      </c>
      <c r="AC1179" t="s">
        <v>136</v>
      </c>
      <c r="AE1179" t="s">
        <v>137</v>
      </c>
    </row>
    <row r="1180" spans="1:78" x14ac:dyDescent="0.2">
      <c r="A1180" t="s">
        <v>119</v>
      </c>
      <c r="B1180" t="s">
        <v>120</v>
      </c>
      <c r="C1180" t="s">
        <v>2836</v>
      </c>
      <c r="D1180">
        <v>12</v>
      </c>
      <c r="E1180" t="s">
        <v>380</v>
      </c>
      <c r="F1180" t="s">
        <v>146</v>
      </c>
      <c r="G1180" t="s">
        <v>124</v>
      </c>
      <c r="H1180" t="s">
        <v>125</v>
      </c>
      <c r="I1180">
        <v>10</v>
      </c>
      <c r="J1180" t="s">
        <v>264</v>
      </c>
      <c r="K1180" t="s">
        <v>125</v>
      </c>
      <c r="L1180" t="s">
        <v>2839</v>
      </c>
      <c r="U1180" t="s">
        <v>309</v>
      </c>
      <c r="W1180" t="s">
        <v>135</v>
      </c>
      <c r="X1180">
        <v>3</v>
      </c>
      <c r="AC1180" t="s">
        <v>136</v>
      </c>
      <c r="AE1180" t="s">
        <v>137</v>
      </c>
    </row>
    <row r="1181" spans="1:78" x14ac:dyDescent="0.2">
      <c r="A1181" t="s">
        <v>119</v>
      </c>
      <c r="B1181" t="s">
        <v>120</v>
      </c>
      <c r="C1181" t="s">
        <v>2840</v>
      </c>
      <c r="D1181">
        <v>2</v>
      </c>
      <c r="E1181" t="s">
        <v>145</v>
      </c>
      <c r="F1181" t="s">
        <v>146</v>
      </c>
      <c r="G1181" t="s">
        <v>124</v>
      </c>
      <c r="H1181" t="s">
        <v>125</v>
      </c>
      <c r="I1181">
        <v>0</v>
      </c>
      <c r="J1181" t="s">
        <v>126</v>
      </c>
      <c r="K1181" t="s">
        <v>125</v>
      </c>
      <c r="L1181" t="s">
        <v>2841</v>
      </c>
      <c r="U1181" t="s">
        <v>149</v>
      </c>
      <c r="W1181" t="s">
        <v>135</v>
      </c>
      <c r="X1181">
        <v>3</v>
      </c>
      <c r="AC1181" t="s">
        <v>136</v>
      </c>
      <c r="AE1181" t="s">
        <v>137</v>
      </c>
    </row>
    <row r="1182" spans="1:78" hidden="1" x14ac:dyDescent="0.2">
      <c r="A1182" t="s">
        <v>119</v>
      </c>
      <c r="B1182" t="s">
        <v>120</v>
      </c>
      <c r="C1182" t="s">
        <v>2842</v>
      </c>
      <c r="D1182">
        <v>2</v>
      </c>
      <c r="E1182" t="s">
        <v>2843</v>
      </c>
      <c r="F1182" t="s">
        <v>811</v>
      </c>
      <c r="G1182" t="s">
        <v>124</v>
      </c>
      <c r="H1182" t="s">
        <v>125</v>
      </c>
      <c r="I1182">
        <v>0</v>
      </c>
      <c r="J1182" t="s">
        <v>126</v>
      </c>
      <c r="K1182" t="s">
        <v>125</v>
      </c>
      <c r="L1182" t="s">
        <v>2844</v>
      </c>
      <c r="T1182" t="s">
        <v>154</v>
      </c>
      <c r="W1182" t="s">
        <v>135</v>
      </c>
      <c r="AC1182" t="s">
        <v>143</v>
      </c>
      <c r="AE1182" t="s">
        <v>144</v>
      </c>
      <c r="AG1182">
        <v>1</v>
      </c>
      <c r="AH1182" t="s">
        <v>145</v>
      </c>
      <c r="AI1182" t="s">
        <v>146</v>
      </c>
      <c r="AJ1182" t="s">
        <v>131</v>
      </c>
      <c r="AK1182" t="s">
        <v>125</v>
      </c>
      <c r="AL1182">
        <v>2</v>
      </c>
      <c r="AM1182" t="s">
        <v>132</v>
      </c>
      <c r="AN1182" t="s">
        <v>125</v>
      </c>
      <c r="AO1182" t="s">
        <v>2845</v>
      </c>
      <c r="BP1182" t="s">
        <v>149</v>
      </c>
      <c r="BR1182" t="s">
        <v>135</v>
      </c>
      <c r="BS1182">
        <v>3</v>
      </c>
      <c r="BX1182" t="s">
        <v>136</v>
      </c>
      <c r="BZ1182" t="s">
        <v>137</v>
      </c>
    </row>
    <row r="1183" spans="1:78" x14ac:dyDescent="0.2">
      <c r="A1183" t="s">
        <v>119</v>
      </c>
      <c r="B1183" t="s">
        <v>120</v>
      </c>
      <c r="C1183" t="s">
        <v>2846</v>
      </c>
      <c r="D1183">
        <v>2</v>
      </c>
      <c r="E1183" t="s">
        <v>1825</v>
      </c>
      <c r="F1183" t="s">
        <v>198</v>
      </c>
      <c r="G1183" t="s">
        <v>124</v>
      </c>
      <c r="H1183" t="s">
        <v>125</v>
      </c>
      <c r="I1183">
        <v>0</v>
      </c>
      <c r="J1183" t="s">
        <v>126</v>
      </c>
      <c r="K1183" t="s">
        <v>125</v>
      </c>
      <c r="L1183" t="s">
        <v>2847</v>
      </c>
      <c r="U1183" t="s">
        <v>149</v>
      </c>
      <c r="W1183" t="s">
        <v>135</v>
      </c>
      <c r="X1183">
        <v>2</v>
      </c>
      <c r="AC1183" t="s">
        <v>136</v>
      </c>
      <c r="AE1183" t="s">
        <v>137</v>
      </c>
    </row>
    <row r="1184" spans="1:78" hidden="1" x14ac:dyDescent="0.2">
      <c r="A1184" t="s">
        <v>119</v>
      </c>
      <c r="B1184" t="s">
        <v>120</v>
      </c>
      <c r="C1184" t="s">
        <v>2846</v>
      </c>
      <c r="D1184">
        <v>3</v>
      </c>
      <c r="E1184" t="s">
        <v>2848</v>
      </c>
      <c r="F1184" t="s">
        <v>2848</v>
      </c>
      <c r="G1184" t="s">
        <v>124</v>
      </c>
      <c r="H1184" t="s">
        <v>125</v>
      </c>
      <c r="I1184">
        <v>8</v>
      </c>
      <c r="J1184" t="s">
        <v>264</v>
      </c>
      <c r="K1184" t="s">
        <v>125</v>
      </c>
      <c r="L1184" t="s">
        <v>2849</v>
      </c>
      <c r="T1184" t="s">
        <v>154</v>
      </c>
      <c r="W1184" t="s">
        <v>155</v>
      </c>
    </row>
    <row r="1185" spans="1:78" x14ac:dyDescent="0.2">
      <c r="A1185" t="s">
        <v>119</v>
      </c>
      <c r="B1185" t="s">
        <v>120</v>
      </c>
      <c r="C1185" t="s">
        <v>2850</v>
      </c>
      <c r="D1185">
        <v>6</v>
      </c>
      <c r="E1185" t="s">
        <v>145</v>
      </c>
      <c r="F1185" t="s">
        <v>146</v>
      </c>
      <c r="G1185" t="s">
        <v>124</v>
      </c>
      <c r="H1185" t="s">
        <v>125</v>
      </c>
      <c r="I1185">
        <v>0</v>
      </c>
      <c r="J1185" t="s">
        <v>126</v>
      </c>
      <c r="K1185" t="s">
        <v>125</v>
      </c>
      <c r="L1185" t="s">
        <v>2851</v>
      </c>
      <c r="U1185" t="s">
        <v>149</v>
      </c>
      <c r="W1185" t="s">
        <v>135</v>
      </c>
      <c r="X1185">
        <v>3</v>
      </c>
      <c r="AC1185" t="s">
        <v>136</v>
      </c>
      <c r="AE1185" t="s">
        <v>137</v>
      </c>
    </row>
    <row r="1186" spans="1:78" hidden="1" x14ac:dyDescent="0.2">
      <c r="A1186" t="s">
        <v>119</v>
      </c>
      <c r="B1186" t="s">
        <v>120</v>
      </c>
      <c r="C1186" t="s">
        <v>2852</v>
      </c>
      <c r="D1186">
        <v>2</v>
      </c>
      <c r="E1186" t="s">
        <v>140</v>
      </c>
      <c r="F1186" t="s">
        <v>140</v>
      </c>
      <c r="G1186" t="s">
        <v>124</v>
      </c>
      <c r="H1186" t="s">
        <v>125</v>
      </c>
      <c r="I1186">
        <v>0</v>
      </c>
      <c r="J1186" t="s">
        <v>126</v>
      </c>
      <c r="K1186" t="s">
        <v>125</v>
      </c>
      <c r="L1186" t="s">
        <v>2853</v>
      </c>
      <c r="AE1186" t="s">
        <v>128</v>
      </c>
      <c r="AG1186">
        <v>1</v>
      </c>
      <c r="AH1186" t="s">
        <v>666</v>
      </c>
      <c r="AI1186" t="s">
        <v>667</v>
      </c>
      <c r="AJ1186" t="s">
        <v>131</v>
      </c>
      <c r="AK1186" t="s">
        <v>125</v>
      </c>
      <c r="AL1186">
        <v>2</v>
      </c>
      <c r="AM1186" t="s">
        <v>132</v>
      </c>
      <c r="AN1186" t="s">
        <v>125</v>
      </c>
      <c r="AO1186" t="s">
        <v>2854</v>
      </c>
      <c r="BP1186" t="s">
        <v>149</v>
      </c>
      <c r="BR1186" t="s">
        <v>135</v>
      </c>
      <c r="BS1186">
        <v>1</v>
      </c>
      <c r="BX1186" t="s">
        <v>209</v>
      </c>
      <c r="BZ1186" t="s">
        <v>137</v>
      </c>
    </row>
    <row r="1187" spans="1:78" hidden="1" x14ac:dyDescent="0.2">
      <c r="A1187" t="s">
        <v>119</v>
      </c>
      <c r="B1187" t="s">
        <v>120</v>
      </c>
      <c r="C1187" t="s">
        <v>2855</v>
      </c>
      <c r="D1187">
        <v>1</v>
      </c>
      <c r="E1187" t="s">
        <v>920</v>
      </c>
      <c r="F1187" t="s">
        <v>194</v>
      </c>
      <c r="G1187" t="s">
        <v>124</v>
      </c>
      <c r="H1187" t="s">
        <v>125</v>
      </c>
      <c r="I1187">
        <v>0</v>
      </c>
      <c r="J1187" t="s">
        <v>126</v>
      </c>
      <c r="K1187" t="s">
        <v>125</v>
      </c>
      <c r="L1187" t="s">
        <v>2856</v>
      </c>
      <c r="T1187" t="s">
        <v>154</v>
      </c>
      <c r="W1187" t="s">
        <v>155</v>
      </c>
    </row>
    <row r="1188" spans="1:78" x14ac:dyDescent="0.2">
      <c r="A1188" t="s">
        <v>119</v>
      </c>
      <c r="B1188" t="s">
        <v>120</v>
      </c>
      <c r="C1188" t="s">
        <v>2857</v>
      </c>
      <c r="D1188">
        <v>4</v>
      </c>
      <c r="E1188" t="s">
        <v>457</v>
      </c>
      <c r="F1188" t="s">
        <v>458</v>
      </c>
      <c r="G1188" t="s">
        <v>124</v>
      </c>
      <c r="H1188" t="s">
        <v>125</v>
      </c>
      <c r="I1188">
        <v>1</v>
      </c>
      <c r="J1188" t="s">
        <v>161</v>
      </c>
      <c r="K1188" t="s">
        <v>125</v>
      </c>
      <c r="L1188" t="s">
        <v>2858</v>
      </c>
      <c r="U1188" t="s">
        <v>149</v>
      </c>
      <c r="W1188" t="s">
        <v>135</v>
      </c>
      <c r="X1188">
        <v>3</v>
      </c>
      <c r="AC1188" t="s">
        <v>136</v>
      </c>
      <c r="AE1188" t="s">
        <v>137</v>
      </c>
    </row>
    <row r="1189" spans="1:78" hidden="1" x14ac:dyDescent="0.2">
      <c r="A1189" t="s">
        <v>119</v>
      </c>
      <c r="B1189" t="s">
        <v>120</v>
      </c>
      <c r="C1189" t="s">
        <v>2859</v>
      </c>
      <c r="D1189">
        <v>8</v>
      </c>
      <c r="E1189" t="s">
        <v>1886</v>
      </c>
      <c r="F1189" t="s">
        <v>1886</v>
      </c>
      <c r="G1189" t="s">
        <v>124</v>
      </c>
      <c r="H1189" t="s">
        <v>125</v>
      </c>
      <c r="I1189">
        <v>0</v>
      </c>
      <c r="J1189" t="s">
        <v>126</v>
      </c>
      <c r="K1189" t="s">
        <v>125</v>
      </c>
      <c r="L1189" t="s">
        <v>2860</v>
      </c>
      <c r="AE1189" t="s">
        <v>128</v>
      </c>
      <c r="AG1189">
        <v>7</v>
      </c>
      <c r="AH1189" t="s">
        <v>375</v>
      </c>
      <c r="AI1189" t="s">
        <v>130</v>
      </c>
      <c r="AJ1189" t="s">
        <v>131</v>
      </c>
      <c r="AK1189" t="s">
        <v>125</v>
      </c>
      <c r="AL1189">
        <v>8</v>
      </c>
      <c r="AM1189" t="s">
        <v>132</v>
      </c>
      <c r="AN1189" t="s">
        <v>125</v>
      </c>
      <c r="AO1189" t="s">
        <v>2861</v>
      </c>
      <c r="BP1189" t="s">
        <v>149</v>
      </c>
      <c r="BR1189" t="s">
        <v>135</v>
      </c>
      <c r="BS1189">
        <v>2</v>
      </c>
      <c r="BX1189" t="s">
        <v>136</v>
      </c>
      <c r="BZ1189" t="s">
        <v>137</v>
      </c>
    </row>
    <row r="1190" spans="1:78" hidden="1" x14ac:dyDescent="0.2">
      <c r="A1190" t="s">
        <v>119</v>
      </c>
      <c r="B1190" t="s">
        <v>120</v>
      </c>
      <c r="C1190" t="s">
        <v>2862</v>
      </c>
      <c r="D1190">
        <v>5</v>
      </c>
      <c r="E1190" t="s">
        <v>2863</v>
      </c>
      <c r="F1190" t="s">
        <v>2863</v>
      </c>
      <c r="G1190" t="s">
        <v>124</v>
      </c>
      <c r="H1190" t="s">
        <v>125</v>
      </c>
      <c r="I1190">
        <v>0</v>
      </c>
      <c r="J1190" t="s">
        <v>126</v>
      </c>
      <c r="K1190" t="s">
        <v>125</v>
      </c>
      <c r="L1190" t="s">
        <v>2864</v>
      </c>
      <c r="AE1190" t="s">
        <v>128</v>
      </c>
      <c r="AG1190">
        <v>4</v>
      </c>
      <c r="AH1190" t="s">
        <v>375</v>
      </c>
      <c r="AI1190" t="s">
        <v>130</v>
      </c>
      <c r="AJ1190" t="s">
        <v>131</v>
      </c>
      <c r="AK1190" t="s">
        <v>125</v>
      </c>
      <c r="AL1190">
        <v>5</v>
      </c>
      <c r="AM1190" t="s">
        <v>132</v>
      </c>
      <c r="AN1190" t="s">
        <v>125</v>
      </c>
      <c r="AO1190" t="s">
        <v>2865</v>
      </c>
      <c r="BP1190" t="s">
        <v>149</v>
      </c>
      <c r="BR1190" t="s">
        <v>135</v>
      </c>
      <c r="BS1190">
        <v>2</v>
      </c>
      <c r="BX1190" t="s">
        <v>136</v>
      </c>
      <c r="BZ1190" t="s">
        <v>137</v>
      </c>
    </row>
    <row r="1191" spans="1:78" x14ac:dyDescent="0.2">
      <c r="A1191" t="s">
        <v>119</v>
      </c>
      <c r="B1191" t="s">
        <v>120</v>
      </c>
      <c r="C1191" t="s">
        <v>2866</v>
      </c>
      <c r="D1191">
        <v>4</v>
      </c>
      <c r="E1191" t="s">
        <v>1903</v>
      </c>
      <c r="F1191" t="s">
        <v>1903</v>
      </c>
      <c r="G1191" t="s">
        <v>124</v>
      </c>
      <c r="H1191" t="s">
        <v>125</v>
      </c>
      <c r="I1191">
        <v>0</v>
      </c>
      <c r="J1191" t="s">
        <v>126</v>
      </c>
      <c r="K1191" t="s">
        <v>125</v>
      </c>
      <c r="L1191" t="s">
        <v>2867</v>
      </c>
      <c r="U1191" t="s">
        <v>149</v>
      </c>
      <c r="W1191" t="s">
        <v>135</v>
      </c>
      <c r="X1191">
        <v>1</v>
      </c>
      <c r="AC1191" t="s">
        <v>136</v>
      </c>
      <c r="AE1191" t="s">
        <v>137</v>
      </c>
    </row>
    <row r="1192" spans="1:78" x14ac:dyDescent="0.2">
      <c r="A1192" t="s">
        <v>119</v>
      </c>
      <c r="B1192" t="s">
        <v>120</v>
      </c>
      <c r="C1192" t="s">
        <v>2868</v>
      </c>
      <c r="D1192">
        <v>1</v>
      </c>
      <c r="E1192" t="s">
        <v>201</v>
      </c>
      <c r="F1192" t="s">
        <v>202</v>
      </c>
      <c r="G1192" t="s">
        <v>124</v>
      </c>
      <c r="H1192" t="s">
        <v>125</v>
      </c>
      <c r="I1192">
        <v>11</v>
      </c>
      <c r="J1192" t="s">
        <v>210</v>
      </c>
      <c r="K1192" t="s">
        <v>125</v>
      </c>
      <c r="L1192" t="s">
        <v>2869</v>
      </c>
      <c r="U1192" t="s">
        <v>149</v>
      </c>
      <c r="W1192" t="s">
        <v>135</v>
      </c>
      <c r="X1192">
        <v>1</v>
      </c>
      <c r="AC1192" t="s">
        <v>136</v>
      </c>
      <c r="AE1192" t="s">
        <v>137</v>
      </c>
    </row>
    <row r="1193" spans="1:78" x14ac:dyDescent="0.2">
      <c r="A1193" t="s">
        <v>119</v>
      </c>
      <c r="B1193" t="s">
        <v>120</v>
      </c>
      <c r="C1193" t="s">
        <v>2868</v>
      </c>
      <c r="D1193">
        <v>4</v>
      </c>
      <c r="E1193" t="s">
        <v>546</v>
      </c>
      <c r="F1193" t="s">
        <v>283</v>
      </c>
      <c r="G1193" t="s">
        <v>124</v>
      </c>
      <c r="H1193" t="s">
        <v>125</v>
      </c>
      <c r="I1193">
        <v>1</v>
      </c>
      <c r="J1193" t="s">
        <v>264</v>
      </c>
      <c r="K1193" t="s">
        <v>125</v>
      </c>
      <c r="L1193" t="s">
        <v>2870</v>
      </c>
      <c r="U1193" t="s">
        <v>149</v>
      </c>
      <c r="W1193" t="s">
        <v>135</v>
      </c>
      <c r="X1193">
        <v>3</v>
      </c>
      <c r="AC1193" t="s">
        <v>136</v>
      </c>
      <c r="AE1193" t="s">
        <v>137</v>
      </c>
    </row>
    <row r="1194" spans="1:78" x14ac:dyDescent="0.2">
      <c r="A1194" t="s">
        <v>119</v>
      </c>
      <c r="B1194" t="s">
        <v>120</v>
      </c>
      <c r="C1194" t="s">
        <v>2868</v>
      </c>
      <c r="D1194">
        <v>11</v>
      </c>
      <c r="E1194" t="s">
        <v>201</v>
      </c>
      <c r="F1194" t="s">
        <v>202</v>
      </c>
      <c r="G1194" t="s">
        <v>124</v>
      </c>
      <c r="H1194" t="s">
        <v>125</v>
      </c>
      <c r="I1194">
        <v>0</v>
      </c>
      <c r="J1194" t="s">
        <v>126</v>
      </c>
      <c r="K1194" t="s">
        <v>125</v>
      </c>
      <c r="L1194" t="s">
        <v>2871</v>
      </c>
      <c r="U1194" t="s">
        <v>149</v>
      </c>
      <c r="W1194" t="s">
        <v>135</v>
      </c>
      <c r="X1194">
        <v>1</v>
      </c>
      <c r="AC1194" t="s">
        <v>136</v>
      </c>
      <c r="AE1194" t="s">
        <v>137</v>
      </c>
      <c r="AG1194">
        <v>10</v>
      </c>
      <c r="AH1194" t="s">
        <v>204</v>
      </c>
      <c r="AI1194" t="s">
        <v>205</v>
      </c>
      <c r="AJ1194" t="s">
        <v>131</v>
      </c>
      <c r="AK1194" t="s">
        <v>125</v>
      </c>
      <c r="AL1194">
        <v>11</v>
      </c>
      <c r="AM1194" t="s">
        <v>132</v>
      </c>
      <c r="AN1194" t="s">
        <v>125</v>
      </c>
      <c r="AO1194" t="s">
        <v>2872</v>
      </c>
      <c r="BP1194" t="s">
        <v>149</v>
      </c>
      <c r="BR1194" t="s">
        <v>135</v>
      </c>
      <c r="BS1194">
        <v>1</v>
      </c>
      <c r="BX1194" t="s">
        <v>136</v>
      </c>
      <c r="BZ1194" t="s">
        <v>137</v>
      </c>
    </row>
    <row r="1195" spans="1:78" x14ac:dyDescent="0.2">
      <c r="A1195" t="s">
        <v>119</v>
      </c>
      <c r="B1195" t="s">
        <v>120</v>
      </c>
      <c r="C1195" t="s">
        <v>2868</v>
      </c>
      <c r="D1195">
        <v>15</v>
      </c>
      <c r="E1195" t="s">
        <v>546</v>
      </c>
      <c r="F1195" t="s">
        <v>283</v>
      </c>
      <c r="G1195" t="s">
        <v>124</v>
      </c>
      <c r="H1195" t="s">
        <v>125</v>
      </c>
      <c r="I1195">
        <v>11</v>
      </c>
      <c r="J1195" t="s">
        <v>264</v>
      </c>
      <c r="K1195" t="s">
        <v>125</v>
      </c>
      <c r="L1195" t="s">
        <v>2873</v>
      </c>
      <c r="U1195" t="s">
        <v>149</v>
      </c>
      <c r="W1195" t="s">
        <v>135</v>
      </c>
      <c r="X1195">
        <v>3</v>
      </c>
      <c r="AC1195" t="s">
        <v>136</v>
      </c>
      <c r="AE1195" t="s">
        <v>137</v>
      </c>
    </row>
    <row r="1196" spans="1:78" hidden="1" x14ac:dyDescent="0.2">
      <c r="A1196" t="s">
        <v>119</v>
      </c>
      <c r="B1196" t="s">
        <v>120</v>
      </c>
      <c r="C1196" t="s">
        <v>2868</v>
      </c>
      <c r="D1196">
        <v>17</v>
      </c>
      <c r="E1196" t="s">
        <v>2674</v>
      </c>
      <c r="F1196" t="s">
        <v>2674</v>
      </c>
      <c r="G1196" t="s">
        <v>124</v>
      </c>
      <c r="H1196" t="s">
        <v>125</v>
      </c>
      <c r="I1196">
        <v>15</v>
      </c>
      <c r="J1196" t="s">
        <v>268</v>
      </c>
      <c r="K1196" t="s">
        <v>125</v>
      </c>
      <c r="L1196" t="s">
        <v>2874</v>
      </c>
      <c r="AE1196" t="s">
        <v>128</v>
      </c>
    </row>
    <row r="1197" spans="1:78" x14ac:dyDescent="0.2">
      <c r="A1197" t="s">
        <v>119</v>
      </c>
      <c r="B1197" t="s">
        <v>120</v>
      </c>
      <c r="C1197" t="s">
        <v>2875</v>
      </c>
      <c r="D1197">
        <v>4</v>
      </c>
      <c r="E1197" t="s">
        <v>1446</v>
      </c>
      <c r="F1197" t="s">
        <v>146</v>
      </c>
      <c r="G1197" t="s">
        <v>124</v>
      </c>
      <c r="H1197" t="s">
        <v>125</v>
      </c>
      <c r="I1197">
        <v>0</v>
      </c>
      <c r="J1197" t="s">
        <v>126</v>
      </c>
      <c r="K1197" t="s">
        <v>125</v>
      </c>
      <c r="L1197" t="s">
        <v>2876</v>
      </c>
      <c r="U1197" t="s">
        <v>149</v>
      </c>
      <c r="W1197" t="s">
        <v>155</v>
      </c>
      <c r="X1197">
        <v>1</v>
      </c>
      <c r="AC1197" t="s">
        <v>136</v>
      </c>
      <c r="AE1197" t="s">
        <v>137</v>
      </c>
    </row>
    <row r="1198" spans="1:78" x14ac:dyDescent="0.2">
      <c r="A1198" t="s">
        <v>119</v>
      </c>
      <c r="B1198" t="s">
        <v>120</v>
      </c>
      <c r="C1198" t="s">
        <v>2877</v>
      </c>
      <c r="D1198">
        <v>2</v>
      </c>
      <c r="E1198" t="s">
        <v>1360</v>
      </c>
      <c r="F1198" t="s">
        <v>350</v>
      </c>
      <c r="G1198" t="s">
        <v>124</v>
      </c>
      <c r="H1198" t="s">
        <v>125</v>
      </c>
      <c r="I1198">
        <v>0</v>
      </c>
      <c r="J1198" t="s">
        <v>126</v>
      </c>
      <c r="K1198" t="s">
        <v>125</v>
      </c>
      <c r="L1198" t="s">
        <v>2878</v>
      </c>
      <c r="U1198" t="s">
        <v>149</v>
      </c>
      <c r="W1198" t="s">
        <v>135</v>
      </c>
      <c r="X1198">
        <v>3</v>
      </c>
      <c r="AC1198" t="s">
        <v>136</v>
      </c>
      <c r="AE1198" t="s">
        <v>137</v>
      </c>
    </row>
    <row r="1199" spans="1:78" x14ac:dyDescent="0.2">
      <c r="A1199" t="s">
        <v>119</v>
      </c>
      <c r="B1199" t="s">
        <v>120</v>
      </c>
      <c r="C1199" t="s">
        <v>2879</v>
      </c>
      <c r="D1199">
        <v>3</v>
      </c>
      <c r="E1199" t="s">
        <v>145</v>
      </c>
      <c r="F1199" t="s">
        <v>146</v>
      </c>
      <c r="G1199" t="s">
        <v>124</v>
      </c>
      <c r="H1199" t="s">
        <v>125</v>
      </c>
      <c r="I1199">
        <v>0</v>
      </c>
      <c r="J1199" t="s">
        <v>126</v>
      </c>
      <c r="K1199" t="s">
        <v>125</v>
      </c>
      <c r="L1199" t="s">
        <v>2880</v>
      </c>
      <c r="U1199" t="s">
        <v>149</v>
      </c>
      <c r="W1199" t="s">
        <v>135</v>
      </c>
      <c r="X1199">
        <v>3</v>
      </c>
      <c r="AC1199" t="s">
        <v>136</v>
      </c>
      <c r="AE1199" t="s">
        <v>137</v>
      </c>
    </row>
    <row r="1200" spans="1:78" x14ac:dyDescent="0.2">
      <c r="A1200" t="s">
        <v>119</v>
      </c>
      <c r="B1200" t="s">
        <v>120</v>
      </c>
      <c r="C1200" t="s">
        <v>2881</v>
      </c>
      <c r="D1200">
        <v>1</v>
      </c>
      <c r="E1200" t="s">
        <v>1646</v>
      </c>
      <c r="F1200" t="s">
        <v>1647</v>
      </c>
      <c r="G1200" t="s">
        <v>124</v>
      </c>
      <c r="H1200" t="s">
        <v>125</v>
      </c>
      <c r="I1200">
        <v>0</v>
      </c>
      <c r="J1200" t="s">
        <v>126</v>
      </c>
      <c r="K1200" t="s">
        <v>125</v>
      </c>
      <c r="L1200" t="s">
        <v>2882</v>
      </c>
      <c r="U1200" t="s">
        <v>149</v>
      </c>
      <c r="W1200" t="s">
        <v>135</v>
      </c>
      <c r="X1200">
        <v>1</v>
      </c>
      <c r="AC1200" t="s">
        <v>136</v>
      </c>
      <c r="AE1200" t="s">
        <v>137</v>
      </c>
    </row>
    <row r="1201" spans="1:78" x14ac:dyDescent="0.2">
      <c r="A1201" t="s">
        <v>119</v>
      </c>
      <c r="B1201" t="s">
        <v>120</v>
      </c>
      <c r="C1201" t="s">
        <v>2883</v>
      </c>
      <c r="D1201">
        <v>2</v>
      </c>
      <c r="E1201" t="s">
        <v>145</v>
      </c>
      <c r="F1201" t="s">
        <v>146</v>
      </c>
      <c r="G1201" t="s">
        <v>124</v>
      </c>
      <c r="H1201" t="s">
        <v>125</v>
      </c>
      <c r="I1201">
        <v>0</v>
      </c>
      <c r="J1201" t="s">
        <v>126</v>
      </c>
      <c r="K1201" t="s">
        <v>125</v>
      </c>
      <c r="L1201" t="s">
        <v>2884</v>
      </c>
      <c r="U1201" t="s">
        <v>149</v>
      </c>
      <c r="W1201" t="s">
        <v>135</v>
      </c>
      <c r="X1201">
        <v>3</v>
      </c>
      <c r="AC1201" t="s">
        <v>136</v>
      </c>
      <c r="AE1201" t="s">
        <v>137</v>
      </c>
    </row>
    <row r="1202" spans="1:78" x14ac:dyDescent="0.2">
      <c r="A1202" t="s">
        <v>119</v>
      </c>
      <c r="B1202" t="s">
        <v>120</v>
      </c>
      <c r="C1202" t="s">
        <v>2883</v>
      </c>
      <c r="D1202">
        <v>9</v>
      </c>
      <c r="E1202" t="s">
        <v>160</v>
      </c>
      <c r="F1202" t="s">
        <v>146</v>
      </c>
      <c r="G1202" t="s">
        <v>124</v>
      </c>
      <c r="H1202" t="s">
        <v>125</v>
      </c>
      <c r="I1202">
        <v>2</v>
      </c>
      <c r="J1202" t="s">
        <v>170</v>
      </c>
      <c r="K1202" t="s">
        <v>125</v>
      </c>
      <c r="L1202" t="s">
        <v>2885</v>
      </c>
      <c r="U1202" t="s">
        <v>149</v>
      </c>
      <c r="W1202" t="s">
        <v>155</v>
      </c>
      <c r="X1202">
        <v>3</v>
      </c>
      <c r="AC1202" t="s">
        <v>136</v>
      </c>
      <c r="AE1202" t="s">
        <v>137</v>
      </c>
    </row>
    <row r="1203" spans="1:78" hidden="1" x14ac:dyDescent="0.2">
      <c r="A1203" t="s">
        <v>119</v>
      </c>
      <c r="B1203" t="s">
        <v>120</v>
      </c>
      <c r="C1203" t="s">
        <v>2886</v>
      </c>
      <c r="D1203">
        <v>12</v>
      </c>
      <c r="E1203" t="s">
        <v>1969</v>
      </c>
      <c r="F1203" t="s">
        <v>1970</v>
      </c>
      <c r="G1203" t="s">
        <v>124</v>
      </c>
      <c r="H1203" t="s">
        <v>125</v>
      </c>
      <c r="I1203">
        <v>2</v>
      </c>
      <c r="J1203" t="s">
        <v>199</v>
      </c>
      <c r="K1203" t="s">
        <v>125</v>
      </c>
      <c r="L1203" t="s">
        <v>2887</v>
      </c>
      <c r="T1203" t="s">
        <v>154</v>
      </c>
      <c r="W1203" t="s">
        <v>135</v>
      </c>
      <c r="AC1203" t="s">
        <v>143</v>
      </c>
      <c r="AE1203" t="s">
        <v>144</v>
      </c>
      <c r="AG1203">
        <v>11</v>
      </c>
      <c r="AH1203" t="s">
        <v>204</v>
      </c>
      <c r="AI1203" t="s">
        <v>205</v>
      </c>
      <c r="AJ1203" t="s">
        <v>131</v>
      </c>
      <c r="AK1203" t="s">
        <v>125</v>
      </c>
      <c r="AL1203">
        <v>12</v>
      </c>
      <c r="AM1203" t="s">
        <v>132</v>
      </c>
      <c r="AN1203" t="s">
        <v>125</v>
      </c>
      <c r="AO1203" t="s">
        <v>2888</v>
      </c>
      <c r="BP1203" t="s">
        <v>149</v>
      </c>
      <c r="BR1203" t="s">
        <v>135</v>
      </c>
      <c r="BS1203">
        <v>1</v>
      </c>
      <c r="BX1203" t="s">
        <v>136</v>
      </c>
      <c r="BZ1203" t="s">
        <v>137</v>
      </c>
    </row>
    <row r="1204" spans="1:78" hidden="1" x14ac:dyDescent="0.2">
      <c r="A1204" t="s">
        <v>119</v>
      </c>
      <c r="B1204" t="s">
        <v>120</v>
      </c>
      <c r="C1204" t="s">
        <v>2886</v>
      </c>
      <c r="D1204">
        <v>19</v>
      </c>
      <c r="E1204" t="s">
        <v>2889</v>
      </c>
      <c r="F1204" t="s">
        <v>130</v>
      </c>
      <c r="G1204" t="s">
        <v>124</v>
      </c>
      <c r="H1204" t="s">
        <v>125</v>
      </c>
      <c r="I1204">
        <v>12</v>
      </c>
      <c r="J1204" t="s">
        <v>268</v>
      </c>
      <c r="K1204" t="s">
        <v>125</v>
      </c>
      <c r="L1204" t="s">
        <v>2890</v>
      </c>
      <c r="T1204" t="s">
        <v>154</v>
      </c>
      <c r="W1204" t="s">
        <v>135</v>
      </c>
      <c r="AC1204" t="s">
        <v>143</v>
      </c>
      <c r="AE1204" t="s">
        <v>144</v>
      </c>
      <c r="AG1204">
        <v>18</v>
      </c>
      <c r="AH1204" t="s">
        <v>2891</v>
      </c>
      <c r="AI1204" t="s">
        <v>205</v>
      </c>
      <c r="AJ1204" t="s">
        <v>131</v>
      </c>
      <c r="AK1204" t="s">
        <v>125</v>
      </c>
      <c r="AL1204">
        <v>19</v>
      </c>
      <c r="AM1204" t="s">
        <v>132</v>
      </c>
      <c r="AN1204" t="s">
        <v>125</v>
      </c>
      <c r="AO1204" t="s">
        <v>1377</v>
      </c>
      <c r="BP1204" t="s">
        <v>134</v>
      </c>
      <c r="BR1204" t="s">
        <v>135</v>
      </c>
      <c r="BS1204">
        <v>1</v>
      </c>
      <c r="BX1204" t="s">
        <v>136</v>
      </c>
      <c r="BZ1204" t="s">
        <v>137</v>
      </c>
    </row>
    <row r="1205" spans="1:78" hidden="1" x14ac:dyDescent="0.2">
      <c r="A1205" t="s">
        <v>119</v>
      </c>
      <c r="B1205" t="s">
        <v>120</v>
      </c>
      <c r="C1205" t="s">
        <v>2892</v>
      </c>
      <c r="D1205">
        <v>3</v>
      </c>
      <c r="E1205" t="s">
        <v>2893</v>
      </c>
      <c r="F1205" t="s">
        <v>2894</v>
      </c>
      <c r="G1205" t="s">
        <v>124</v>
      </c>
      <c r="H1205" t="s">
        <v>125</v>
      </c>
      <c r="I1205">
        <v>0</v>
      </c>
      <c r="J1205" t="s">
        <v>126</v>
      </c>
      <c r="K1205" t="s">
        <v>125</v>
      </c>
      <c r="L1205" t="s">
        <v>2895</v>
      </c>
      <c r="T1205" t="s">
        <v>154</v>
      </c>
      <c r="W1205" t="s">
        <v>135</v>
      </c>
      <c r="AC1205" t="s">
        <v>143</v>
      </c>
      <c r="AE1205" t="s">
        <v>144</v>
      </c>
      <c r="AG1205">
        <v>2</v>
      </c>
      <c r="AH1205" t="s">
        <v>232</v>
      </c>
      <c r="AI1205" t="s">
        <v>205</v>
      </c>
      <c r="AJ1205" t="s">
        <v>131</v>
      </c>
      <c r="AK1205" t="s">
        <v>125</v>
      </c>
      <c r="AL1205">
        <v>3</v>
      </c>
      <c r="AM1205" t="s">
        <v>132</v>
      </c>
      <c r="AN1205" t="s">
        <v>125</v>
      </c>
      <c r="AO1205" t="s">
        <v>2896</v>
      </c>
      <c r="BP1205" t="s">
        <v>149</v>
      </c>
      <c r="BR1205" t="s">
        <v>155</v>
      </c>
      <c r="BS1205">
        <v>1</v>
      </c>
      <c r="BX1205" t="s">
        <v>136</v>
      </c>
      <c r="BZ1205" t="s">
        <v>137</v>
      </c>
    </row>
    <row r="1206" spans="1:78" hidden="1" x14ac:dyDescent="0.2">
      <c r="A1206" t="s">
        <v>119</v>
      </c>
      <c r="B1206" t="s">
        <v>120</v>
      </c>
      <c r="C1206" t="s">
        <v>2892</v>
      </c>
      <c r="D1206">
        <v>5</v>
      </c>
      <c r="E1206" t="s">
        <v>666</v>
      </c>
      <c r="F1206" t="s">
        <v>667</v>
      </c>
      <c r="G1206" t="s">
        <v>124</v>
      </c>
      <c r="H1206" t="s">
        <v>125</v>
      </c>
      <c r="I1206">
        <v>3</v>
      </c>
      <c r="J1206" t="s">
        <v>161</v>
      </c>
      <c r="K1206" t="s">
        <v>125</v>
      </c>
      <c r="L1206" t="s">
        <v>2897</v>
      </c>
      <c r="U1206" t="s">
        <v>149</v>
      </c>
      <c r="W1206" t="s">
        <v>135</v>
      </c>
      <c r="X1206">
        <v>1</v>
      </c>
      <c r="AC1206" t="s">
        <v>209</v>
      </c>
      <c r="AE1206" t="s">
        <v>137</v>
      </c>
    </row>
    <row r="1207" spans="1:78" x14ac:dyDescent="0.2">
      <c r="A1207" t="s">
        <v>119</v>
      </c>
      <c r="B1207" t="s">
        <v>120</v>
      </c>
      <c r="C1207" t="s">
        <v>2898</v>
      </c>
      <c r="D1207">
        <v>3</v>
      </c>
      <c r="E1207" t="s">
        <v>1708</v>
      </c>
      <c r="F1207" t="s">
        <v>773</v>
      </c>
      <c r="G1207" t="s">
        <v>124</v>
      </c>
      <c r="H1207" t="s">
        <v>125</v>
      </c>
      <c r="I1207">
        <v>0</v>
      </c>
      <c r="J1207" t="s">
        <v>126</v>
      </c>
      <c r="K1207" t="s">
        <v>125</v>
      </c>
      <c r="L1207" t="s">
        <v>2899</v>
      </c>
      <c r="U1207" t="s">
        <v>149</v>
      </c>
      <c r="W1207" t="s">
        <v>135</v>
      </c>
      <c r="X1207">
        <v>3</v>
      </c>
      <c r="AC1207" t="s">
        <v>136</v>
      </c>
      <c r="AE1207" t="s">
        <v>137</v>
      </c>
    </row>
    <row r="1208" spans="1:78" x14ac:dyDescent="0.2">
      <c r="A1208" t="s">
        <v>119</v>
      </c>
      <c r="B1208" t="s">
        <v>120</v>
      </c>
      <c r="C1208" t="s">
        <v>2900</v>
      </c>
      <c r="D1208">
        <v>3</v>
      </c>
      <c r="E1208" t="s">
        <v>1708</v>
      </c>
      <c r="F1208" t="s">
        <v>773</v>
      </c>
      <c r="G1208" t="s">
        <v>124</v>
      </c>
      <c r="H1208" t="s">
        <v>125</v>
      </c>
      <c r="I1208">
        <v>0</v>
      </c>
      <c r="J1208" t="s">
        <v>126</v>
      </c>
      <c r="K1208" t="s">
        <v>125</v>
      </c>
      <c r="L1208" t="s">
        <v>2901</v>
      </c>
      <c r="U1208" t="s">
        <v>149</v>
      </c>
      <c r="W1208" t="s">
        <v>135</v>
      </c>
      <c r="X1208">
        <v>3</v>
      </c>
      <c r="AC1208" t="s">
        <v>136</v>
      </c>
      <c r="AE1208" t="s">
        <v>137</v>
      </c>
    </row>
    <row r="1209" spans="1:78" hidden="1" x14ac:dyDescent="0.2">
      <c r="A1209" t="s">
        <v>119</v>
      </c>
      <c r="B1209" t="s">
        <v>120</v>
      </c>
      <c r="C1209" t="s">
        <v>2902</v>
      </c>
      <c r="D1209">
        <v>4</v>
      </c>
      <c r="E1209" t="s">
        <v>691</v>
      </c>
      <c r="F1209" t="s">
        <v>261</v>
      </c>
      <c r="G1209" t="s">
        <v>124</v>
      </c>
      <c r="H1209" t="s">
        <v>125</v>
      </c>
      <c r="I1209">
        <v>0</v>
      </c>
      <c r="J1209" t="s">
        <v>126</v>
      </c>
      <c r="K1209" t="s">
        <v>125</v>
      </c>
      <c r="L1209" t="s">
        <v>2903</v>
      </c>
      <c r="T1209" t="s">
        <v>154</v>
      </c>
      <c r="W1209" t="s">
        <v>135</v>
      </c>
      <c r="AC1209" t="s">
        <v>143</v>
      </c>
      <c r="AE1209" t="s">
        <v>144</v>
      </c>
      <c r="AG1209">
        <v>3</v>
      </c>
      <c r="AH1209" t="s">
        <v>421</v>
      </c>
      <c r="AI1209" t="s">
        <v>205</v>
      </c>
      <c r="AJ1209" t="s">
        <v>131</v>
      </c>
      <c r="AK1209" t="s">
        <v>125</v>
      </c>
      <c r="AL1209">
        <v>4</v>
      </c>
      <c r="AM1209" t="s">
        <v>132</v>
      </c>
      <c r="AN1209" t="s">
        <v>125</v>
      </c>
      <c r="AO1209" t="s">
        <v>2904</v>
      </c>
      <c r="BP1209" t="s">
        <v>149</v>
      </c>
      <c r="BR1209" t="s">
        <v>135</v>
      </c>
      <c r="BS1209">
        <v>1</v>
      </c>
      <c r="BX1209" t="s">
        <v>209</v>
      </c>
      <c r="BZ1209" t="s">
        <v>137</v>
      </c>
    </row>
    <row r="1210" spans="1:78" hidden="1" x14ac:dyDescent="0.2">
      <c r="A1210" t="s">
        <v>119</v>
      </c>
      <c r="B1210" t="s">
        <v>120</v>
      </c>
      <c r="C1210" t="s">
        <v>2905</v>
      </c>
      <c r="D1210">
        <v>4</v>
      </c>
      <c r="E1210" t="s">
        <v>2906</v>
      </c>
      <c r="F1210" t="s">
        <v>2907</v>
      </c>
      <c r="G1210" t="s">
        <v>124</v>
      </c>
      <c r="H1210" t="s">
        <v>125</v>
      </c>
      <c r="I1210">
        <v>6</v>
      </c>
      <c r="J1210" t="s">
        <v>210</v>
      </c>
      <c r="K1210" t="s">
        <v>125</v>
      </c>
      <c r="L1210" t="s">
        <v>2908</v>
      </c>
      <c r="AG1210">
        <v>3</v>
      </c>
      <c r="AH1210" t="s">
        <v>614</v>
      </c>
      <c r="AI1210" t="s">
        <v>205</v>
      </c>
      <c r="AJ1210" t="s">
        <v>131</v>
      </c>
      <c r="AK1210" t="s">
        <v>125</v>
      </c>
      <c r="AL1210">
        <v>4</v>
      </c>
      <c r="AM1210" t="s">
        <v>132</v>
      </c>
      <c r="AN1210" t="s">
        <v>125</v>
      </c>
      <c r="AO1210" t="s">
        <v>2909</v>
      </c>
      <c r="BP1210" t="s">
        <v>149</v>
      </c>
      <c r="BR1210" t="s">
        <v>135</v>
      </c>
      <c r="BS1210">
        <v>3</v>
      </c>
      <c r="BX1210" t="s">
        <v>136</v>
      </c>
      <c r="BZ1210" t="s">
        <v>137</v>
      </c>
    </row>
    <row r="1211" spans="1:78" x14ac:dyDescent="0.2">
      <c r="A1211" t="s">
        <v>119</v>
      </c>
      <c r="B1211" t="s">
        <v>120</v>
      </c>
      <c r="C1211" t="s">
        <v>2905</v>
      </c>
      <c r="D1211">
        <v>6</v>
      </c>
      <c r="E1211" t="s">
        <v>2910</v>
      </c>
      <c r="F1211" t="s">
        <v>2911</v>
      </c>
      <c r="G1211" t="s">
        <v>124</v>
      </c>
      <c r="H1211" t="s">
        <v>125</v>
      </c>
      <c r="I1211">
        <v>0</v>
      </c>
      <c r="J1211" t="s">
        <v>126</v>
      </c>
      <c r="K1211" t="s">
        <v>125</v>
      </c>
      <c r="L1211" t="s">
        <v>2912</v>
      </c>
      <c r="U1211" t="s">
        <v>149</v>
      </c>
      <c r="W1211" t="s">
        <v>135</v>
      </c>
      <c r="X1211">
        <v>3</v>
      </c>
      <c r="AC1211" t="s">
        <v>136</v>
      </c>
      <c r="AE1211" t="s">
        <v>137</v>
      </c>
    </row>
    <row r="1212" spans="1:78" x14ac:dyDescent="0.2">
      <c r="A1212" t="s">
        <v>119</v>
      </c>
      <c r="B1212" t="s">
        <v>120</v>
      </c>
      <c r="C1212" t="s">
        <v>2913</v>
      </c>
      <c r="D1212">
        <v>1</v>
      </c>
      <c r="E1212" t="s">
        <v>1360</v>
      </c>
      <c r="F1212" t="s">
        <v>350</v>
      </c>
      <c r="G1212" t="s">
        <v>124</v>
      </c>
      <c r="H1212" t="s">
        <v>125</v>
      </c>
      <c r="I1212">
        <v>0</v>
      </c>
      <c r="J1212" t="s">
        <v>126</v>
      </c>
      <c r="K1212" t="s">
        <v>125</v>
      </c>
      <c r="L1212" t="s">
        <v>2914</v>
      </c>
      <c r="U1212" t="s">
        <v>149</v>
      </c>
      <c r="W1212" t="s">
        <v>135</v>
      </c>
      <c r="X1212">
        <v>3</v>
      </c>
      <c r="AC1212" t="s">
        <v>136</v>
      </c>
      <c r="AE1212" t="s">
        <v>137</v>
      </c>
    </row>
    <row r="1213" spans="1:78" hidden="1" x14ac:dyDescent="0.2">
      <c r="A1213" t="s">
        <v>119</v>
      </c>
      <c r="B1213" t="s">
        <v>120</v>
      </c>
      <c r="C1213" t="s">
        <v>2915</v>
      </c>
      <c r="D1213">
        <v>4</v>
      </c>
      <c r="E1213" t="s">
        <v>421</v>
      </c>
      <c r="F1213" t="s">
        <v>205</v>
      </c>
      <c r="G1213" t="s">
        <v>124</v>
      </c>
      <c r="H1213" t="s">
        <v>125</v>
      </c>
      <c r="I1213">
        <v>6</v>
      </c>
      <c r="J1213" t="s">
        <v>210</v>
      </c>
      <c r="K1213" t="s">
        <v>125</v>
      </c>
      <c r="L1213" t="s">
        <v>2916</v>
      </c>
      <c r="U1213" t="s">
        <v>149</v>
      </c>
      <c r="W1213" t="s">
        <v>135</v>
      </c>
      <c r="X1213">
        <v>1</v>
      </c>
      <c r="AC1213" t="s">
        <v>209</v>
      </c>
      <c r="AE1213" t="s">
        <v>137</v>
      </c>
    </row>
    <row r="1214" spans="1:78" hidden="1" x14ac:dyDescent="0.2">
      <c r="A1214" t="s">
        <v>119</v>
      </c>
      <c r="B1214" t="s">
        <v>120</v>
      </c>
      <c r="C1214" t="s">
        <v>2915</v>
      </c>
      <c r="D1214">
        <v>7</v>
      </c>
      <c r="E1214" t="s">
        <v>2917</v>
      </c>
      <c r="F1214" t="s">
        <v>2918</v>
      </c>
      <c r="G1214" t="s">
        <v>124</v>
      </c>
      <c r="H1214" t="s">
        <v>125</v>
      </c>
      <c r="I1214">
        <v>0</v>
      </c>
      <c r="J1214" t="s">
        <v>126</v>
      </c>
      <c r="K1214" t="s">
        <v>125</v>
      </c>
      <c r="L1214" t="s">
        <v>2919</v>
      </c>
      <c r="T1214" t="s">
        <v>154</v>
      </c>
      <c r="W1214" t="s">
        <v>135</v>
      </c>
      <c r="AC1214" t="s">
        <v>143</v>
      </c>
      <c r="AE1214" t="s">
        <v>144</v>
      </c>
      <c r="AG1214">
        <v>6</v>
      </c>
      <c r="AH1214" t="s">
        <v>421</v>
      </c>
      <c r="AI1214" t="s">
        <v>205</v>
      </c>
      <c r="AJ1214" t="s">
        <v>131</v>
      </c>
      <c r="AK1214" t="s">
        <v>125</v>
      </c>
      <c r="AL1214">
        <v>7</v>
      </c>
      <c r="AM1214" t="s">
        <v>132</v>
      </c>
      <c r="AN1214" t="s">
        <v>125</v>
      </c>
      <c r="AO1214" t="s">
        <v>1398</v>
      </c>
      <c r="BP1214" t="s">
        <v>149</v>
      </c>
      <c r="BR1214" t="s">
        <v>135</v>
      </c>
      <c r="BS1214">
        <v>1</v>
      </c>
      <c r="BX1214" t="s">
        <v>209</v>
      </c>
      <c r="BZ1214" t="s">
        <v>137</v>
      </c>
    </row>
    <row r="1215" spans="1:78" hidden="1" x14ac:dyDescent="0.2">
      <c r="A1215" t="s">
        <v>119</v>
      </c>
      <c r="B1215" t="s">
        <v>120</v>
      </c>
      <c r="C1215" t="s">
        <v>2915</v>
      </c>
      <c r="D1215">
        <v>8</v>
      </c>
      <c r="E1215" t="s">
        <v>2597</v>
      </c>
      <c r="F1215" t="s">
        <v>261</v>
      </c>
      <c r="G1215" t="s">
        <v>124</v>
      </c>
      <c r="H1215" t="s">
        <v>125</v>
      </c>
      <c r="I1215">
        <v>7</v>
      </c>
      <c r="J1215" t="s">
        <v>268</v>
      </c>
      <c r="K1215" t="s">
        <v>125</v>
      </c>
      <c r="L1215" t="s">
        <v>1400</v>
      </c>
      <c r="AE1215" t="s">
        <v>394</v>
      </c>
    </row>
    <row r="1216" spans="1:78" hidden="1" x14ac:dyDescent="0.2">
      <c r="A1216" t="s">
        <v>119</v>
      </c>
      <c r="B1216" t="s">
        <v>120</v>
      </c>
      <c r="C1216" t="s">
        <v>2920</v>
      </c>
      <c r="D1216">
        <v>5</v>
      </c>
      <c r="E1216" t="s">
        <v>2893</v>
      </c>
      <c r="F1216" t="s">
        <v>2894</v>
      </c>
      <c r="G1216" t="s">
        <v>124</v>
      </c>
      <c r="H1216" t="s">
        <v>125</v>
      </c>
      <c r="I1216">
        <v>1</v>
      </c>
      <c r="J1216" t="s">
        <v>268</v>
      </c>
      <c r="K1216" t="s">
        <v>125</v>
      </c>
      <c r="L1216" t="s">
        <v>2921</v>
      </c>
      <c r="T1216" t="s">
        <v>154</v>
      </c>
      <c r="W1216" t="s">
        <v>135</v>
      </c>
      <c r="AC1216" t="s">
        <v>143</v>
      </c>
      <c r="AE1216" t="s">
        <v>144</v>
      </c>
      <c r="AG1216">
        <v>4</v>
      </c>
      <c r="AH1216" t="s">
        <v>614</v>
      </c>
      <c r="AI1216" t="s">
        <v>205</v>
      </c>
      <c r="AJ1216" t="s">
        <v>131</v>
      </c>
      <c r="AK1216" t="s">
        <v>125</v>
      </c>
      <c r="AL1216">
        <v>5</v>
      </c>
      <c r="AM1216" t="s">
        <v>132</v>
      </c>
      <c r="AN1216" t="s">
        <v>125</v>
      </c>
      <c r="AO1216" t="s">
        <v>2922</v>
      </c>
      <c r="BP1216" t="s">
        <v>149</v>
      </c>
      <c r="BR1216" t="s">
        <v>135</v>
      </c>
      <c r="BS1216">
        <v>3</v>
      </c>
      <c r="BX1216" t="s">
        <v>136</v>
      </c>
      <c r="BZ1216" t="s">
        <v>137</v>
      </c>
    </row>
    <row r="1217" spans="1:78" hidden="1" x14ac:dyDescent="0.2">
      <c r="A1217" t="s">
        <v>119</v>
      </c>
      <c r="B1217" t="s">
        <v>120</v>
      </c>
      <c r="C1217" t="s">
        <v>2920</v>
      </c>
      <c r="D1217">
        <v>11</v>
      </c>
      <c r="E1217" t="s">
        <v>1969</v>
      </c>
      <c r="F1217" t="s">
        <v>1969</v>
      </c>
      <c r="G1217" t="s">
        <v>124</v>
      </c>
      <c r="H1217" t="s">
        <v>125</v>
      </c>
      <c r="I1217">
        <v>1</v>
      </c>
      <c r="J1217" t="s">
        <v>199</v>
      </c>
      <c r="K1217" t="s">
        <v>125</v>
      </c>
      <c r="L1217" t="s">
        <v>2923</v>
      </c>
      <c r="T1217" t="s">
        <v>154</v>
      </c>
      <c r="W1217" t="s">
        <v>135</v>
      </c>
      <c r="AC1217" t="s">
        <v>143</v>
      </c>
      <c r="AE1217" t="s">
        <v>144</v>
      </c>
      <c r="AG1217">
        <v>10</v>
      </c>
      <c r="AH1217" t="s">
        <v>1783</v>
      </c>
      <c r="AI1217" t="s">
        <v>205</v>
      </c>
      <c r="AJ1217" t="s">
        <v>131</v>
      </c>
      <c r="AK1217" t="s">
        <v>125</v>
      </c>
      <c r="AL1217">
        <v>11</v>
      </c>
      <c r="AM1217" t="s">
        <v>132</v>
      </c>
      <c r="AN1217" t="s">
        <v>125</v>
      </c>
      <c r="AO1217" t="s">
        <v>2924</v>
      </c>
      <c r="BP1217" t="s">
        <v>149</v>
      </c>
      <c r="BR1217" t="s">
        <v>135</v>
      </c>
      <c r="BS1217">
        <v>3</v>
      </c>
      <c r="BX1217" t="s">
        <v>209</v>
      </c>
      <c r="BZ1217" t="s">
        <v>137</v>
      </c>
    </row>
    <row r="1218" spans="1:78" x14ac:dyDescent="0.2">
      <c r="A1218" t="s">
        <v>119</v>
      </c>
      <c r="B1218" t="s">
        <v>120</v>
      </c>
      <c r="C1218" t="s">
        <v>2925</v>
      </c>
      <c r="D1218">
        <v>2</v>
      </c>
      <c r="E1218" t="s">
        <v>2926</v>
      </c>
      <c r="F1218" t="s">
        <v>1970</v>
      </c>
      <c r="G1218" t="s">
        <v>124</v>
      </c>
      <c r="H1218" t="s">
        <v>125</v>
      </c>
      <c r="I1218">
        <v>0</v>
      </c>
      <c r="J1218" t="s">
        <v>126</v>
      </c>
      <c r="K1218" t="s">
        <v>125</v>
      </c>
      <c r="L1218" t="s">
        <v>2927</v>
      </c>
      <c r="U1218" t="s">
        <v>149</v>
      </c>
      <c r="W1218" t="s">
        <v>135</v>
      </c>
      <c r="X1218">
        <v>3</v>
      </c>
      <c r="AC1218" t="s">
        <v>136</v>
      </c>
      <c r="AE1218" t="s">
        <v>137</v>
      </c>
      <c r="AG1218">
        <v>10</v>
      </c>
      <c r="AH1218" t="s">
        <v>145</v>
      </c>
      <c r="AI1218" t="s">
        <v>146</v>
      </c>
      <c r="AJ1218" t="s">
        <v>131</v>
      </c>
      <c r="AK1218" t="s">
        <v>125</v>
      </c>
      <c r="AL1218">
        <v>2</v>
      </c>
      <c r="AM1218" t="s">
        <v>199</v>
      </c>
      <c r="AN1218" t="s">
        <v>125</v>
      </c>
      <c r="AO1218" t="s">
        <v>2928</v>
      </c>
      <c r="BP1218" t="s">
        <v>149</v>
      </c>
      <c r="BR1218" t="s">
        <v>135</v>
      </c>
      <c r="BS1218">
        <v>3</v>
      </c>
      <c r="BX1218" t="s">
        <v>136</v>
      </c>
      <c r="BZ1218" t="s">
        <v>137</v>
      </c>
    </row>
    <row r="1219" spans="1:78" hidden="1" x14ac:dyDescent="0.2">
      <c r="A1219" t="s">
        <v>119</v>
      </c>
      <c r="B1219" t="s">
        <v>120</v>
      </c>
      <c r="C1219" t="s">
        <v>2929</v>
      </c>
      <c r="D1219">
        <v>4</v>
      </c>
      <c r="E1219" t="s">
        <v>1970</v>
      </c>
      <c r="F1219" t="s">
        <v>1970</v>
      </c>
      <c r="G1219" t="s">
        <v>124</v>
      </c>
      <c r="H1219" t="s">
        <v>125</v>
      </c>
      <c r="I1219">
        <v>0</v>
      </c>
      <c r="J1219" t="s">
        <v>126</v>
      </c>
      <c r="K1219" t="s">
        <v>125</v>
      </c>
      <c r="L1219" t="s">
        <v>2930</v>
      </c>
      <c r="AE1219" t="s">
        <v>128</v>
      </c>
      <c r="AG1219">
        <v>3</v>
      </c>
      <c r="AH1219" t="s">
        <v>2735</v>
      </c>
      <c r="AI1219" t="s">
        <v>130</v>
      </c>
      <c r="AJ1219" t="s">
        <v>131</v>
      </c>
      <c r="AK1219" t="s">
        <v>125</v>
      </c>
      <c r="AL1219">
        <v>4</v>
      </c>
      <c r="AM1219" t="s">
        <v>132</v>
      </c>
      <c r="AN1219" t="s">
        <v>125</v>
      </c>
      <c r="AO1219" t="s">
        <v>2931</v>
      </c>
      <c r="BP1219" t="s">
        <v>149</v>
      </c>
      <c r="BR1219" t="s">
        <v>135</v>
      </c>
      <c r="BS1219">
        <v>3</v>
      </c>
      <c r="BX1219" t="s">
        <v>136</v>
      </c>
      <c r="BZ1219" t="s">
        <v>137</v>
      </c>
    </row>
    <row r="1220" spans="1:78" hidden="1" x14ac:dyDescent="0.2">
      <c r="A1220" t="s">
        <v>119</v>
      </c>
      <c r="B1220" t="s">
        <v>120</v>
      </c>
      <c r="C1220" t="s">
        <v>2929</v>
      </c>
      <c r="D1220">
        <v>8</v>
      </c>
      <c r="E1220" t="s">
        <v>2932</v>
      </c>
      <c r="F1220" t="s">
        <v>2932</v>
      </c>
      <c r="G1220" t="s">
        <v>124</v>
      </c>
      <c r="H1220" t="s">
        <v>125</v>
      </c>
      <c r="I1220">
        <v>4</v>
      </c>
      <c r="J1220" t="s">
        <v>161</v>
      </c>
      <c r="K1220" t="s">
        <v>125</v>
      </c>
      <c r="L1220" t="s">
        <v>2933</v>
      </c>
      <c r="AE1220" t="s">
        <v>128</v>
      </c>
      <c r="AG1220">
        <v>7</v>
      </c>
      <c r="AH1220" t="s">
        <v>2735</v>
      </c>
      <c r="AI1220" t="s">
        <v>130</v>
      </c>
      <c r="AJ1220" t="s">
        <v>131</v>
      </c>
      <c r="AK1220" t="s">
        <v>125</v>
      </c>
      <c r="AL1220">
        <v>8</v>
      </c>
      <c r="AM1220" t="s">
        <v>132</v>
      </c>
      <c r="AN1220" t="s">
        <v>125</v>
      </c>
      <c r="AO1220" t="s">
        <v>2934</v>
      </c>
      <c r="BP1220" t="s">
        <v>149</v>
      </c>
      <c r="BR1220" t="s">
        <v>135</v>
      </c>
      <c r="BS1220">
        <v>3</v>
      </c>
      <c r="BX1220" t="s">
        <v>136</v>
      </c>
      <c r="BZ1220" t="s">
        <v>137</v>
      </c>
    </row>
    <row r="1221" spans="1:78" hidden="1" x14ac:dyDescent="0.2">
      <c r="A1221" t="s">
        <v>119</v>
      </c>
      <c r="B1221" t="s">
        <v>120</v>
      </c>
      <c r="C1221" t="s">
        <v>2935</v>
      </c>
      <c r="D1221">
        <v>3</v>
      </c>
      <c r="E1221" t="s">
        <v>2936</v>
      </c>
      <c r="F1221" t="s">
        <v>2937</v>
      </c>
      <c r="G1221" t="s">
        <v>124</v>
      </c>
      <c r="H1221" t="s">
        <v>125</v>
      </c>
      <c r="I1221">
        <v>0</v>
      </c>
      <c r="J1221" t="s">
        <v>126</v>
      </c>
      <c r="K1221" t="s">
        <v>125</v>
      </c>
      <c r="L1221" t="s">
        <v>2938</v>
      </c>
      <c r="AE1221" t="s">
        <v>394</v>
      </c>
    </row>
    <row r="1222" spans="1:78" x14ac:dyDescent="0.2">
      <c r="A1222" t="s">
        <v>119</v>
      </c>
      <c r="B1222" t="s">
        <v>120</v>
      </c>
      <c r="C1222" t="s">
        <v>2939</v>
      </c>
      <c r="D1222">
        <v>4</v>
      </c>
      <c r="E1222" t="s">
        <v>2926</v>
      </c>
      <c r="F1222" t="s">
        <v>1970</v>
      </c>
      <c r="G1222" t="s">
        <v>124</v>
      </c>
      <c r="H1222" t="s">
        <v>125</v>
      </c>
      <c r="I1222">
        <v>0</v>
      </c>
      <c r="J1222" t="s">
        <v>126</v>
      </c>
      <c r="K1222" t="s">
        <v>125</v>
      </c>
      <c r="L1222" t="s">
        <v>2940</v>
      </c>
      <c r="U1222" t="s">
        <v>149</v>
      </c>
      <c r="W1222" t="s">
        <v>135</v>
      </c>
      <c r="X1222">
        <v>3</v>
      </c>
      <c r="AC1222" t="s">
        <v>136</v>
      </c>
      <c r="AE1222" t="s">
        <v>137</v>
      </c>
    </row>
    <row r="1223" spans="1:78" hidden="1" x14ac:dyDescent="0.2">
      <c r="A1223" t="s">
        <v>119</v>
      </c>
      <c r="B1223" t="s">
        <v>120</v>
      </c>
      <c r="C1223" t="s">
        <v>2939</v>
      </c>
      <c r="D1223">
        <v>8</v>
      </c>
      <c r="E1223" t="s">
        <v>2941</v>
      </c>
      <c r="F1223" t="s">
        <v>2907</v>
      </c>
      <c r="G1223" t="s">
        <v>124</v>
      </c>
      <c r="H1223" t="s">
        <v>125</v>
      </c>
      <c r="I1223">
        <v>4</v>
      </c>
      <c r="J1223" t="s">
        <v>199</v>
      </c>
      <c r="K1223" t="s">
        <v>125</v>
      </c>
      <c r="L1223" t="s">
        <v>2942</v>
      </c>
      <c r="T1223" t="s">
        <v>154</v>
      </c>
      <c r="W1223" t="s">
        <v>135</v>
      </c>
      <c r="AC1223" t="s">
        <v>143</v>
      </c>
      <c r="AE1223" t="s">
        <v>144</v>
      </c>
      <c r="AG1223">
        <v>7</v>
      </c>
      <c r="AH1223" t="s">
        <v>614</v>
      </c>
      <c r="AI1223" t="s">
        <v>205</v>
      </c>
      <c r="AJ1223" t="s">
        <v>131</v>
      </c>
      <c r="AK1223" t="s">
        <v>125</v>
      </c>
      <c r="AL1223">
        <v>8</v>
      </c>
      <c r="AM1223" t="s">
        <v>132</v>
      </c>
      <c r="AN1223" t="s">
        <v>125</v>
      </c>
      <c r="AO1223" t="s">
        <v>2943</v>
      </c>
      <c r="BP1223" t="s">
        <v>149</v>
      </c>
      <c r="BR1223" t="s">
        <v>135</v>
      </c>
      <c r="BS1223">
        <v>3</v>
      </c>
      <c r="BX1223" t="s">
        <v>136</v>
      </c>
      <c r="BZ1223" t="s">
        <v>137</v>
      </c>
    </row>
    <row r="1224" spans="1:78" x14ac:dyDescent="0.2">
      <c r="A1224" t="s">
        <v>119</v>
      </c>
      <c r="B1224" t="s">
        <v>120</v>
      </c>
      <c r="C1224" t="s">
        <v>2944</v>
      </c>
      <c r="D1224">
        <v>2</v>
      </c>
      <c r="E1224" t="s">
        <v>1446</v>
      </c>
      <c r="F1224" t="s">
        <v>146</v>
      </c>
      <c r="G1224" t="s">
        <v>124</v>
      </c>
      <c r="H1224" t="s">
        <v>125</v>
      </c>
      <c r="I1224">
        <v>0</v>
      </c>
      <c r="J1224" t="s">
        <v>126</v>
      </c>
      <c r="K1224" t="s">
        <v>125</v>
      </c>
      <c r="L1224" t="s">
        <v>2945</v>
      </c>
      <c r="U1224" t="s">
        <v>149</v>
      </c>
      <c r="W1224" t="s">
        <v>155</v>
      </c>
      <c r="X1224">
        <v>1</v>
      </c>
      <c r="AC1224" t="s">
        <v>136</v>
      </c>
      <c r="AE1224" t="s">
        <v>137</v>
      </c>
    </row>
    <row r="1225" spans="1:78" x14ac:dyDescent="0.2">
      <c r="A1225" t="s">
        <v>119</v>
      </c>
      <c r="B1225" t="s">
        <v>120</v>
      </c>
      <c r="C1225" t="s">
        <v>2946</v>
      </c>
      <c r="D1225">
        <v>2</v>
      </c>
      <c r="E1225" t="s">
        <v>2947</v>
      </c>
      <c r="F1225" t="s">
        <v>2948</v>
      </c>
      <c r="G1225" t="s">
        <v>124</v>
      </c>
      <c r="H1225" t="s">
        <v>125</v>
      </c>
      <c r="I1225">
        <v>0</v>
      </c>
      <c r="J1225" t="s">
        <v>126</v>
      </c>
      <c r="K1225" t="s">
        <v>125</v>
      </c>
      <c r="L1225" t="s">
        <v>2949</v>
      </c>
      <c r="U1225" t="s">
        <v>149</v>
      </c>
      <c r="W1225" t="s">
        <v>135</v>
      </c>
      <c r="X1225">
        <v>2</v>
      </c>
      <c r="AC1225" t="s">
        <v>136</v>
      </c>
      <c r="AE1225" t="s">
        <v>137</v>
      </c>
    </row>
    <row r="1226" spans="1:78" x14ac:dyDescent="0.2">
      <c r="A1226" t="s">
        <v>119</v>
      </c>
      <c r="B1226" t="s">
        <v>120</v>
      </c>
      <c r="C1226" t="s">
        <v>2950</v>
      </c>
      <c r="D1226">
        <v>1</v>
      </c>
      <c r="E1226" t="s">
        <v>2947</v>
      </c>
      <c r="F1226" t="s">
        <v>2948</v>
      </c>
      <c r="G1226" t="s">
        <v>124</v>
      </c>
      <c r="H1226" t="s">
        <v>125</v>
      </c>
      <c r="I1226">
        <v>0</v>
      </c>
      <c r="J1226" t="s">
        <v>126</v>
      </c>
      <c r="K1226" t="s">
        <v>125</v>
      </c>
      <c r="L1226" t="s">
        <v>2951</v>
      </c>
      <c r="U1226" t="s">
        <v>149</v>
      </c>
      <c r="W1226" t="s">
        <v>135</v>
      </c>
      <c r="X1226">
        <v>2</v>
      </c>
      <c r="AC1226" t="s">
        <v>136</v>
      </c>
      <c r="AE1226" t="s">
        <v>137</v>
      </c>
      <c r="AG1226">
        <v>16</v>
      </c>
      <c r="AH1226" t="s">
        <v>2952</v>
      </c>
      <c r="AI1226" t="s">
        <v>146</v>
      </c>
      <c r="AJ1226" t="s">
        <v>131</v>
      </c>
      <c r="AK1226" t="s">
        <v>125</v>
      </c>
      <c r="AL1226">
        <v>1</v>
      </c>
      <c r="AM1226" t="s">
        <v>264</v>
      </c>
      <c r="AN1226" t="s">
        <v>125</v>
      </c>
      <c r="AO1226" t="s">
        <v>2953</v>
      </c>
      <c r="BP1226" t="s">
        <v>149</v>
      </c>
      <c r="BR1226" t="s">
        <v>155</v>
      </c>
      <c r="BS1226">
        <v>1</v>
      </c>
      <c r="BX1226" t="s">
        <v>903</v>
      </c>
      <c r="BZ1226" t="s">
        <v>137</v>
      </c>
    </row>
    <row r="1227" spans="1:78" hidden="1" x14ac:dyDescent="0.2">
      <c r="A1227" t="s">
        <v>119</v>
      </c>
      <c r="B1227" t="s">
        <v>120</v>
      </c>
      <c r="C1227" t="s">
        <v>2950</v>
      </c>
      <c r="D1227">
        <v>18</v>
      </c>
      <c r="E1227" t="s">
        <v>2954</v>
      </c>
      <c r="F1227" t="s">
        <v>1951</v>
      </c>
      <c r="G1227" t="s">
        <v>124</v>
      </c>
      <c r="H1227" t="s">
        <v>125</v>
      </c>
      <c r="I1227">
        <v>16</v>
      </c>
      <c r="J1227" t="s">
        <v>294</v>
      </c>
      <c r="K1227" t="s">
        <v>125</v>
      </c>
      <c r="L1227" t="s">
        <v>2955</v>
      </c>
      <c r="T1227" t="s">
        <v>142</v>
      </c>
      <c r="W1227" t="s">
        <v>155</v>
      </c>
      <c r="AC1227" t="s">
        <v>143</v>
      </c>
      <c r="AE1227" t="s">
        <v>144</v>
      </c>
    </row>
    <row r="1228" spans="1:78" x14ac:dyDescent="0.2">
      <c r="A1228" t="s">
        <v>119</v>
      </c>
      <c r="B1228" t="s">
        <v>120</v>
      </c>
      <c r="C1228" t="s">
        <v>2956</v>
      </c>
      <c r="D1228">
        <v>1</v>
      </c>
      <c r="E1228" t="s">
        <v>1360</v>
      </c>
      <c r="F1228" t="s">
        <v>350</v>
      </c>
      <c r="G1228" t="s">
        <v>124</v>
      </c>
      <c r="H1228" t="s">
        <v>125</v>
      </c>
      <c r="I1228">
        <v>0</v>
      </c>
      <c r="J1228" t="s">
        <v>126</v>
      </c>
      <c r="K1228" t="s">
        <v>125</v>
      </c>
      <c r="L1228" t="s">
        <v>2957</v>
      </c>
      <c r="U1228" t="s">
        <v>149</v>
      </c>
      <c r="W1228" t="s">
        <v>135</v>
      </c>
      <c r="X1228">
        <v>3</v>
      </c>
      <c r="AC1228" t="s">
        <v>136</v>
      </c>
      <c r="AE1228" t="s">
        <v>137</v>
      </c>
    </row>
    <row r="1229" spans="1:78" x14ac:dyDescent="0.2">
      <c r="A1229" t="s">
        <v>119</v>
      </c>
      <c r="B1229" t="s">
        <v>120</v>
      </c>
      <c r="C1229" t="s">
        <v>2958</v>
      </c>
      <c r="D1229">
        <v>9</v>
      </c>
      <c r="E1229" t="s">
        <v>1360</v>
      </c>
      <c r="F1229" t="s">
        <v>350</v>
      </c>
      <c r="G1229" t="s">
        <v>124</v>
      </c>
      <c r="H1229" t="s">
        <v>125</v>
      </c>
      <c r="I1229">
        <v>3</v>
      </c>
      <c r="J1229" t="s">
        <v>199</v>
      </c>
      <c r="K1229" t="s">
        <v>125</v>
      </c>
      <c r="L1229" t="s">
        <v>2959</v>
      </c>
      <c r="U1229" t="s">
        <v>149</v>
      </c>
      <c r="W1229" t="s">
        <v>135</v>
      </c>
      <c r="X1229">
        <v>3</v>
      </c>
      <c r="AC1229" t="s">
        <v>136</v>
      </c>
      <c r="AE1229" t="s">
        <v>137</v>
      </c>
    </row>
    <row r="1230" spans="1:78" x14ac:dyDescent="0.2">
      <c r="A1230" t="s">
        <v>119</v>
      </c>
      <c r="B1230" t="s">
        <v>120</v>
      </c>
      <c r="C1230" t="s">
        <v>2958</v>
      </c>
      <c r="D1230">
        <v>13</v>
      </c>
      <c r="E1230" t="s">
        <v>2035</v>
      </c>
      <c r="F1230" t="s">
        <v>1399</v>
      </c>
      <c r="G1230" t="s">
        <v>124</v>
      </c>
      <c r="H1230" t="s">
        <v>125</v>
      </c>
      <c r="I1230">
        <v>3</v>
      </c>
      <c r="J1230" t="s">
        <v>199</v>
      </c>
      <c r="K1230" t="s">
        <v>125</v>
      </c>
      <c r="L1230" t="s">
        <v>2960</v>
      </c>
      <c r="U1230" t="s">
        <v>149</v>
      </c>
      <c r="W1230" t="s">
        <v>135</v>
      </c>
      <c r="X1230">
        <v>1</v>
      </c>
      <c r="AC1230" t="s">
        <v>136</v>
      </c>
      <c r="AE1230" t="s">
        <v>137</v>
      </c>
    </row>
    <row r="1231" spans="1:78" x14ac:dyDescent="0.2">
      <c r="A1231" t="s">
        <v>119</v>
      </c>
      <c r="B1231" t="s">
        <v>120</v>
      </c>
      <c r="C1231" t="s">
        <v>2958</v>
      </c>
      <c r="D1231">
        <v>18</v>
      </c>
      <c r="E1231" t="s">
        <v>2961</v>
      </c>
      <c r="F1231" t="s">
        <v>2962</v>
      </c>
      <c r="G1231" t="s">
        <v>124</v>
      </c>
      <c r="H1231" t="s">
        <v>125</v>
      </c>
      <c r="I1231">
        <v>17</v>
      </c>
      <c r="J1231" t="s">
        <v>294</v>
      </c>
      <c r="K1231" t="s">
        <v>125</v>
      </c>
      <c r="L1231" t="s">
        <v>2963</v>
      </c>
      <c r="U1231" t="s">
        <v>149</v>
      </c>
      <c r="W1231" t="s">
        <v>135</v>
      </c>
      <c r="X1231">
        <v>1</v>
      </c>
      <c r="AC1231" t="s">
        <v>136</v>
      </c>
      <c r="AE1231" t="s">
        <v>137</v>
      </c>
    </row>
    <row r="1232" spans="1:78" hidden="1" x14ac:dyDescent="0.2">
      <c r="A1232" t="s">
        <v>119</v>
      </c>
      <c r="B1232" t="s">
        <v>120</v>
      </c>
      <c r="C1232" t="s">
        <v>2958</v>
      </c>
      <c r="D1232">
        <v>22</v>
      </c>
      <c r="E1232" t="s">
        <v>691</v>
      </c>
      <c r="F1232" t="s">
        <v>261</v>
      </c>
      <c r="G1232" t="s">
        <v>124</v>
      </c>
      <c r="H1232" t="s">
        <v>125</v>
      </c>
      <c r="I1232">
        <v>3</v>
      </c>
      <c r="J1232" t="s">
        <v>199</v>
      </c>
      <c r="K1232" t="s">
        <v>125</v>
      </c>
      <c r="L1232" t="s">
        <v>2964</v>
      </c>
      <c r="T1232" t="s">
        <v>154</v>
      </c>
      <c r="W1232" t="s">
        <v>135</v>
      </c>
      <c r="AC1232" t="s">
        <v>143</v>
      </c>
      <c r="AE1232" t="s">
        <v>144</v>
      </c>
      <c r="AG1232">
        <v>20</v>
      </c>
      <c r="AH1232" t="s">
        <v>421</v>
      </c>
      <c r="AI1232" t="s">
        <v>205</v>
      </c>
      <c r="AJ1232" t="s">
        <v>131</v>
      </c>
      <c r="AK1232" t="s">
        <v>125</v>
      </c>
      <c r="AL1232">
        <v>22</v>
      </c>
      <c r="AM1232" t="s">
        <v>132</v>
      </c>
      <c r="AN1232" t="s">
        <v>125</v>
      </c>
      <c r="AO1232" t="s">
        <v>2965</v>
      </c>
      <c r="BO1232" t="s">
        <v>154</v>
      </c>
      <c r="BR1232" t="s">
        <v>135</v>
      </c>
    </row>
    <row r="1233" spans="1:78" hidden="1" x14ac:dyDescent="0.2">
      <c r="A1233" t="s">
        <v>119</v>
      </c>
      <c r="B1233" t="s">
        <v>120</v>
      </c>
      <c r="C1233" t="s">
        <v>2966</v>
      </c>
      <c r="D1233">
        <v>3</v>
      </c>
      <c r="E1233" t="s">
        <v>202</v>
      </c>
      <c r="F1233" t="s">
        <v>202</v>
      </c>
      <c r="G1233" t="s">
        <v>124</v>
      </c>
      <c r="H1233" t="s">
        <v>125</v>
      </c>
      <c r="I1233">
        <v>0</v>
      </c>
      <c r="J1233" t="s">
        <v>126</v>
      </c>
      <c r="K1233" t="s">
        <v>125</v>
      </c>
      <c r="L1233" t="s">
        <v>2967</v>
      </c>
      <c r="AE1233" t="s">
        <v>128</v>
      </c>
      <c r="AG1233">
        <v>2</v>
      </c>
      <c r="AH1233" t="s">
        <v>924</v>
      </c>
      <c r="AI1233" t="s">
        <v>667</v>
      </c>
      <c r="AJ1233" t="s">
        <v>131</v>
      </c>
      <c r="AK1233" t="s">
        <v>125</v>
      </c>
      <c r="AL1233">
        <v>3</v>
      </c>
      <c r="AM1233" t="s">
        <v>132</v>
      </c>
      <c r="AN1233" t="s">
        <v>125</v>
      </c>
      <c r="AO1233" t="s">
        <v>2968</v>
      </c>
      <c r="BP1233" t="s">
        <v>134</v>
      </c>
      <c r="BR1233" t="s">
        <v>135</v>
      </c>
      <c r="BS1233">
        <v>1</v>
      </c>
      <c r="BX1233" t="s">
        <v>136</v>
      </c>
      <c r="BZ1233" t="s">
        <v>137</v>
      </c>
    </row>
    <row r="1234" spans="1:78" x14ac:dyDescent="0.2">
      <c r="A1234" t="s">
        <v>119</v>
      </c>
      <c r="B1234" t="s">
        <v>120</v>
      </c>
      <c r="C1234" t="s">
        <v>2969</v>
      </c>
      <c r="D1234">
        <v>1</v>
      </c>
      <c r="E1234" t="s">
        <v>1360</v>
      </c>
      <c r="F1234" t="s">
        <v>350</v>
      </c>
      <c r="G1234" t="s">
        <v>124</v>
      </c>
      <c r="H1234" t="s">
        <v>125</v>
      </c>
      <c r="I1234">
        <v>0</v>
      </c>
      <c r="J1234" t="s">
        <v>126</v>
      </c>
      <c r="K1234" t="s">
        <v>125</v>
      </c>
      <c r="L1234" t="s">
        <v>2970</v>
      </c>
      <c r="U1234" t="s">
        <v>149</v>
      </c>
      <c r="W1234" t="s">
        <v>135</v>
      </c>
      <c r="X1234">
        <v>3</v>
      </c>
      <c r="AC1234" t="s">
        <v>136</v>
      </c>
      <c r="AE1234" t="s">
        <v>137</v>
      </c>
    </row>
    <row r="1235" spans="1:78" hidden="1" x14ac:dyDescent="0.2">
      <c r="A1235" t="s">
        <v>119</v>
      </c>
      <c r="B1235" t="s">
        <v>120</v>
      </c>
      <c r="C1235" t="s">
        <v>2971</v>
      </c>
      <c r="D1235">
        <v>4</v>
      </c>
      <c r="E1235" t="s">
        <v>2972</v>
      </c>
      <c r="F1235" t="s">
        <v>2972</v>
      </c>
      <c r="G1235" t="s">
        <v>124</v>
      </c>
      <c r="H1235" t="s">
        <v>125</v>
      </c>
      <c r="I1235">
        <v>0</v>
      </c>
      <c r="J1235" t="s">
        <v>126</v>
      </c>
      <c r="K1235" t="s">
        <v>125</v>
      </c>
      <c r="L1235" t="s">
        <v>335</v>
      </c>
      <c r="T1235" t="s">
        <v>154</v>
      </c>
      <c r="W1235" t="s">
        <v>135</v>
      </c>
      <c r="AC1235" t="s">
        <v>143</v>
      </c>
      <c r="AE1235" t="s">
        <v>144</v>
      </c>
      <c r="AG1235">
        <v>2</v>
      </c>
      <c r="AH1235" t="s">
        <v>204</v>
      </c>
      <c r="AI1235" t="s">
        <v>205</v>
      </c>
      <c r="AJ1235" t="s">
        <v>131</v>
      </c>
      <c r="AK1235" t="s">
        <v>125</v>
      </c>
      <c r="AL1235">
        <v>4</v>
      </c>
      <c r="AM1235" t="s">
        <v>132</v>
      </c>
      <c r="AN1235" t="s">
        <v>125</v>
      </c>
      <c r="AO1235" t="s">
        <v>2973</v>
      </c>
      <c r="BP1235" t="s">
        <v>149</v>
      </c>
      <c r="BR1235" t="s">
        <v>135</v>
      </c>
      <c r="BS1235">
        <v>1</v>
      </c>
      <c r="BX1235" t="s">
        <v>136</v>
      </c>
      <c r="BZ1235" t="s">
        <v>137</v>
      </c>
    </row>
    <row r="1236" spans="1:78" x14ac:dyDescent="0.2">
      <c r="A1236" t="s">
        <v>119</v>
      </c>
      <c r="B1236" t="s">
        <v>120</v>
      </c>
      <c r="C1236" t="s">
        <v>2971</v>
      </c>
      <c r="D1236">
        <v>7</v>
      </c>
      <c r="E1236" t="s">
        <v>160</v>
      </c>
      <c r="F1236" t="s">
        <v>146</v>
      </c>
      <c r="G1236" t="s">
        <v>124</v>
      </c>
      <c r="H1236" t="s">
        <v>125</v>
      </c>
      <c r="I1236">
        <v>4</v>
      </c>
      <c r="J1236" t="s">
        <v>264</v>
      </c>
      <c r="K1236" t="s">
        <v>125</v>
      </c>
      <c r="L1236" t="s">
        <v>2974</v>
      </c>
      <c r="U1236" t="s">
        <v>149</v>
      </c>
      <c r="W1236" t="s">
        <v>155</v>
      </c>
      <c r="X1236">
        <v>3</v>
      </c>
      <c r="AC1236" t="s">
        <v>136</v>
      </c>
      <c r="AE1236" t="s">
        <v>137</v>
      </c>
    </row>
    <row r="1237" spans="1:78" hidden="1" x14ac:dyDescent="0.2">
      <c r="A1237" t="s">
        <v>119</v>
      </c>
      <c r="B1237" t="s">
        <v>120</v>
      </c>
      <c r="C1237" t="s">
        <v>2975</v>
      </c>
      <c r="D1237">
        <v>2</v>
      </c>
      <c r="E1237" t="s">
        <v>2976</v>
      </c>
      <c r="F1237" t="s">
        <v>2977</v>
      </c>
      <c r="G1237" t="s">
        <v>124</v>
      </c>
      <c r="H1237" t="s">
        <v>125</v>
      </c>
      <c r="I1237">
        <v>0</v>
      </c>
      <c r="J1237" t="s">
        <v>126</v>
      </c>
      <c r="K1237" t="s">
        <v>125</v>
      </c>
      <c r="L1237" t="s">
        <v>2978</v>
      </c>
      <c r="U1237" t="s">
        <v>149</v>
      </c>
      <c r="W1237" t="s">
        <v>135</v>
      </c>
      <c r="X1237">
        <v>3</v>
      </c>
      <c r="AC1237" t="s">
        <v>143</v>
      </c>
      <c r="AE1237" t="s">
        <v>137</v>
      </c>
    </row>
    <row r="1238" spans="1:78" hidden="1" x14ac:dyDescent="0.2">
      <c r="A1238" t="s">
        <v>119</v>
      </c>
      <c r="B1238" t="s">
        <v>120</v>
      </c>
      <c r="C1238" t="s">
        <v>2979</v>
      </c>
      <c r="D1238">
        <v>6</v>
      </c>
      <c r="E1238" t="s">
        <v>2980</v>
      </c>
      <c r="F1238" t="s">
        <v>2981</v>
      </c>
      <c r="G1238" t="s">
        <v>124</v>
      </c>
      <c r="H1238" t="s">
        <v>125</v>
      </c>
      <c r="I1238">
        <v>9</v>
      </c>
      <c r="J1238" t="s">
        <v>268</v>
      </c>
      <c r="K1238" t="s">
        <v>125</v>
      </c>
      <c r="L1238" t="s">
        <v>2982</v>
      </c>
      <c r="AE1238" t="s">
        <v>128</v>
      </c>
      <c r="AG1238">
        <v>5</v>
      </c>
      <c r="AH1238" t="s">
        <v>2983</v>
      </c>
      <c r="AI1238" t="s">
        <v>130</v>
      </c>
      <c r="AJ1238" t="s">
        <v>131</v>
      </c>
      <c r="AK1238" t="s">
        <v>125</v>
      </c>
      <c r="AL1238">
        <v>6</v>
      </c>
      <c r="AM1238" t="s">
        <v>132</v>
      </c>
      <c r="AN1238" t="s">
        <v>125</v>
      </c>
      <c r="AO1238" t="s">
        <v>2984</v>
      </c>
      <c r="BP1238" t="s">
        <v>309</v>
      </c>
      <c r="BR1238" t="s">
        <v>155</v>
      </c>
      <c r="BS1238">
        <v>3</v>
      </c>
      <c r="BX1238" t="s">
        <v>209</v>
      </c>
      <c r="BZ1238" t="s">
        <v>137</v>
      </c>
    </row>
    <row r="1239" spans="1:78" hidden="1" x14ac:dyDescent="0.2">
      <c r="A1239" t="s">
        <v>119</v>
      </c>
      <c r="B1239" t="s">
        <v>120</v>
      </c>
      <c r="C1239" t="s">
        <v>2979</v>
      </c>
      <c r="D1239">
        <v>9</v>
      </c>
      <c r="E1239" t="s">
        <v>2985</v>
      </c>
      <c r="F1239" t="s">
        <v>2986</v>
      </c>
      <c r="G1239" t="s">
        <v>124</v>
      </c>
      <c r="H1239" t="s">
        <v>125</v>
      </c>
      <c r="I1239">
        <v>0</v>
      </c>
      <c r="J1239" t="s">
        <v>126</v>
      </c>
      <c r="K1239" t="s">
        <v>125</v>
      </c>
      <c r="L1239" t="s">
        <v>2987</v>
      </c>
      <c r="U1239" t="s">
        <v>149</v>
      </c>
      <c r="W1239" t="s">
        <v>135</v>
      </c>
      <c r="X1239">
        <v>3</v>
      </c>
      <c r="AC1239" t="s">
        <v>143</v>
      </c>
      <c r="AE1239" t="s">
        <v>137</v>
      </c>
      <c r="AG1239">
        <v>13</v>
      </c>
      <c r="AH1239" t="s">
        <v>160</v>
      </c>
      <c r="AI1239" t="s">
        <v>146</v>
      </c>
      <c r="AJ1239" t="s">
        <v>131</v>
      </c>
      <c r="AK1239" t="s">
        <v>125</v>
      </c>
      <c r="AL1239">
        <v>9</v>
      </c>
      <c r="AM1239" t="s">
        <v>199</v>
      </c>
      <c r="AN1239" t="s">
        <v>125</v>
      </c>
      <c r="AO1239" t="s">
        <v>2988</v>
      </c>
      <c r="BP1239" t="s">
        <v>149</v>
      </c>
      <c r="BR1239" t="s">
        <v>155</v>
      </c>
      <c r="BS1239">
        <v>3</v>
      </c>
      <c r="BX1239" t="s">
        <v>136</v>
      </c>
      <c r="BZ1239" t="s">
        <v>137</v>
      </c>
    </row>
    <row r="1240" spans="1:78" x14ac:dyDescent="0.2">
      <c r="A1240" t="s">
        <v>119</v>
      </c>
      <c r="B1240" t="s">
        <v>120</v>
      </c>
      <c r="C1240" t="s">
        <v>2989</v>
      </c>
      <c r="D1240">
        <v>3</v>
      </c>
      <c r="E1240" t="s">
        <v>2990</v>
      </c>
      <c r="F1240" t="s">
        <v>723</v>
      </c>
      <c r="G1240" t="s">
        <v>124</v>
      </c>
      <c r="H1240" t="s">
        <v>125</v>
      </c>
      <c r="I1240">
        <v>0</v>
      </c>
      <c r="J1240" t="s">
        <v>126</v>
      </c>
      <c r="K1240" t="s">
        <v>125</v>
      </c>
      <c r="L1240" t="s">
        <v>362</v>
      </c>
      <c r="U1240" t="s">
        <v>149</v>
      </c>
      <c r="W1240" t="s">
        <v>155</v>
      </c>
      <c r="X1240">
        <v>3</v>
      </c>
      <c r="AC1240" t="s">
        <v>136</v>
      </c>
      <c r="AE1240" t="s">
        <v>137</v>
      </c>
    </row>
    <row r="1241" spans="1:78" hidden="1" x14ac:dyDescent="0.2">
      <c r="A1241" t="s">
        <v>119</v>
      </c>
      <c r="B1241" t="s">
        <v>120</v>
      </c>
      <c r="C1241" t="s">
        <v>2989</v>
      </c>
      <c r="D1241">
        <v>5</v>
      </c>
      <c r="E1241" t="s">
        <v>2991</v>
      </c>
      <c r="F1241" t="s">
        <v>2991</v>
      </c>
      <c r="G1241" t="s">
        <v>124</v>
      </c>
      <c r="H1241" t="s">
        <v>125</v>
      </c>
      <c r="I1241">
        <v>3</v>
      </c>
      <c r="J1241" t="s">
        <v>294</v>
      </c>
      <c r="K1241" t="s">
        <v>125</v>
      </c>
      <c r="L1241" t="s">
        <v>2992</v>
      </c>
      <c r="AE1241" t="s">
        <v>128</v>
      </c>
    </row>
    <row r="1242" spans="1:78" x14ac:dyDescent="0.2">
      <c r="A1242" t="s">
        <v>119</v>
      </c>
      <c r="B1242" t="s">
        <v>120</v>
      </c>
      <c r="C1242" t="s">
        <v>2993</v>
      </c>
      <c r="D1242">
        <v>1</v>
      </c>
      <c r="E1242" t="s">
        <v>1360</v>
      </c>
      <c r="F1242" t="s">
        <v>350</v>
      </c>
      <c r="G1242" t="s">
        <v>124</v>
      </c>
      <c r="H1242" t="s">
        <v>125</v>
      </c>
      <c r="I1242">
        <v>0</v>
      </c>
      <c r="J1242" t="s">
        <v>126</v>
      </c>
      <c r="K1242" t="s">
        <v>125</v>
      </c>
      <c r="L1242" t="s">
        <v>2994</v>
      </c>
      <c r="U1242" t="s">
        <v>149</v>
      </c>
      <c r="W1242" t="s">
        <v>135</v>
      </c>
      <c r="X1242">
        <v>3</v>
      </c>
      <c r="AC1242" t="s">
        <v>136</v>
      </c>
      <c r="AE1242" t="s">
        <v>137</v>
      </c>
    </row>
    <row r="1243" spans="1:78" x14ac:dyDescent="0.2">
      <c r="A1243" t="s">
        <v>119</v>
      </c>
      <c r="B1243" t="s">
        <v>120</v>
      </c>
      <c r="C1243" t="s">
        <v>2995</v>
      </c>
      <c r="D1243">
        <v>1</v>
      </c>
      <c r="E1243" t="s">
        <v>1360</v>
      </c>
      <c r="F1243" t="s">
        <v>350</v>
      </c>
      <c r="G1243" t="s">
        <v>124</v>
      </c>
      <c r="H1243" t="s">
        <v>125</v>
      </c>
      <c r="I1243">
        <v>0</v>
      </c>
      <c r="J1243" t="s">
        <v>126</v>
      </c>
      <c r="K1243" t="s">
        <v>125</v>
      </c>
      <c r="L1243" t="s">
        <v>2996</v>
      </c>
      <c r="U1243" t="s">
        <v>149</v>
      </c>
      <c r="W1243" t="s">
        <v>135</v>
      </c>
      <c r="X1243">
        <v>3</v>
      </c>
      <c r="AC1243" t="s">
        <v>136</v>
      </c>
      <c r="AE1243" t="s">
        <v>137</v>
      </c>
    </row>
    <row r="1244" spans="1:78" hidden="1" x14ac:dyDescent="0.2">
      <c r="A1244" t="s">
        <v>119</v>
      </c>
      <c r="B1244" t="s">
        <v>120</v>
      </c>
      <c r="C1244" t="s">
        <v>2997</v>
      </c>
      <c r="D1244">
        <v>1</v>
      </c>
      <c r="E1244" t="s">
        <v>2998</v>
      </c>
      <c r="F1244" t="s">
        <v>2999</v>
      </c>
      <c r="G1244" t="s">
        <v>124</v>
      </c>
      <c r="H1244" t="s">
        <v>125</v>
      </c>
      <c r="I1244">
        <v>0</v>
      </c>
      <c r="J1244" t="s">
        <v>126</v>
      </c>
      <c r="K1244" t="s">
        <v>125</v>
      </c>
      <c r="L1244" t="s">
        <v>3000</v>
      </c>
      <c r="AE1244" t="s">
        <v>128</v>
      </c>
    </row>
    <row r="1245" spans="1:78" x14ac:dyDescent="0.2">
      <c r="A1245" t="s">
        <v>119</v>
      </c>
      <c r="B1245" t="s">
        <v>120</v>
      </c>
      <c r="C1245" t="s">
        <v>3001</v>
      </c>
      <c r="D1245">
        <v>3</v>
      </c>
      <c r="E1245" t="s">
        <v>197</v>
      </c>
      <c r="F1245" t="s">
        <v>198</v>
      </c>
      <c r="G1245" t="s">
        <v>124</v>
      </c>
      <c r="H1245" t="s">
        <v>125</v>
      </c>
      <c r="I1245">
        <v>0</v>
      </c>
      <c r="J1245" t="s">
        <v>126</v>
      </c>
      <c r="K1245" t="s">
        <v>125</v>
      </c>
      <c r="L1245" t="s">
        <v>3002</v>
      </c>
      <c r="U1245" t="s">
        <v>149</v>
      </c>
      <c r="W1245" t="s">
        <v>135</v>
      </c>
      <c r="X1245">
        <v>1</v>
      </c>
      <c r="AC1245" t="s">
        <v>136</v>
      </c>
      <c r="AE1245" t="s">
        <v>137</v>
      </c>
    </row>
    <row r="1246" spans="1:78" hidden="1" x14ac:dyDescent="0.2">
      <c r="A1246" t="s">
        <v>119</v>
      </c>
      <c r="B1246" t="s">
        <v>120</v>
      </c>
      <c r="C1246" t="s">
        <v>3001</v>
      </c>
      <c r="D1246">
        <v>6</v>
      </c>
      <c r="E1246" t="s">
        <v>3003</v>
      </c>
      <c r="F1246" t="s">
        <v>3003</v>
      </c>
      <c r="G1246" t="s">
        <v>124</v>
      </c>
      <c r="H1246" t="s">
        <v>125</v>
      </c>
      <c r="I1246">
        <v>3</v>
      </c>
      <c r="J1246" t="s">
        <v>268</v>
      </c>
      <c r="K1246" t="s">
        <v>125</v>
      </c>
      <c r="L1246" t="s">
        <v>3004</v>
      </c>
      <c r="AE1246" t="s">
        <v>128</v>
      </c>
      <c r="AG1246">
        <v>5</v>
      </c>
      <c r="AH1246" t="s">
        <v>1747</v>
      </c>
      <c r="AI1246" t="s">
        <v>572</v>
      </c>
      <c r="AJ1246" t="s">
        <v>131</v>
      </c>
      <c r="AK1246" t="s">
        <v>125</v>
      </c>
      <c r="AL1246">
        <v>6</v>
      </c>
      <c r="AM1246" t="s">
        <v>132</v>
      </c>
      <c r="AN1246" t="s">
        <v>125</v>
      </c>
      <c r="AO1246" t="s">
        <v>3005</v>
      </c>
      <c r="BP1246" t="s">
        <v>149</v>
      </c>
      <c r="BR1246" t="s">
        <v>135</v>
      </c>
      <c r="BS1246">
        <v>3</v>
      </c>
      <c r="BX1246" t="s">
        <v>136</v>
      </c>
      <c r="BZ1246" t="s">
        <v>137</v>
      </c>
    </row>
    <row r="1247" spans="1:78" hidden="1" x14ac:dyDescent="0.2">
      <c r="A1247" t="s">
        <v>119</v>
      </c>
      <c r="B1247" t="s">
        <v>120</v>
      </c>
      <c r="C1247" t="s">
        <v>3006</v>
      </c>
      <c r="D1247">
        <v>7</v>
      </c>
      <c r="E1247" t="s">
        <v>1970</v>
      </c>
      <c r="F1247" t="s">
        <v>1970</v>
      </c>
      <c r="G1247" t="s">
        <v>124</v>
      </c>
      <c r="H1247" t="s">
        <v>125</v>
      </c>
      <c r="I1247">
        <v>0</v>
      </c>
      <c r="J1247" t="s">
        <v>126</v>
      </c>
      <c r="K1247" t="s">
        <v>125</v>
      </c>
      <c r="L1247" t="s">
        <v>3007</v>
      </c>
      <c r="AE1247" t="s">
        <v>128</v>
      </c>
      <c r="AG1247">
        <v>6</v>
      </c>
      <c r="AH1247" t="s">
        <v>2502</v>
      </c>
      <c r="AI1247" t="s">
        <v>572</v>
      </c>
      <c r="AJ1247" t="s">
        <v>131</v>
      </c>
      <c r="AK1247" t="s">
        <v>125</v>
      </c>
      <c r="AL1247">
        <v>7</v>
      </c>
      <c r="AM1247" t="s">
        <v>132</v>
      </c>
      <c r="AN1247" t="s">
        <v>125</v>
      </c>
      <c r="AO1247" t="s">
        <v>3008</v>
      </c>
      <c r="BP1247" t="s">
        <v>149</v>
      </c>
      <c r="BR1247" t="s">
        <v>135</v>
      </c>
      <c r="BS1247">
        <v>1</v>
      </c>
      <c r="BX1247" t="s">
        <v>136</v>
      </c>
      <c r="BZ1247" t="s">
        <v>137</v>
      </c>
    </row>
    <row r="1248" spans="1:78" x14ac:dyDescent="0.2">
      <c r="A1248" t="s">
        <v>119</v>
      </c>
      <c r="B1248" t="s">
        <v>120</v>
      </c>
      <c r="C1248" t="s">
        <v>3009</v>
      </c>
      <c r="D1248">
        <v>1</v>
      </c>
      <c r="E1248" t="s">
        <v>1805</v>
      </c>
      <c r="F1248" t="s">
        <v>140</v>
      </c>
      <c r="G1248" t="s">
        <v>124</v>
      </c>
      <c r="H1248" t="s">
        <v>125</v>
      </c>
      <c r="I1248">
        <v>0</v>
      </c>
      <c r="J1248" t="s">
        <v>126</v>
      </c>
      <c r="K1248" t="s">
        <v>125</v>
      </c>
      <c r="L1248" t="s">
        <v>3010</v>
      </c>
      <c r="U1248" t="s">
        <v>149</v>
      </c>
      <c r="W1248" t="s">
        <v>155</v>
      </c>
      <c r="X1248">
        <v>1</v>
      </c>
      <c r="AC1248" t="s">
        <v>136</v>
      </c>
      <c r="AE1248" t="s">
        <v>137</v>
      </c>
    </row>
    <row r="1249" spans="1:78" x14ac:dyDescent="0.2">
      <c r="A1249" t="s">
        <v>119</v>
      </c>
      <c r="B1249" t="s">
        <v>120</v>
      </c>
      <c r="C1249" t="s">
        <v>3011</v>
      </c>
      <c r="D1249">
        <v>4</v>
      </c>
      <c r="E1249" t="s">
        <v>1246</v>
      </c>
      <c r="F1249" t="s">
        <v>1228</v>
      </c>
      <c r="G1249" t="s">
        <v>124</v>
      </c>
      <c r="H1249" t="s">
        <v>125</v>
      </c>
      <c r="I1249">
        <v>0</v>
      </c>
      <c r="J1249" t="s">
        <v>126</v>
      </c>
      <c r="K1249" t="s">
        <v>125</v>
      </c>
      <c r="L1249" t="s">
        <v>3012</v>
      </c>
      <c r="U1249" t="s">
        <v>149</v>
      </c>
      <c r="W1249" t="s">
        <v>135</v>
      </c>
      <c r="X1249">
        <v>3</v>
      </c>
      <c r="AC1249" t="s">
        <v>136</v>
      </c>
      <c r="AE1249" t="s">
        <v>137</v>
      </c>
    </row>
    <row r="1250" spans="1:78" x14ac:dyDescent="0.2">
      <c r="A1250" t="s">
        <v>119</v>
      </c>
      <c r="B1250" t="s">
        <v>120</v>
      </c>
      <c r="C1250" t="s">
        <v>3011</v>
      </c>
      <c r="D1250">
        <v>9</v>
      </c>
      <c r="E1250" t="s">
        <v>3013</v>
      </c>
      <c r="F1250" t="s">
        <v>3014</v>
      </c>
      <c r="G1250" t="s">
        <v>124</v>
      </c>
      <c r="H1250" t="s">
        <v>125</v>
      </c>
      <c r="I1250">
        <v>5</v>
      </c>
      <c r="J1250" t="s">
        <v>170</v>
      </c>
      <c r="K1250" t="s">
        <v>125</v>
      </c>
      <c r="L1250" t="s">
        <v>3015</v>
      </c>
      <c r="U1250" t="s">
        <v>149</v>
      </c>
      <c r="W1250" t="s">
        <v>135</v>
      </c>
      <c r="X1250">
        <v>3</v>
      </c>
      <c r="AC1250" t="s">
        <v>136</v>
      </c>
      <c r="AE1250" t="s">
        <v>137</v>
      </c>
    </row>
    <row r="1251" spans="1:78" hidden="1" x14ac:dyDescent="0.2">
      <c r="A1251" t="s">
        <v>119</v>
      </c>
      <c r="B1251" t="s">
        <v>120</v>
      </c>
      <c r="C1251" t="s">
        <v>3016</v>
      </c>
      <c r="D1251">
        <v>5</v>
      </c>
      <c r="E1251" t="s">
        <v>1969</v>
      </c>
      <c r="F1251" t="s">
        <v>1969</v>
      </c>
      <c r="G1251" t="s">
        <v>124</v>
      </c>
      <c r="H1251" t="s">
        <v>125</v>
      </c>
      <c r="I1251">
        <v>2</v>
      </c>
      <c r="J1251" t="s">
        <v>170</v>
      </c>
      <c r="K1251" t="s">
        <v>125</v>
      </c>
      <c r="L1251" t="s">
        <v>3017</v>
      </c>
      <c r="T1251" t="s">
        <v>154</v>
      </c>
      <c r="W1251" t="s">
        <v>135</v>
      </c>
      <c r="AC1251" t="s">
        <v>143</v>
      </c>
      <c r="AE1251" t="s">
        <v>144</v>
      </c>
      <c r="AG1251">
        <v>4</v>
      </c>
      <c r="AH1251" t="s">
        <v>204</v>
      </c>
      <c r="AI1251" t="s">
        <v>205</v>
      </c>
      <c r="AJ1251" t="s">
        <v>131</v>
      </c>
      <c r="AK1251" t="s">
        <v>125</v>
      </c>
      <c r="AL1251">
        <v>5</v>
      </c>
      <c r="AM1251" t="s">
        <v>132</v>
      </c>
      <c r="AN1251" t="s">
        <v>125</v>
      </c>
      <c r="AO1251" t="s">
        <v>3018</v>
      </c>
      <c r="BP1251" t="s">
        <v>149</v>
      </c>
      <c r="BR1251" t="s">
        <v>135</v>
      </c>
      <c r="BS1251">
        <v>1</v>
      </c>
      <c r="BX1251" t="s">
        <v>136</v>
      </c>
      <c r="BZ1251" t="s">
        <v>137</v>
      </c>
    </row>
    <row r="1252" spans="1:78" hidden="1" x14ac:dyDescent="0.2">
      <c r="A1252" t="s">
        <v>119</v>
      </c>
      <c r="B1252" t="s">
        <v>120</v>
      </c>
      <c r="C1252" t="s">
        <v>3016</v>
      </c>
      <c r="D1252">
        <v>14</v>
      </c>
      <c r="E1252" t="s">
        <v>3019</v>
      </c>
      <c r="F1252" t="s">
        <v>3020</v>
      </c>
      <c r="G1252" t="s">
        <v>124</v>
      </c>
      <c r="H1252" t="s">
        <v>125</v>
      </c>
      <c r="I1252">
        <v>10</v>
      </c>
      <c r="J1252" t="s">
        <v>170</v>
      </c>
      <c r="K1252" t="s">
        <v>125</v>
      </c>
      <c r="L1252" t="s">
        <v>3021</v>
      </c>
      <c r="T1252" t="s">
        <v>154</v>
      </c>
      <c r="W1252" t="s">
        <v>135</v>
      </c>
      <c r="AC1252" t="s">
        <v>143</v>
      </c>
      <c r="AE1252" t="s">
        <v>144</v>
      </c>
      <c r="AG1252">
        <v>12</v>
      </c>
      <c r="AH1252" t="s">
        <v>706</v>
      </c>
      <c r="AI1252" t="s">
        <v>205</v>
      </c>
      <c r="AJ1252" t="s">
        <v>131</v>
      </c>
      <c r="AK1252" t="s">
        <v>125</v>
      </c>
      <c r="AL1252">
        <v>14</v>
      </c>
      <c r="AM1252" t="s">
        <v>132</v>
      </c>
      <c r="AN1252" t="s">
        <v>125</v>
      </c>
      <c r="AO1252" t="s">
        <v>3022</v>
      </c>
      <c r="BP1252" t="s">
        <v>149</v>
      </c>
      <c r="BR1252" t="s">
        <v>155</v>
      </c>
      <c r="BS1252">
        <v>3</v>
      </c>
      <c r="BX1252" t="s">
        <v>209</v>
      </c>
      <c r="BZ1252" t="s">
        <v>137</v>
      </c>
    </row>
    <row r="1253" spans="1:78" hidden="1" x14ac:dyDescent="0.2">
      <c r="A1253" t="s">
        <v>119</v>
      </c>
      <c r="B1253" t="s">
        <v>120</v>
      </c>
      <c r="C1253" t="s">
        <v>3023</v>
      </c>
      <c r="D1253">
        <v>4</v>
      </c>
      <c r="E1253" t="s">
        <v>3024</v>
      </c>
      <c r="F1253" t="s">
        <v>140</v>
      </c>
      <c r="G1253" t="s">
        <v>124</v>
      </c>
      <c r="H1253" t="s">
        <v>125</v>
      </c>
      <c r="I1253">
        <v>0</v>
      </c>
      <c r="J1253" t="s">
        <v>126</v>
      </c>
      <c r="K1253" t="s">
        <v>125</v>
      </c>
      <c r="L1253" t="s">
        <v>3025</v>
      </c>
      <c r="T1253" t="s">
        <v>142</v>
      </c>
      <c r="W1253" t="s">
        <v>155</v>
      </c>
      <c r="AC1253" t="s">
        <v>143</v>
      </c>
      <c r="AE1253" t="s">
        <v>144</v>
      </c>
      <c r="AG1253">
        <v>3</v>
      </c>
      <c r="AH1253" t="s">
        <v>614</v>
      </c>
      <c r="AI1253" t="s">
        <v>205</v>
      </c>
      <c r="AJ1253" t="s">
        <v>131</v>
      </c>
      <c r="AK1253" t="s">
        <v>125</v>
      </c>
      <c r="AL1253">
        <v>4</v>
      </c>
      <c r="AM1253" t="s">
        <v>132</v>
      </c>
      <c r="AN1253" t="s">
        <v>125</v>
      </c>
      <c r="AO1253" t="s">
        <v>3026</v>
      </c>
      <c r="BP1253" t="s">
        <v>149</v>
      </c>
      <c r="BR1253" t="s">
        <v>135</v>
      </c>
      <c r="BS1253">
        <v>3</v>
      </c>
      <c r="BX1253" t="s">
        <v>136</v>
      </c>
      <c r="BZ1253" t="s">
        <v>137</v>
      </c>
    </row>
    <row r="1254" spans="1:78" hidden="1" x14ac:dyDescent="0.2">
      <c r="A1254" t="s">
        <v>119</v>
      </c>
      <c r="B1254" t="s">
        <v>120</v>
      </c>
      <c r="C1254" t="s">
        <v>3027</v>
      </c>
      <c r="D1254">
        <v>7</v>
      </c>
      <c r="E1254" t="s">
        <v>207</v>
      </c>
      <c r="F1254" t="s">
        <v>146</v>
      </c>
      <c r="G1254" t="s">
        <v>124</v>
      </c>
      <c r="H1254" t="s">
        <v>125</v>
      </c>
      <c r="I1254">
        <v>0</v>
      </c>
      <c r="J1254" t="s">
        <v>126</v>
      </c>
      <c r="K1254" t="s">
        <v>125</v>
      </c>
      <c r="L1254" t="s">
        <v>3028</v>
      </c>
      <c r="U1254" t="s">
        <v>149</v>
      </c>
      <c r="W1254" t="s">
        <v>135</v>
      </c>
      <c r="X1254">
        <v>3</v>
      </c>
      <c r="AC1254" t="s">
        <v>209</v>
      </c>
      <c r="AE1254" t="s">
        <v>137</v>
      </c>
    </row>
    <row r="1255" spans="1:78" x14ac:dyDescent="0.2">
      <c r="A1255" t="s">
        <v>119</v>
      </c>
      <c r="B1255" t="s">
        <v>120</v>
      </c>
      <c r="C1255" t="s">
        <v>3029</v>
      </c>
      <c r="D1255">
        <v>9</v>
      </c>
      <c r="E1255" t="s">
        <v>145</v>
      </c>
      <c r="F1255" t="s">
        <v>146</v>
      </c>
      <c r="G1255" t="s">
        <v>124</v>
      </c>
      <c r="H1255" t="s">
        <v>125</v>
      </c>
      <c r="I1255">
        <v>0</v>
      </c>
      <c r="J1255" t="s">
        <v>126</v>
      </c>
      <c r="K1255" t="s">
        <v>125</v>
      </c>
      <c r="L1255" t="s">
        <v>3030</v>
      </c>
      <c r="U1255" t="s">
        <v>149</v>
      </c>
      <c r="W1255" t="s">
        <v>135</v>
      </c>
      <c r="X1255">
        <v>3</v>
      </c>
      <c r="AC1255" t="s">
        <v>136</v>
      </c>
      <c r="AE1255" t="s">
        <v>137</v>
      </c>
    </row>
    <row r="1256" spans="1:78" x14ac:dyDescent="0.2">
      <c r="A1256" t="s">
        <v>119</v>
      </c>
      <c r="B1256" t="s">
        <v>120</v>
      </c>
      <c r="C1256" t="s">
        <v>3029</v>
      </c>
      <c r="D1256">
        <v>12</v>
      </c>
      <c r="E1256" t="s">
        <v>204</v>
      </c>
      <c r="F1256" t="s">
        <v>205</v>
      </c>
      <c r="G1256" t="s">
        <v>124</v>
      </c>
      <c r="H1256" t="s">
        <v>125</v>
      </c>
      <c r="I1256">
        <v>9</v>
      </c>
      <c r="J1256" t="s">
        <v>199</v>
      </c>
      <c r="K1256" t="s">
        <v>125</v>
      </c>
      <c r="L1256" t="s">
        <v>3031</v>
      </c>
      <c r="U1256" t="s">
        <v>149</v>
      </c>
      <c r="W1256" t="s">
        <v>135</v>
      </c>
      <c r="X1256">
        <v>1</v>
      </c>
      <c r="AC1256" t="s">
        <v>136</v>
      </c>
      <c r="AE1256" t="s">
        <v>137</v>
      </c>
    </row>
    <row r="1257" spans="1:78" hidden="1" x14ac:dyDescent="0.2">
      <c r="A1257" t="s">
        <v>119</v>
      </c>
      <c r="B1257" t="s">
        <v>120</v>
      </c>
      <c r="C1257" t="s">
        <v>3029</v>
      </c>
      <c r="D1257">
        <v>16</v>
      </c>
      <c r="E1257" t="s">
        <v>723</v>
      </c>
      <c r="F1257" t="s">
        <v>723</v>
      </c>
      <c r="G1257" t="s">
        <v>124</v>
      </c>
      <c r="H1257" t="s">
        <v>125</v>
      </c>
      <c r="I1257">
        <v>9</v>
      </c>
      <c r="J1257" t="s">
        <v>264</v>
      </c>
      <c r="K1257" t="s">
        <v>125</v>
      </c>
      <c r="L1257" t="s">
        <v>3032</v>
      </c>
      <c r="AE1257" t="s">
        <v>128</v>
      </c>
      <c r="AG1257">
        <v>15</v>
      </c>
      <c r="AH1257" t="s">
        <v>3033</v>
      </c>
      <c r="AI1257" t="s">
        <v>130</v>
      </c>
      <c r="AJ1257" t="s">
        <v>131</v>
      </c>
      <c r="AK1257" t="s">
        <v>125</v>
      </c>
      <c r="AL1257">
        <v>16</v>
      </c>
      <c r="AM1257" t="s">
        <v>132</v>
      </c>
      <c r="AN1257" t="s">
        <v>125</v>
      </c>
      <c r="AO1257" t="s">
        <v>3034</v>
      </c>
      <c r="BP1257" t="s">
        <v>134</v>
      </c>
      <c r="BR1257" t="s">
        <v>135</v>
      </c>
      <c r="BS1257">
        <v>1</v>
      </c>
      <c r="BX1257" t="s">
        <v>136</v>
      </c>
      <c r="BZ1257" t="s">
        <v>137</v>
      </c>
    </row>
    <row r="1258" spans="1:78" hidden="1" x14ac:dyDescent="0.2">
      <c r="A1258" t="s">
        <v>119</v>
      </c>
      <c r="B1258" t="s">
        <v>120</v>
      </c>
      <c r="C1258" t="s">
        <v>3029</v>
      </c>
      <c r="D1258">
        <v>19</v>
      </c>
      <c r="E1258" t="s">
        <v>3035</v>
      </c>
      <c r="F1258" t="s">
        <v>3035</v>
      </c>
      <c r="G1258" t="s">
        <v>124</v>
      </c>
      <c r="H1258" t="s">
        <v>125</v>
      </c>
      <c r="I1258">
        <v>16</v>
      </c>
      <c r="J1258" t="s">
        <v>294</v>
      </c>
      <c r="K1258" t="s">
        <v>125</v>
      </c>
      <c r="L1258" t="s">
        <v>3036</v>
      </c>
      <c r="AE1258" t="s">
        <v>128</v>
      </c>
    </row>
    <row r="1259" spans="1:78" x14ac:dyDescent="0.2">
      <c r="A1259" t="s">
        <v>119</v>
      </c>
      <c r="B1259" t="s">
        <v>120</v>
      </c>
      <c r="C1259" t="s">
        <v>3029</v>
      </c>
      <c r="D1259">
        <v>23</v>
      </c>
      <c r="E1259" t="s">
        <v>260</v>
      </c>
      <c r="F1259" t="s">
        <v>261</v>
      </c>
      <c r="G1259" t="s">
        <v>124</v>
      </c>
      <c r="H1259" t="s">
        <v>125</v>
      </c>
      <c r="I1259">
        <v>19</v>
      </c>
      <c r="J1259" t="s">
        <v>182</v>
      </c>
      <c r="K1259" t="s">
        <v>125</v>
      </c>
      <c r="L1259" t="s">
        <v>3037</v>
      </c>
      <c r="U1259" t="s">
        <v>149</v>
      </c>
      <c r="W1259" t="s">
        <v>155</v>
      </c>
      <c r="X1259">
        <v>1</v>
      </c>
      <c r="AC1259" t="s">
        <v>136</v>
      </c>
      <c r="AE1259" t="s">
        <v>137</v>
      </c>
    </row>
    <row r="1260" spans="1:78" x14ac:dyDescent="0.2">
      <c r="A1260" t="s">
        <v>119</v>
      </c>
      <c r="B1260" t="s">
        <v>120</v>
      </c>
      <c r="C1260" t="s">
        <v>3029</v>
      </c>
      <c r="D1260">
        <v>26</v>
      </c>
      <c r="E1260" t="s">
        <v>2891</v>
      </c>
      <c r="F1260" t="s">
        <v>3038</v>
      </c>
      <c r="G1260" t="s">
        <v>124</v>
      </c>
      <c r="H1260" t="s">
        <v>125</v>
      </c>
      <c r="I1260">
        <v>19</v>
      </c>
      <c r="J1260" t="s">
        <v>268</v>
      </c>
      <c r="K1260" t="s">
        <v>125</v>
      </c>
      <c r="L1260" t="s">
        <v>3039</v>
      </c>
      <c r="U1260" t="s">
        <v>134</v>
      </c>
      <c r="W1260" t="s">
        <v>135</v>
      </c>
      <c r="X1260">
        <v>1</v>
      </c>
      <c r="AC1260" t="s">
        <v>136</v>
      </c>
      <c r="AE1260" t="s">
        <v>137</v>
      </c>
    </row>
    <row r="1261" spans="1:78" x14ac:dyDescent="0.2">
      <c r="A1261" t="s">
        <v>119</v>
      </c>
      <c r="B1261" t="s">
        <v>120</v>
      </c>
      <c r="C1261" t="s">
        <v>3040</v>
      </c>
      <c r="D1261">
        <v>3</v>
      </c>
      <c r="E1261" t="s">
        <v>3041</v>
      </c>
      <c r="F1261" t="s">
        <v>723</v>
      </c>
      <c r="G1261" t="s">
        <v>124</v>
      </c>
      <c r="H1261" t="s">
        <v>125</v>
      </c>
      <c r="I1261">
        <v>0</v>
      </c>
      <c r="J1261" t="s">
        <v>126</v>
      </c>
      <c r="K1261" t="s">
        <v>125</v>
      </c>
      <c r="L1261" t="s">
        <v>2919</v>
      </c>
      <c r="U1261" t="s">
        <v>149</v>
      </c>
      <c r="W1261" t="s">
        <v>155</v>
      </c>
      <c r="X1261">
        <v>1</v>
      </c>
      <c r="AC1261" t="s">
        <v>136</v>
      </c>
      <c r="AE1261" t="s">
        <v>137</v>
      </c>
    </row>
    <row r="1262" spans="1:78" x14ac:dyDescent="0.2">
      <c r="A1262" t="s">
        <v>119</v>
      </c>
      <c r="B1262" t="s">
        <v>120</v>
      </c>
      <c r="C1262" t="s">
        <v>3042</v>
      </c>
      <c r="D1262">
        <v>5</v>
      </c>
      <c r="E1262" t="s">
        <v>3043</v>
      </c>
      <c r="F1262" t="s">
        <v>1651</v>
      </c>
      <c r="G1262" t="s">
        <v>124</v>
      </c>
      <c r="H1262" t="s">
        <v>125</v>
      </c>
      <c r="I1262">
        <v>3</v>
      </c>
      <c r="J1262" t="s">
        <v>170</v>
      </c>
      <c r="K1262" t="s">
        <v>125</v>
      </c>
      <c r="L1262" t="s">
        <v>3044</v>
      </c>
      <c r="U1262" t="s">
        <v>149</v>
      </c>
      <c r="W1262" t="s">
        <v>135</v>
      </c>
      <c r="X1262">
        <v>3</v>
      </c>
      <c r="AC1262" t="s">
        <v>136</v>
      </c>
      <c r="AE1262" t="s">
        <v>137</v>
      </c>
    </row>
    <row r="1263" spans="1:78" x14ac:dyDescent="0.2">
      <c r="A1263" t="s">
        <v>119</v>
      </c>
      <c r="B1263" t="s">
        <v>120</v>
      </c>
      <c r="C1263" t="s">
        <v>3045</v>
      </c>
      <c r="D1263">
        <v>3</v>
      </c>
      <c r="E1263" t="s">
        <v>3046</v>
      </c>
      <c r="F1263" t="s">
        <v>723</v>
      </c>
      <c r="G1263" t="s">
        <v>124</v>
      </c>
      <c r="H1263" t="s">
        <v>125</v>
      </c>
      <c r="I1263">
        <v>7</v>
      </c>
      <c r="J1263" t="s">
        <v>268</v>
      </c>
      <c r="K1263" t="s">
        <v>125</v>
      </c>
      <c r="L1263" t="s">
        <v>3047</v>
      </c>
      <c r="U1263" t="s">
        <v>149</v>
      </c>
      <c r="W1263" t="s">
        <v>135</v>
      </c>
      <c r="X1263">
        <v>1</v>
      </c>
      <c r="AC1263" t="s">
        <v>136</v>
      </c>
      <c r="AE1263" t="s">
        <v>137</v>
      </c>
    </row>
    <row r="1264" spans="1:78" hidden="1" x14ac:dyDescent="0.2">
      <c r="A1264" t="s">
        <v>119</v>
      </c>
      <c r="B1264" t="s">
        <v>120</v>
      </c>
      <c r="C1264" t="s">
        <v>3045</v>
      </c>
      <c r="D1264">
        <v>5</v>
      </c>
      <c r="E1264" t="s">
        <v>3035</v>
      </c>
      <c r="F1264" t="s">
        <v>3035</v>
      </c>
      <c r="G1264" t="s">
        <v>124</v>
      </c>
      <c r="H1264" t="s">
        <v>125</v>
      </c>
      <c r="I1264">
        <v>3</v>
      </c>
      <c r="J1264" t="s">
        <v>294</v>
      </c>
      <c r="K1264" t="s">
        <v>125</v>
      </c>
      <c r="L1264" t="s">
        <v>3048</v>
      </c>
      <c r="AE1264" t="s">
        <v>128</v>
      </c>
    </row>
    <row r="1265" spans="1:31" x14ac:dyDescent="0.2">
      <c r="A1265" t="s">
        <v>119</v>
      </c>
      <c r="B1265" t="s">
        <v>120</v>
      </c>
      <c r="C1265" t="s">
        <v>3045</v>
      </c>
      <c r="D1265">
        <v>7</v>
      </c>
      <c r="E1265" t="s">
        <v>3049</v>
      </c>
      <c r="F1265" t="s">
        <v>221</v>
      </c>
      <c r="G1265" t="s">
        <v>124</v>
      </c>
      <c r="H1265" t="s">
        <v>125</v>
      </c>
      <c r="I1265">
        <v>0</v>
      </c>
      <c r="J1265" t="s">
        <v>126</v>
      </c>
      <c r="K1265" t="s">
        <v>125</v>
      </c>
      <c r="L1265" t="s">
        <v>3050</v>
      </c>
      <c r="U1265" t="s">
        <v>134</v>
      </c>
      <c r="W1265" t="s">
        <v>135</v>
      </c>
      <c r="X1265">
        <v>1</v>
      </c>
      <c r="AC1265" t="s">
        <v>136</v>
      </c>
      <c r="AE1265" t="s">
        <v>137</v>
      </c>
    </row>
    <row r="1266" spans="1:31" x14ac:dyDescent="0.2">
      <c r="A1266" t="s">
        <v>119</v>
      </c>
      <c r="B1266" t="s">
        <v>120</v>
      </c>
      <c r="C1266" t="s">
        <v>3045</v>
      </c>
      <c r="D1266">
        <v>17</v>
      </c>
      <c r="E1266" t="s">
        <v>1526</v>
      </c>
      <c r="F1266" t="s">
        <v>667</v>
      </c>
      <c r="G1266" t="s">
        <v>124</v>
      </c>
      <c r="H1266" t="s">
        <v>125</v>
      </c>
      <c r="I1266">
        <v>7</v>
      </c>
      <c r="J1266" t="s">
        <v>199</v>
      </c>
      <c r="K1266" t="s">
        <v>125</v>
      </c>
      <c r="L1266" t="s">
        <v>3051</v>
      </c>
      <c r="U1266" t="s">
        <v>149</v>
      </c>
      <c r="W1266" t="s">
        <v>135</v>
      </c>
      <c r="X1266">
        <v>1</v>
      </c>
      <c r="AC1266" t="s">
        <v>136</v>
      </c>
      <c r="AE1266" t="s">
        <v>137</v>
      </c>
    </row>
    <row r="1267" spans="1:31" x14ac:dyDescent="0.2">
      <c r="A1267" t="s">
        <v>119</v>
      </c>
      <c r="B1267" t="s">
        <v>120</v>
      </c>
      <c r="C1267" t="s">
        <v>3052</v>
      </c>
      <c r="D1267">
        <v>2</v>
      </c>
      <c r="E1267" t="s">
        <v>3053</v>
      </c>
      <c r="F1267" t="s">
        <v>3054</v>
      </c>
      <c r="G1267" t="s">
        <v>124</v>
      </c>
      <c r="H1267" t="s">
        <v>125</v>
      </c>
      <c r="I1267">
        <v>0</v>
      </c>
      <c r="J1267" t="s">
        <v>126</v>
      </c>
      <c r="K1267" t="s">
        <v>125</v>
      </c>
      <c r="L1267" t="s">
        <v>3055</v>
      </c>
      <c r="U1267" t="s">
        <v>149</v>
      </c>
      <c r="W1267" t="s">
        <v>135</v>
      </c>
      <c r="X1267">
        <v>3</v>
      </c>
      <c r="AC1267" t="s">
        <v>136</v>
      </c>
      <c r="AE1267" t="s">
        <v>137</v>
      </c>
    </row>
    <row r="1268" spans="1:31" x14ac:dyDescent="0.2">
      <c r="A1268" t="s">
        <v>119</v>
      </c>
      <c r="B1268" t="s">
        <v>120</v>
      </c>
      <c r="C1268" t="s">
        <v>3052</v>
      </c>
      <c r="D1268">
        <v>7</v>
      </c>
      <c r="E1268" t="s">
        <v>3056</v>
      </c>
      <c r="F1268" t="s">
        <v>723</v>
      </c>
      <c r="G1268" t="s">
        <v>124</v>
      </c>
      <c r="H1268" t="s">
        <v>125</v>
      </c>
      <c r="I1268">
        <v>2</v>
      </c>
      <c r="J1268" t="s">
        <v>268</v>
      </c>
      <c r="K1268" t="s">
        <v>125</v>
      </c>
      <c r="L1268" t="s">
        <v>3057</v>
      </c>
      <c r="U1268" t="s">
        <v>134</v>
      </c>
      <c r="W1268" t="s">
        <v>135</v>
      </c>
      <c r="X1268">
        <v>1</v>
      </c>
      <c r="AC1268" t="s">
        <v>136</v>
      </c>
      <c r="AE1268" t="s">
        <v>137</v>
      </c>
    </row>
    <row r="1269" spans="1:31" x14ac:dyDescent="0.2">
      <c r="A1269" t="s">
        <v>119</v>
      </c>
      <c r="B1269" t="s">
        <v>120</v>
      </c>
      <c r="C1269" t="s">
        <v>3058</v>
      </c>
      <c r="D1269">
        <v>4</v>
      </c>
      <c r="E1269" t="s">
        <v>2035</v>
      </c>
      <c r="F1269" t="s">
        <v>3059</v>
      </c>
      <c r="G1269" t="s">
        <v>124</v>
      </c>
      <c r="H1269" t="s">
        <v>125</v>
      </c>
      <c r="I1269">
        <v>0</v>
      </c>
      <c r="J1269" t="s">
        <v>126</v>
      </c>
      <c r="K1269" t="s">
        <v>125</v>
      </c>
      <c r="L1269" t="s">
        <v>3060</v>
      </c>
      <c r="U1269" t="s">
        <v>149</v>
      </c>
      <c r="W1269" t="s">
        <v>135</v>
      </c>
      <c r="X1269">
        <v>1</v>
      </c>
      <c r="AC1269" t="s">
        <v>136</v>
      </c>
      <c r="AE1269" t="s">
        <v>137</v>
      </c>
    </row>
    <row r="1270" spans="1:31" x14ac:dyDescent="0.2">
      <c r="A1270" t="s">
        <v>119</v>
      </c>
      <c r="B1270" t="s">
        <v>120</v>
      </c>
      <c r="C1270" t="s">
        <v>3061</v>
      </c>
      <c r="D1270">
        <v>5</v>
      </c>
      <c r="E1270" t="s">
        <v>370</v>
      </c>
      <c r="F1270" t="s">
        <v>140</v>
      </c>
      <c r="G1270" t="s">
        <v>124</v>
      </c>
      <c r="H1270" t="s">
        <v>125</v>
      </c>
      <c r="I1270">
        <v>2</v>
      </c>
      <c r="J1270" t="s">
        <v>170</v>
      </c>
      <c r="K1270" t="s">
        <v>125</v>
      </c>
      <c r="L1270" t="s">
        <v>249</v>
      </c>
      <c r="U1270" t="s">
        <v>149</v>
      </c>
      <c r="W1270" t="s">
        <v>135</v>
      </c>
      <c r="X1270">
        <v>3</v>
      </c>
      <c r="AC1270" t="s">
        <v>136</v>
      </c>
      <c r="AE1270" t="s">
        <v>137</v>
      </c>
    </row>
    <row r="1271" spans="1:31" x14ac:dyDescent="0.2">
      <c r="A1271" t="s">
        <v>119</v>
      </c>
      <c r="B1271" t="s">
        <v>120</v>
      </c>
      <c r="C1271" t="s">
        <v>3061</v>
      </c>
      <c r="D1271">
        <v>10</v>
      </c>
      <c r="E1271" t="s">
        <v>1764</v>
      </c>
      <c r="F1271" t="s">
        <v>261</v>
      </c>
      <c r="G1271" t="s">
        <v>124</v>
      </c>
      <c r="H1271" t="s">
        <v>125</v>
      </c>
      <c r="I1271">
        <v>0</v>
      </c>
      <c r="J1271" t="s">
        <v>126</v>
      </c>
      <c r="K1271" t="s">
        <v>125</v>
      </c>
      <c r="L1271" t="s">
        <v>3062</v>
      </c>
      <c r="U1271" t="s">
        <v>149</v>
      </c>
      <c r="W1271" t="s">
        <v>135</v>
      </c>
      <c r="X1271">
        <v>3</v>
      </c>
      <c r="AC1271" t="s">
        <v>136</v>
      </c>
      <c r="AE1271" t="s">
        <v>137</v>
      </c>
    </row>
    <row r="1272" spans="1:31" x14ac:dyDescent="0.2">
      <c r="A1272" t="s">
        <v>119</v>
      </c>
      <c r="B1272" t="s">
        <v>120</v>
      </c>
      <c r="C1272" t="s">
        <v>3061</v>
      </c>
      <c r="D1272">
        <v>12</v>
      </c>
      <c r="E1272" t="s">
        <v>1805</v>
      </c>
      <c r="F1272" t="s">
        <v>140</v>
      </c>
      <c r="G1272" t="s">
        <v>124</v>
      </c>
      <c r="H1272" t="s">
        <v>125</v>
      </c>
      <c r="I1272">
        <v>10</v>
      </c>
      <c r="J1272" t="s">
        <v>161</v>
      </c>
      <c r="K1272" t="s">
        <v>125</v>
      </c>
      <c r="L1272" t="s">
        <v>3063</v>
      </c>
      <c r="U1272" t="s">
        <v>149</v>
      </c>
      <c r="W1272" t="s">
        <v>155</v>
      </c>
      <c r="X1272">
        <v>1</v>
      </c>
      <c r="AC1272" t="s">
        <v>136</v>
      </c>
      <c r="AE1272" t="s">
        <v>137</v>
      </c>
    </row>
    <row r="1273" spans="1:31" x14ac:dyDescent="0.2">
      <c r="A1273" t="s">
        <v>119</v>
      </c>
      <c r="B1273" t="s">
        <v>120</v>
      </c>
      <c r="C1273" t="s">
        <v>3064</v>
      </c>
      <c r="D1273">
        <v>3</v>
      </c>
      <c r="E1273" t="s">
        <v>2170</v>
      </c>
      <c r="F1273" t="s">
        <v>2171</v>
      </c>
      <c r="G1273" t="s">
        <v>124</v>
      </c>
      <c r="H1273" t="s">
        <v>125</v>
      </c>
      <c r="I1273">
        <v>0</v>
      </c>
      <c r="J1273" t="s">
        <v>126</v>
      </c>
      <c r="K1273" t="s">
        <v>125</v>
      </c>
      <c r="L1273" t="s">
        <v>3065</v>
      </c>
      <c r="U1273" t="s">
        <v>149</v>
      </c>
      <c r="W1273" t="s">
        <v>135</v>
      </c>
      <c r="X1273">
        <v>1</v>
      </c>
      <c r="AC1273" t="s">
        <v>136</v>
      </c>
      <c r="AE1273" t="s">
        <v>137</v>
      </c>
    </row>
    <row r="1274" spans="1:31" x14ac:dyDescent="0.2">
      <c r="A1274" t="s">
        <v>119</v>
      </c>
      <c r="B1274" t="s">
        <v>120</v>
      </c>
      <c r="C1274" t="s">
        <v>3066</v>
      </c>
      <c r="D1274">
        <v>1</v>
      </c>
      <c r="E1274" t="s">
        <v>1360</v>
      </c>
      <c r="F1274" t="s">
        <v>350</v>
      </c>
      <c r="G1274" t="s">
        <v>124</v>
      </c>
      <c r="H1274" t="s">
        <v>125</v>
      </c>
      <c r="I1274">
        <v>0</v>
      </c>
      <c r="J1274" t="s">
        <v>126</v>
      </c>
      <c r="K1274" t="s">
        <v>125</v>
      </c>
      <c r="L1274" t="s">
        <v>3067</v>
      </c>
      <c r="U1274" t="s">
        <v>149</v>
      </c>
      <c r="W1274" t="s">
        <v>135</v>
      </c>
      <c r="X1274">
        <v>3</v>
      </c>
      <c r="AC1274" t="s">
        <v>136</v>
      </c>
      <c r="AE1274" t="s">
        <v>137</v>
      </c>
    </row>
    <row r="1275" spans="1:31" hidden="1" x14ac:dyDescent="0.2">
      <c r="A1275" t="s">
        <v>119</v>
      </c>
      <c r="B1275" t="s">
        <v>120</v>
      </c>
      <c r="C1275" t="s">
        <v>3068</v>
      </c>
      <c r="D1275">
        <v>2</v>
      </c>
      <c r="E1275" t="s">
        <v>2936</v>
      </c>
      <c r="F1275" t="s">
        <v>2937</v>
      </c>
      <c r="G1275" t="s">
        <v>124</v>
      </c>
      <c r="H1275" t="s">
        <v>125</v>
      </c>
      <c r="I1275">
        <v>0</v>
      </c>
      <c r="J1275" t="s">
        <v>126</v>
      </c>
      <c r="K1275" t="s">
        <v>125</v>
      </c>
      <c r="L1275" t="s">
        <v>3069</v>
      </c>
      <c r="AE1275" t="s">
        <v>394</v>
      </c>
    </row>
    <row r="1276" spans="1:31" x14ac:dyDescent="0.2">
      <c r="A1276" t="s">
        <v>119</v>
      </c>
      <c r="B1276" t="s">
        <v>120</v>
      </c>
      <c r="C1276" t="s">
        <v>3070</v>
      </c>
      <c r="D1276">
        <v>17</v>
      </c>
      <c r="E1276" t="s">
        <v>1246</v>
      </c>
      <c r="F1276" t="s">
        <v>1228</v>
      </c>
      <c r="G1276" t="s">
        <v>124</v>
      </c>
      <c r="H1276" t="s">
        <v>125</v>
      </c>
      <c r="I1276">
        <v>9</v>
      </c>
      <c r="J1276" t="s">
        <v>161</v>
      </c>
      <c r="K1276" t="s">
        <v>125</v>
      </c>
      <c r="L1276" t="s">
        <v>3071</v>
      </c>
      <c r="U1276" t="s">
        <v>149</v>
      </c>
      <c r="W1276" t="s">
        <v>135</v>
      </c>
      <c r="X1276">
        <v>3</v>
      </c>
      <c r="AC1276" t="s">
        <v>136</v>
      </c>
      <c r="AE1276" t="s">
        <v>137</v>
      </c>
    </row>
    <row r="1277" spans="1:31" x14ac:dyDescent="0.2">
      <c r="A1277" t="s">
        <v>119</v>
      </c>
      <c r="B1277" t="s">
        <v>120</v>
      </c>
      <c r="C1277" t="s">
        <v>3072</v>
      </c>
      <c r="D1277">
        <v>2</v>
      </c>
      <c r="E1277" t="s">
        <v>3073</v>
      </c>
      <c r="F1277" t="s">
        <v>1228</v>
      </c>
      <c r="G1277" t="s">
        <v>124</v>
      </c>
      <c r="H1277" t="s">
        <v>125</v>
      </c>
      <c r="I1277">
        <v>0</v>
      </c>
      <c r="J1277" t="s">
        <v>126</v>
      </c>
      <c r="K1277" t="s">
        <v>125</v>
      </c>
      <c r="L1277" t="s">
        <v>3074</v>
      </c>
      <c r="U1277" t="s">
        <v>149</v>
      </c>
      <c r="W1277" t="s">
        <v>155</v>
      </c>
      <c r="X1277">
        <v>3</v>
      </c>
      <c r="AC1277" t="s">
        <v>136</v>
      </c>
      <c r="AE1277" t="s">
        <v>137</v>
      </c>
    </row>
    <row r="1278" spans="1:31" x14ac:dyDescent="0.2">
      <c r="A1278" t="s">
        <v>119</v>
      </c>
      <c r="B1278" t="s">
        <v>120</v>
      </c>
      <c r="C1278" t="s">
        <v>3072</v>
      </c>
      <c r="D1278">
        <v>8</v>
      </c>
      <c r="E1278" t="s">
        <v>3075</v>
      </c>
      <c r="F1278" t="s">
        <v>3076</v>
      </c>
      <c r="G1278" t="s">
        <v>124</v>
      </c>
      <c r="H1278" t="s">
        <v>125</v>
      </c>
      <c r="I1278">
        <v>2</v>
      </c>
      <c r="J1278" t="s">
        <v>161</v>
      </c>
      <c r="K1278" t="s">
        <v>125</v>
      </c>
      <c r="L1278" t="s">
        <v>3077</v>
      </c>
      <c r="U1278" t="s">
        <v>149</v>
      </c>
      <c r="W1278" t="s">
        <v>135</v>
      </c>
      <c r="X1278">
        <v>1</v>
      </c>
      <c r="AC1278" t="s">
        <v>136</v>
      </c>
      <c r="AE1278" t="s">
        <v>137</v>
      </c>
    </row>
    <row r="1279" spans="1:31" x14ac:dyDescent="0.2">
      <c r="A1279" t="s">
        <v>119</v>
      </c>
      <c r="B1279" t="s">
        <v>120</v>
      </c>
      <c r="C1279" t="s">
        <v>3078</v>
      </c>
      <c r="D1279">
        <v>2</v>
      </c>
      <c r="E1279" t="s">
        <v>3079</v>
      </c>
      <c r="F1279" t="s">
        <v>3014</v>
      </c>
      <c r="G1279" t="s">
        <v>124</v>
      </c>
      <c r="H1279" t="s">
        <v>125</v>
      </c>
      <c r="I1279">
        <v>0</v>
      </c>
      <c r="J1279" t="s">
        <v>126</v>
      </c>
      <c r="K1279" t="s">
        <v>125</v>
      </c>
      <c r="L1279" t="s">
        <v>3080</v>
      </c>
      <c r="U1279" t="s">
        <v>149</v>
      </c>
      <c r="W1279" t="s">
        <v>155</v>
      </c>
      <c r="X1279">
        <v>3</v>
      </c>
      <c r="AC1279" t="s">
        <v>136</v>
      </c>
      <c r="AE1279" t="s">
        <v>137</v>
      </c>
    </row>
    <row r="1280" spans="1:31" x14ac:dyDescent="0.2">
      <c r="A1280" t="s">
        <v>119</v>
      </c>
      <c r="B1280" t="s">
        <v>120</v>
      </c>
      <c r="C1280" t="s">
        <v>3081</v>
      </c>
      <c r="D1280">
        <v>4</v>
      </c>
      <c r="E1280" t="s">
        <v>3073</v>
      </c>
      <c r="F1280" t="s">
        <v>1228</v>
      </c>
      <c r="G1280" t="s">
        <v>124</v>
      </c>
      <c r="H1280" t="s">
        <v>125</v>
      </c>
      <c r="I1280">
        <v>0</v>
      </c>
      <c r="J1280" t="s">
        <v>126</v>
      </c>
      <c r="K1280" t="s">
        <v>125</v>
      </c>
      <c r="L1280" t="s">
        <v>3082</v>
      </c>
      <c r="U1280" t="s">
        <v>149</v>
      </c>
      <c r="W1280" t="s">
        <v>135</v>
      </c>
      <c r="X1280">
        <v>1</v>
      </c>
      <c r="AC1280" t="s">
        <v>136</v>
      </c>
      <c r="AE1280" t="s">
        <v>137</v>
      </c>
    </row>
    <row r="1281" spans="1:78" x14ac:dyDescent="0.2">
      <c r="A1281" t="s">
        <v>119</v>
      </c>
      <c r="B1281" t="s">
        <v>120</v>
      </c>
      <c r="C1281" t="s">
        <v>3083</v>
      </c>
      <c r="D1281">
        <v>4</v>
      </c>
      <c r="E1281" t="s">
        <v>3084</v>
      </c>
      <c r="F1281" t="s">
        <v>2567</v>
      </c>
      <c r="G1281" t="s">
        <v>124</v>
      </c>
      <c r="H1281" t="s">
        <v>125</v>
      </c>
      <c r="I1281">
        <v>0</v>
      </c>
      <c r="J1281" t="s">
        <v>126</v>
      </c>
      <c r="K1281" t="s">
        <v>125</v>
      </c>
      <c r="L1281" t="s">
        <v>3085</v>
      </c>
      <c r="U1281" t="s">
        <v>149</v>
      </c>
      <c r="W1281" t="s">
        <v>135</v>
      </c>
      <c r="X1281">
        <v>3</v>
      </c>
      <c r="AC1281" t="s">
        <v>136</v>
      </c>
      <c r="AE1281" t="s">
        <v>137</v>
      </c>
    </row>
    <row r="1282" spans="1:78" x14ac:dyDescent="0.2">
      <c r="A1282" t="s">
        <v>119</v>
      </c>
      <c r="B1282" t="s">
        <v>120</v>
      </c>
      <c r="C1282" t="s">
        <v>3083</v>
      </c>
      <c r="D1282">
        <v>16</v>
      </c>
      <c r="E1282" t="s">
        <v>3086</v>
      </c>
      <c r="F1282" t="s">
        <v>146</v>
      </c>
      <c r="G1282" t="s">
        <v>124</v>
      </c>
      <c r="H1282" t="s">
        <v>125</v>
      </c>
      <c r="I1282">
        <v>4</v>
      </c>
      <c r="J1282" t="s">
        <v>161</v>
      </c>
      <c r="K1282" t="s">
        <v>125</v>
      </c>
      <c r="L1282" t="s">
        <v>3087</v>
      </c>
      <c r="U1282" t="s">
        <v>134</v>
      </c>
      <c r="W1282" t="s">
        <v>135</v>
      </c>
      <c r="X1282">
        <v>3</v>
      </c>
      <c r="AC1282" t="s">
        <v>136</v>
      </c>
      <c r="AE1282" t="s">
        <v>137</v>
      </c>
    </row>
    <row r="1283" spans="1:78" x14ac:dyDescent="0.2">
      <c r="A1283" t="s">
        <v>119</v>
      </c>
      <c r="B1283" t="s">
        <v>120</v>
      </c>
      <c r="C1283" t="s">
        <v>3088</v>
      </c>
      <c r="D1283">
        <v>5</v>
      </c>
      <c r="E1283" t="s">
        <v>3089</v>
      </c>
      <c r="F1283" t="s">
        <v>3090</v>
      </c>
      <c r="G1283" t="s">
        <v>124</v>
      </c>
      <c r="H1283" t="s">
        <v>125</v>
      </c>
      <c r="I1283">
        <v>0</v>
      </c>
      <c r="J1283" t="s">
        <v>126</v>
      </c>
      <c r="K1283" t="s">
        <v>125</v>
      </c>
      <c r="L1283" t="s">
        <v>3091</v>
      </c>
      <c r="U1283" t="s">
        <v>149</v>
      </c>
      <c r="W1283" t="s">
        <v>135</v>
      </c>
      <c r="X1283">
        <v>3</v>
      </c>
      <c r="AC1283" t="s">
        <v>136</v>
      </c>
      <c r="AE1283" t="s">
        <v>137</v>
      </c>
    </row>
    <row r="1284" spans="1:78" hidden="1" x14ac:dyDescent="0.2">
      <c r="A1284" t="s">
        <v>119</v>
      </c>
      <c r="B1284" t="s">
        <v>120</v>
      </c>
      <c r="C1284" t="s">
        <v>3088</v>
      </c>
      <c r="D1284">
        <v>8</v>
      </c>
      <c r="E1284" t="s">
        <v>3092</v>
      </c>
      <c r="F1284" t="s">
        <v>3093</v>
      </c>
      <c r="G1284" t="s">
        <v>124</v>
      </c>
      <c r="H1284" t="s">
        <v>125</v>
      </c>
      <c r="I1284">
        <v>5</v>
      </c>
      <c r="J1284" t="s">
        <v>268</v>
      </c>
      <c r="K1284" t="s">
        <v>125</v>
      </c>
      <c r="L1284" t="s">
        <v>3094</v>
      </c>
      <c r="T1284" t="s">
        <v>154</v>
      </c>
      <c r="W1284" t="s">
        <v>135</v>
      </c>
      <c r="AC1284" t="s">
        <v>143</v>
      </c>
      <c r="AE1284" t="s">
        <v>144</v>
      </c>
    </row>
    <row r="1285" spans="1:78" x14ac:dyDescent="0.2">
      <c r="A1285" t="s">
        <v>119</v>
      </c>
      <c r="B1285" t="s">
        <v>120</v>
      </c>
      <c r="C1285" t="s">
        <v>3095</v>
      </c>
      <c r="D1285">
        <v>8</v>
      </c>
      <c r="E1285" t="s">
        <v>3096</v>
      </c>
      <c r="F1285" t="s">
        <v>1001</v>
      </c>
      <c r="G1285" t="s">
        <v>124</v>
      </c>
      <c r="H1285" t="s">
        <v>125</v>
      </c>
      <c r="I1285">
        <v>0</v>
      </c>
      <c r="J1285" t="s">
        <v>126</v>
      </c>
      <c r="K1285" t="s">
        <v>125</v>
      </c>
      <c r="L1285" t="s">
        <v>3097</v>
      </c>
      <c r="U1285" t="s">
        <v>134</v>
      </c>
      <c r="W1285" t="s">
        <v>135</v>
      </c>
      <c r="X1285">
        <v>1</v>
      </c>
      <c r="AC1285" t="s">
        <v>136</v>
      </c>
      <c r="AE1285" t="s">
        <v>137</v>
      </c>
    </row>
    <row r="1286" spans="1:78" hidden="1" x14ac:dyDescent="0.2">
      <c r="A1286" t="s">
        <v>119</v>
      </c>
      <c r="B1286" t="s">
        <v>120</v>
      </c>
      <c r="C1286" t="s">
        <v>3095</v>
      </c>
      <c r="D1286">
        <v>12</v>
      </c>
      <c r="E1286" t="s">
        <v>3098</v>
      </c>
      <c r="F1286" t="s">
        <v>242</v>
      </c>
      <c r="G1286" t="s">
        <v>124</v>
      </c>
      <c r="H1286" t="s">
        <v>125</v>
      </c>
      <c r="I1286">
        <v>8</v>
      </c>
      <c r="J1286" t="s">
        <v>268</v>
      </c>
      <c r="K1286" t="s">
        <v>125</v>
      </c>
      <c r="L1286" t="s">
        <v>3099</v>
      </c>
      <c r="AE1286" t="s">
        <v>394</v>
      </c>
    </row>
    <row r="1287" spans="1:78" x14ac:dyDescent="0.2">
      <c r="A1287" t="s">
        <v>119</v>
      </c>
      <c r="B1287" t="s">
        <v>120</v>
      </c>
      <c r="C1287" t="s">
        <v>3100</v>
      </c>
      <c r="D1287">
        <v>1</v>
      </c>
      <c r="E1287" t="s">
        <v>1360</v>
      </c>
      <c r="F1287" t="s">
        <v>350</v>
      </c>
      <c r="G1287" t="s">
        <v>124</v>
      </c>
      <c r="H1287" t="s">
        <v>125</v>
      </c>
      <c r="I1287">
        <v>0</v>
      </c>
      <c r="J1287" t="s">
        <v>126</v>
      </c>
      <c r="K1287" t="s">
        <v>125</v>
      </c>
      <c r="L1287" t="s">
        <v>3101</v>
      </c>
      <c r="U1287" t="s">
        <v>149</v>
      </c>
      <c r="W1287" t="s">
        <v>135</v>
      </c>
      <c r="X1287">
        <v>3</v>
      </c>
      <c r="AC1287" t="s">
        <v>136</v>
      </c>
      <c r="AE1287" t="s">
        <v>137</v>
      </c>
    </row>
    <row r="1288" spans="1:78" x14ac:dyDescent="0.2">
      <c r="A1288" t="s">
        <v>119</v>
      </c>
      <c r="B1288" t="s">
        <v>120</v>
      </c>
      <c r="C1288" t="s">
        <v>3102</v>
      </c>
      <c r="D1288">
        <v>3</v>
      </c>
      <c r="E1288" t="s">
        <v>3103</v>
      </c>
      <c r="F1288" t="s">
        <v>3104</v>
      </c>
      <c r="G1288" t="s">
        <v>124</v>
      </c>
      <c r="H1288" t="s">
        <v>125</v>
      </c>
      <c r="I1288">
        <v>0</v>
      </c>
      <c r="J1288" t="s">
        <v>126</v>
      </c>
      <c r="K1288" t="s">
        <v>125</v>
      </c>
      <c r="L1288" t="s">
        <v>3105</v>
      </c>
      <c r="U1288" t="s">
        <v>149</v>
      </c>
      <c r="W1288" t="s">
        <v>135</v>
      </c>
      <c r="X1288">
        <v>3</v>
      </c>
      <c r="AC1288" t="s">
        <v>136</v>
      </c>
      <c r="AE1288" t="s">
        <v>137</v>
      </c>
    </row>
    <row r="1289" spans="1:78" x14ac:dyDescent="0.2">
      <c r="A1289" t="s">
        <v>119</v>
      </c>
      <c r="B1289" t="s">
        <v>120</v>
      </c>
      <c r="C1289" t="s">
        <v>3106</v>
      </c>
      <c r="D1289">
        <v>2</v>
      </c>
      <c r="E1289" t="s">
        <v>2170</v>
      </c>
      <c r="F1289" t="s">
        <v>2171</v>
      </c>
      <c r="G1289" t="s">
        <v>124</v>
      </c>
      <c r="H1289" t="s">
        <v>125</v>
      </c>
      <c r="I1289">
        <v>0</v>
      </c>
      <c r="J1289" t="s">
        <v>126</v>
      </c>
      <c r="K1289" t="s">
        <v>125</v>
      </c>
      <c r="L1289" t="s">
        <v>3107</v>
      </c>
      <c r="U1289" t="s">
        <v>149</v>
      </c>
      <c r="W1289" t="s">
        <v>135</v>
      </c>
      <c r="X1289">
        <v>1</v>
      </c>
      <c r="AC1289" t="s">
        <v>136</v>
      </c>
      <c r="AE1289" t="s">
        <v>137</v>
      </c>
    </row>
    <row r="1290" spans="1:78" hidden="1" x14ac:dyDescent="0.2">
      <c r="A1290" t="s">
        <v>119</v>
      </c>
      <c r="B1290" t="s">
        <v>120</v>
      </c>
      <c r="C1290" t="s">
        <v>3108</v>
      </c>
      <c r="D1290">
        <v>7</v>
      </c>
      <c r="E1290" t="s">
        <v>3109</v>
      </c>
      <c r="F1290" t="s">
        <v>3110</v>
      </c>
      <c r="G1290" t="s">
        <v>124</v>
      </c>
      <c r="H1290" t="s">
        <v>125</v>
      </c>
      <c r="I1290">
        <v>0</v>
      </c>
      <c r="J1290" t="s">
        <v>126</v>
      </c>
      <c r="K1290" t="s">
        <v>125</v>
      </c>
      <c r="L1290" t="s">
        <v>3111</v>
      </c>
      <c r="U1290" t="s">
        <v>149</v>
      </c>
      <c r="W1290" t="s">
        <v>135</v>
      </c>
      <c r="X1290">
        <v>1</v>
      </c>
      <c r="AC1290" t="s">
        <v>209</v>
      </c>
      <c r="AE1290" t="s">
        <v>137</v>
      </c>
    </row>
    <row r="1291" spans="1:78" hidden="1" x14ac:dyDescent="0.2">
      <c r="A1291" t="s">
        <v>119</v>
      </c>
      <c r="B1291" t="s">
        <v>120</v>
      </c>
      <c r="C1291" t="s">
        <v>3108</v>
      </c>
      <c r="D1291">
        <v>12</v>
      </c>
      <c r="E1291" t="s">
        <v>2936</v>
      </c>
      <c r="F1291" t="s">
        <v>2937</v>
      </c>
      <c r="G1291" t="s">
        <v>124</v>
      </c>
      <c r="H1291" t="s">
        <v>125</v>
      </c>
      <c r="I1291">
        <v>7</v>
      </c>
      <c r="J1291" t="s">
        <v>161</v>
      </c>
      <c r="K1291" t="s">
        <v>125</v>
      </c>
      <c r="L1291" t="s">
        <v>3112</v>
      </c>
      <c r="AE1291" t="s">
        <v>394</v>
      </c>
    </row>
    <row r="1292" spans="1:78" x14ac:dyDescent="0.2">
      <c r="A1292" t="s">
        <v>119</v>
      </c>
      <c r="B1292" t="s">
        <v>120</v>
      </c>
      <c r="C1292" t="s">
        <v>3108</v>
      </c>
      <c r="D1292">
        <v>17</v>
      </c>
      <c r="E1292" t="s">
        <v>1360</v>
      </c>
      <c r="F1292" t="s">
        <v>350</v>
      </c>
      <c r="G1292" t="s">
        <v>124</v>
      </c>
      <c r="H1292" t="s">
        <v>125</v>
      </c>
      <c r="I1292">
        <v>7</v>
      </c>
      <c r="J1292" t="s">
        <v>161</v>
      </c>
      <c r="K1292" t="s">
        <v>125</v>
      </c>
      <c r="L1292" t="s">
        <v>3113</v>
      </c>
      <c r="U1292" t="s">
        <v>149</v>
      </c>
      <c r="W1292" t="s">
        <v>135</v>
      </c>
      <c r="X1292">
        <v>3</v>
      </c>
      <c r="AC1292" t="s">
        <v>136</v>
      </c>
      <c r="AE1292" t="s">
        <v>137</v>
      </c>
    </row>
    <row r="1293" spans="1:78" x14ac:dyDescent="0.2">
      <c r="A1293" t="s">
        <v>119</v>
      </c>
      <c r="B1293" t="s">
        <v>120</v>
      </c>
      <c r="C1293" t="s">
        <v>3114</v>
      </c>
      <c r="D1293">
        <v>1</v>
      </c>
      <c r="E1293" t="s">
        <v>1360</v>
      </c>
      <c r="F1293" t="s">
        <v>350</v>
      </c>
      <c r="G1293" t="s">
        <v>124</v>
      </c>
      <c r="H1293" t="s">
        <v>125</v>
      </c>
      <c r="I1293">
        <v>0</v>
      </c>
      <c r="J1293" t="s">
        <v>126</v>
      </c>
      <c r="K1293" t="s">
        <v>125</v>
      </c>
      <c r="L1293" t="s">
        <v>3115</v>
      </c>
      <c r="U1293" t="s">
        <v>149</v>
      </c>
      <c r="W1293" t="s">
        <v>135</v>
      </c>
      <c r="X1293">
        <v>3</v>
      </c>
      <c r="AC1293" t="s">
        <v>136</v>
      </c>
      <c r="AE1293" t="s">
        <v>137</v>
      </c>
    </row>
    <row r="1294" spans="1:78" x14ac:dyDescent="0.2">
      <c r="A1294" t="s">
        <v>119</v>
      </c>
      <c r="B1294" t="s">
        <v>120</v>
      </c>
      <c r="C1294" t="s">
        <v>3116</v>
      </c>
      <c r="D1294">
        <v>3</v>
      </c>
      <c r="E1294" t="s">
        <v>197</v>
      </c>
      <c r="F1294" t="s">
        <v>198</v>
      </c>
      <c r="G1294" t="s">
        <v>124</v>
      </c>
      <c r="H1294" t="s">
        <v>125</v>
      </c>
      <c r="I1294">
        <v>0</v>
      </c>
      <c r="J1294" t="s">
        <v>126</v>
      </c>
      <c r="K1294" t="s">
        <v>125</v>
      </c>
      <c r="L1294" t="s">
        <v>3117</v>
      </c>
      <c r="U1294" t="s">
        <v>149</v>
      </c>
      <c r="W1294" t="s">
        <v>135</v>
      </c>
      <c r="X1294">
        <v>1</v>
      </c>
      <c r="AC1294" t="s">
        <v>136</v>
      </c>
      <c r="AE1294" t="s">
        <v>137</v>
      </c>
    </row>
    <row r="1295" spans="1:78" hidden="1" x14ac:dyDescent="0.2">
      <c r="A1295" t="s">
        <v>119</v>
      </c>
      <c r="B1295" t="s">
        <v>120</v>
      </c>
      <c r="C1295" t="s">
        <v>3116</v>
      </c>
      <c r="D1295">
        <v>7</v>
      </c>
      <c r="E1295" t="s">
        <v>465</v>
      </c>
      <c r="F1295" t="s">
        <v>3118</v>
      </c>
      <c r="G1295" t="s">
        <v>124</v>
      </c>
      <c r="H1295" t="s">
        <v>125</v>
      </c>
      <c r="I1295">
        <v>3</v>
      </c>
      <c r="J1295" t="s">
        <v>268</v>
      </c>
      <c r="K1295" t="s">
        <v>125</v>
      </c>
      <c r="L1295" t="s">
        <v>3119</v>
      </c>
      <c r="T1295" t="s">
        <v>154</v>
      </c>
      <c r="W1295" t="s">
        <v>135</v>
      </c>
      <c r="AC1295" t="s">
        <v>143</v>
      </c>
      <c r="AE1295" t="s">
        <v>144</v>
      </c>
      <c r="AG1295">
        <v>6</v>
      </c>
      <c r="AH1295" t="s">
        <v>204</v>
      </c>
      <c r="AI1295" t="s">
        <v>205</v>
      </c>
      <c r="AJ1295" t="s">
        <v>131</v>
      </c>
      <c r="AK1295" t="s">
        <v>125</v>
      </c>
      <c r="AL1295">
        <v>7</v>
      </c>
      <c r="AM1295" t="s">
        <v>132</v>
      </c>
      <c r="AN1295" t="s">
        <v>125</v>
      </c>
      <c r="AO1295" t="s">
        <v>3120</v>
      </c>
      <c r="BP1295" t="s">
        <v>149</v>
      </c>
      <c r="BR1295" t="s">
        <v>135</v>
      </c>
      <c r="BS1295">
        <v>1</v>
      </c>
      <c r="BX1295" t="s">
        <v>136</v>
      </c>
      <c r="BZ1295" t="s">
        <v>137</v>
      </c>
    </row>
    <row r="1296" spans="1:78" x14ac:dyDescent="0.2">
      <c r="A1296" t="s">
        <v>119</v>
      </c>
      <c r="B1296" t="s">
        <v>120</v>
      </c>
      <c r="C1296" t="s">
        <v>3121</v>
      </c>
      <c r="D1296">
        <v>3</v>
      </c>
      <c r="E1296" t="s">
        <v>2170</v>
      </c>
      <c r="F1296" t="s">
        <v>2171</v>
      </c>
      <c r="G1296" t="s">
        <v>124</v>
      </c>
      <c r="H1296" t="s">
        <v>125</v>
      </c>
      <c r="I1296">
        <v>0</v>
      </c>
      <c r="J1296" t="s">
        <v>126</v>
      </c>
      <c r="K1296" t="s">
        <v>125</v>
      </c>
      <c r="L1296" t="s">
        <v>3122</v>
      </c>
      <c r="U1296" t="s">
        <v>149</v>
      </c>
      <c r="W1296" t="s">
        <v>135</v>
      </c>
      <c r="X1296">
        <v>1</v>
      </c>
      <c r="AC1296" t="s">
        <v>136</v>
      </c>
      <c r="AE1296" t="s">
        <v>137</v>
      </c>
    </row>
    <row r="1297" spans="1:78" hidden="1" x14ac:dyDescent="0.2">
      <c r="A1297" t="s">
        <v>119</v>
      </c>
      <c r="B1297" t="s">
        <v>120</v>
      </c>
      <c r="C1297" t="s">
        <v>3121</v>
      </c>
      <c r="D1297">
        <v>5</v>
      </c>
      <c r="E1297" t="s">
        <v>2998</v>
      </c>
      <c r="F1297" t="s">
        <v>2999</v>
      </c>
      <c r="G1297" t="s">
        <v>124</v>
      </c>
      <c r="H1297" t="s">
        <v>125</v>
      </c>
      <c r="I1297">
        <v>3</v>
      </c>
      <c r="J1297" t="s">
        <v>294</v>
      </c>
      <c r="K1297" t="s">
        <v>125</v>
      </c>
      <c r="L1297" t="s">
        <v>3123</v>
      </c>
      <c r="AE1297" t="s">
        <v>128</v>
      </c>
    </row>
    <row r="1298" spans="1:78" hidden="1" x14ac:dyDescent="0.2">
      <c r="A1298" t="s">
        <v>119</v>
      </c>
      <c r="B1298" t="s">
        <v>120</v>
      </c>
      <c r="C1298" t="s">
        <v>3124</v>
      </c>
      <c r="D1298">
        <v>1</v>
      </c>
      <c r="E1298" t="s">
        <v>2998</v>
      </c>
      <c r="F1298" t="s">
        <v>2999</v>
      </c>
      <c r="G1298" t="s">
        <v>124</v>
      </c>
      <c r="H1298" t="s">
        <v>125</v>
      </c>
      <c r="I1298">
        <v>0</v>
      </c>
      <c r="J1298" t="s">
        <v>126</v>
      </c>
      <c r="K1298" t="s">
        <v>125</v>
      </c>
      <c r="L1298" t="s">
        <v>3125</v>
      </c>
      <c r="AE1298" t="s">
        <v>128</v>
      </c>
    </row>
    <row r="1299" spans="1:78" x14ac:dyDescent="0.2">
      <c r="A1299" t="s">
        <v>119</v>
      </c>
      <c r="B1299" t="s">
        <v>120</v>
      </c>
      <c r="C1299" t="s">
        <v>3126</v>
      </c>
      <c r="D1299">
        <v>1</v>
      </c>
      <c r="E1299" t="s">
        <v>614</v>
      </c>
      <c r="F1299" t="s">
        <v>205</v>
      </c>
      <c r="G1299" t="s">
        <v>124</v>
      </c>
      <c r="H1299" t="s">
        <v>125</v>
      </c>
      <c r="I1299">
        <v>8</v>
      </c>
      <c r="J1299" t="s">
        <v>268</v>
      </c>
      <c r="K1299" t="s">
        <v>125</v>
      </c>
      <c r="L1299" t="s">
        <v>3127</v>
      </c>
      <c r="U1299" t="s">
        <v>149</v>
      </c>
      <c r="W1299" t="s">
        <v>135</v>
      </c>
      <c r="X1299">
        <v>3</v>
      </c>
      <c r="AC1299" t="s">
        <v>136</v>
      </c>
      <c r="AE1299" t="s">
        <v>137</v>
      </c>
    </row>
    <row r="1300" spans="1:78" hidden="1" x14ac:dyDescent="0.2">
      <c r="A1300" t="s">
        <v>119</v>
      </c>
      <c r="B1300" t="s">
        <v>120</v>
      </c>
      <c r="C1300" t="s">
        <v>3126</v>
      </c>
      <c r="D1300">
        <v>8</v>
      </c>
      <c r="E1300" t="s">
        <v>201</v>
      </c>
      <c r="F1300" t="s">
        <v>202</v>
      </c>
      <c r="G1300" t="s">
        <v>124</v>
      </c>
      <c r="H1300" t="s">
        <v>125</v>
      </c>
      <c r="I1300">
        <v>0</v>
      </c>
      <c r="J1300" t="s">
        <v>126</v>
      </c>
      <c r="K1300" t="s">
        <v>125</v>
      </c>
      <c r="L1300" t="s">
        <v>3128</v>
      </c>
      <c r="T1300" t="s">
        <v>154</v>
      </c>
      <c r="W1300" t="s">
        <v>135</v>
      </c>
      <c r="AC1300" t="s">
        <v>143</v>
      </c>
      <c r="AE1300" t="s">
        <v>144</v>
      </c>
      <c r="AG1300">
        <v>6</v>
      </c>
      <c r="AH1300" t="s">
        <v>204</v>
      </c>
      <c r="AI1300" t="s">
        <v>205</v>
      </c>
      <c r="AJ1300" t="s">
        <v>131</v>
      </c>
      <c r="AK1300" t="s">
        <v>125</v>
      </c>
      <c r="AL1300">
        <v>8</v>
      </c>
      <c r="AM1300" t="s">
        <v>132</v>
      </c>
      <c r="AN1300" t="s">
        <v>125</v>
      </c>
      <c r="AO1300" t="s">
        <v>3004</v>
      </c>
      <c r="BP1300" t="s">
        <v>149</v>
      </c>
      <c r="BR1300" t="s">
        <v>135</v>
      </c>
      <c r="BS1300">
        <v>1</v>
      </c>
      <c r="BX1300" t="s">
        <v>136</v>
      </c>
      <c r="BZ1300" t="s">
        <v>137</v>
      </c>
    </row>
    <row r="1301" spans="1:78" hidden="1" x14ac:dyDescent="0.2">
      <c r="A1301" t="s">
        <v>119</v>
      </c>
      <c r="B1301" t="s">
        <v>120</v>
      </c>
      <c r="C1301" t="s">
        <v>3129</v>
      </c>
      <c r="D1301">
        <v>6</v>
      </c>
      <c r="E1301" t="s">
        <v>3130</v>
      </c>
      <c r="F1301" t="s">
        <v>292</v>
      </c>
      <c r="G1301" t="s">
        <v>124</v>
      </c>
      <c r="H1301" t="s">
        <v>125</v>
      </c>
      <c r="I1301">
        <v>3</v>
      </c>
      <c r="J1301" t="s">
        <v>268</v>
      </c>
      <c r="K1301" t="s">
        <v>125</v>
      </c>
      <c r="L1301" t="s">
        <v>3131</v>
      </c>
      <c r="AE1301" t="s">
        <v>128</v>
      </c>
    </row>
    <row r="1302" spans="1:78" hidden="1" x14ac:dyDescent="0.2">
      <c r="A1302" t="s">
        <v>119</v>
      </c>
      <c r="B1302" t="s">
        <v>120</v>
      </c>
      <c r="C1302" t="s">
        <v>3129</v>
      </c>
      <c r="D1302">
        <v>10</v>
      </c>
      <c r="E1302" t="s">
        <v>861</v>
      </c>
      <c r="F1302" t="s">
        <v>140</v>
      </c>
      <c r="G1302" t="s">
        <v>124</v>
      </c>
      <c r="H1302" t="s">
        <v>125</v>
      </c>
      <c r="I1302">
        <v>3</v>
      </c>
      <c r="J1302" t="s">
        <v>268</v>
      </c>
      <c r="K1302" t="s">
        <v>125</v>
      </c>
      <c r="L1302" t="s">
        <v>3132</v>
      </c>
      <c r="T1302" t="s">
        <v>142</v>
      </c>
      <c r="W1302" t="s">
        <v>155</v>
      </c>
      <c r="AG1302">
        <v>9</v>
      </c>
      <c r="AH1302" t="s">
        <v>3133</v>
      </c>
      <c r="AI1302" t="s">
        <v>667</v>
      </c>
      <c r="AJ1302" t="s">
        <v>131</v>
      </c>
      <c r="AK1302" t="s">
        <v>125</v>
      </c>
      <c r="AL1302">
        <v>10</v>
      </c>
      <c r="AM1302" t="s">
        <v>132</v>
      </c>
      <c r="AN1302" t="s">
        <v>125</v>
      </c>
      <c r="AO1302" t="s">
        <v>3134</v>
      </c>
      <c r="BP1302" t="s">
        <v>149</v>
      </c>
      <c r="BR1302" t="s">
        <v>135</v>
      </c>
      <c r="BS1302">
        <v>3</v>
      </c>
      <c r="BX1302" t="s">
        <v>209</v>
      </c>
      <c r="BZ1302" t="s">
        <v>137</v>
      </c>
    </row>
    <row r="1303" spans="1:78" x14ac:dyDescent="0.2">
      <c r="A1303" t="s">
        <v>119</v>
      </c>
      <c r="B1303" t="s">
        <v>120</v>
      </c>
      <c r="C1303" t="s">
        <v>3129</v>
      </c>
      <c r="D1303">
        <v>15</v>
      </c>
      <c r="E1303" t="s">
        <v>204</v>
      </c>
      <c r="F1303" t="s">
        <v>205</v>
      </c>
      <c r="G1303" t="s">
        <v>124</v>
      </c>
      <c r="H1303" t="s">
        <v>125</v>
      </c>
      <c r="I1303">
        <v>3</v>
      </c>
      <c r="J1303" t="s">
        <v>199</v>
      </c>
      <c r="K1303" t="s">
        <v>125</v>
      </c>
      <c r="L1303" t="s">
        <v>3135</v>
      </c>
      <c r="U1303" t="s">
        <v>149</v>
      </c>
      <c r="W1303" t="s">
        <v>135</v>
      </c>
      <c r="X1303">
        <v>1</v>
      </c>
      <c r="AC1303" t="s">
        <v>136</v>
      </c>
      <c r="AE1303" t="s">
        <v>137</v>
      </c>
    </row>
    <row r="1304" spans="1:78" hidden="1" x14ac:dyDescent="0.2">
      <c r="A1304" t="s">
        <v>119</v>
      </c>
      <c r="B1304" t="s">
        <v>120</v>
      </c>
      <c r="C1304" t="s">
        <v>3136</v>
      </c>
      <c r="D1304">
        <v>2</v>
      </c>
      <c r="E1304" t="s">
        <v>861</v>
      </c>
      <c r="F1304" t="s">
        <v>140</v>
      </c>
      <c r="G1304" t="s">
        <v>124</v>
      </c>
      <c r="H1304" t="s">
        <v>125</v>
      </c>
      <c r="I1304">
        <v>0</v>
      </c>
      <c r="J1304" t="s">
        <v>126</v>
      </c>
      <c r="K1304" t="s">
        <v>125</v>
      </c>
      <c r="L1304" t="s">
        <v>3137</v>
      </c>
      <c r="AE1304" t="s">
        <v>128</v>
      </c>
      <c r="AG1304">
        <v>1</v>
      </c>
      <c r="AH1304" t="s">
        <v>666</v>
      </c>
      <c r="AI1304" t="s">
        <v>667</v>
      </c>
      <c r="AJ1304" t="s">
        <v>131</v>
      </c>
      <c r="AK1304" t="s">
        <v>125</v>
      </c>
      <c r="AL1304">
        <v>2</v>
      </c>
      <c r="AM1304" t="s">
        <v>132</v>
      </c>
      <c r="AN1304" t="s">
        <v>125</v>
      </c>
      <c r="AO1304" t="s">
        <v>3138</v>
      </c>
      <c r="BP1304" t="s">
        <v>149</v>
      </c>
      <c r="BR1304" t="s">
        <v>135</v>
      </c>
      <c r="BS1304">
        <v>1</v>
      </c>
      <c r="BX1304" t="s">
        <v>209</v>
      </c>
      <c r="BZ1304" t="s">
        <v>137</v>
      </c>
    </row>
    <row r="1305" spans="1:78" hidden="1" x14ac:dyDescent="0.2">
      <c r="A1305" t="s">
        <v>119</v>
      </c>
      <c r="B1305" t="s">
        <v>120</v>
      </c>
      <c r="C1305" t="s">
        <v>3139</v>
      </c>
      <c r="D1305">
        <v>3</v>
      </c>
      <c r="E1305" t="s">
        <v>3140</v>
      </c>
      <c r="F1305" t="s">
        <v>292</v>
      </c>
      <c r="G1305" t="s">
        <v>124</v>
      </c>
      <c r="H1305" t="s">
        <v>125</v>
      </c>
      <c r="I1305">
        <v>0</v>
      </c>
      <c r="J1305" t="s">
        <v>126</v>
      </c>
      <c r="K1305" t="s">
        <v>125</v>
      </c>
      <c r="L1305" t="s">
        <v>3141</v>
      </c>
      <c r="T1305" t="s">
        <v>154</v>
      </c>
      <c r="W1305" t="s">
        <v>135</v>
      </c>
      <c r="AC1305" t="s">
        <v>143</v>
      </c>
      <c r="AE1305" t="s">
        <v>144</v>
      </c>
      <c r="AG1305">
        <v>2</v>
      </c>
      <c r="AH1305" t="s">
        <v>421</v>
      </c>
      <c r="AI1305" t="s">
        <v>205</v>
      </c>
      <c r="AJ1305" t="s">
        <v>131</v>
      </c>
      <c r="AK1305" t="s">
        <v>125</v>
      </c>
      <c r="AL1305">
        <v>3</v>
      </c>
      <c r="AM1305" t="s">
        <v>132</v>
      </c>
      <c r="AN1305" t="s">
        <v>125</v>
      </c>
      <c r="AO1305" t="s">
        <v>3142</v>
      </c>
      <c r="BP1305" t="s">
        <v>149</v>
      </c>
      <c r="BR1305" t="s">
        <v>135</v>
      </c>
      <c r="BS1305">
        <v>1</v>
      </c>
      <c r="BX1305" t="s">
        <v>209</v>
      </c>
      <c r="BZ1305" t="s">
        <v>137</v>
      </c>
    </row>
    <row r="1306" spans="1:78" hidden="1" x14ac:dyDescent="0.2">
      <c r="A1306" t="s">
        <v>119</v>
      </c>
      <c r="B1306" t="s">
        <v>120</v>
      </c>
      <c r="C1306" t="s">
        <v>3139</v>
      </c>
      <c r="D1306">
        <v>10</v>
      </c>
      <c r="E1306" t="s">
        <v>201</v>
      </c>
      <c r="F1306" t="s">
        <v>202</v>
      </c>
      <c r="G1306" t="s">
        <v>124</v>
      </c>
      <c r="H1306" t="s">
        <v>125</v>
      </c>
      <c r="I1306">
        <v>6</v>
      </c>
      <c r="J1306" t="s">
        <v>170</v>
      </c>
      <c r="K1306" t="s">
        <v>125</v>
      </c>
      <c r="L1306" t="s">
        <v>3143</v>
      </c>
      <c r="T1306" t="s">
        <v>154</v>
      </c>
      <c r="W1306" t="s">
        <v>135</v>
      </c>
      <c r="AC1306" t="s">
        <v>143</v>
      </c>
      <c r="AE1306" t="s">
        <v>144</v>
      </c>
      <c r="AG1306">
        <v>9</v>
      </c>
      <c r="AH1306" t="s">
        <v>204</v>
      </c>
      <c r="AI1306" t="s">
        <v>205</v>
      </c>
      <c r="AJ1306" t="s">
        <v>131</v>
      </c>
      <c r="AK1306" t="s">
        <v>125</v>
      </c>
      <c r="AL1306">
        <v>10</v>
      </c>
      <c r="AM1306" t="s">
        <v>132</v>
      </c>
      <c r="AN1306" t="s">
        <v>125</v>
      </c>
      <c r="AO1306" t="s">
        <v>3144</v>
      </c>
      <c r="BP1306" t="s">
        <v>149</v>
      </c>
      <c r="BR1306" t="s">
        <v>135</v>
      </c>
      <c r="BS1306">
        <v>1</v>
      </c>
      <c r="BX1306" t="s">
        <v>136</v>
      </c>
      <c r="BZ1306" t="s">
        <v>137</v>
      </c>
    </row>
    <row r="1307" spans="1:78" hidden="1" x14ac:dyDescent="0.2">
      <c r="A1307" t="s">
        <v>119</v>
      </c>
      <c r="B1307" t="s">
        <v>120</v>
      </c>
      <c r="C1307" t="s">
        <v>3139</v>
      </c>
      <c r="D1307">
        <v>13</v>
      </c>
      <c r="E1307" t="s">
        <v>3145</v>
      </c>
      <c r="F1307" t="s">
        <v>3146</v>
      </c>
      <c r="G1307" t="s">
        <v>124</v>
      </c>
      <c r="H1307" t="s">
        <v>125</v>
      </c>
      <c r="I1307">
        <v>10</v>
      </c>
      <c r="J1307" t="s">
        <v>264</v>
      </c>
      <c r="K1307" t="s">
        <v>125</v>
      </c>
      <c r="L1307" t="s">
        <v>3147</v>
      </c>
      <c r="U1307" t="s">
        <v>149</v>
      </c>
      <c r="W1307" t="s">
        <v>135</v>
      </c>
      <c r="X1307">
        <v>3</v>
      </c>
      <c r="AC1307" t="s">
        <v>209</v>
      </c>
      <c r="AE1307" t="s">
        <v>137</v>
      </c>
    </row>
    <row r="1308" spans="1:78" x14ac:dyDescent="0.2">
      <c r="A1308" t="s">
        <v>119</v>
      </c>
      <c r="B1308" t="s">
        <v>120</v>
      </c>
      <c r="C1308" t="s">
        <v>3148</v>
      </c>
      <c r="D1308">
        <v>21</v>
      </c>
      <c r="E1308" t="s">
        <v>3149</v>
      </c>
      <c r="F1308" t="s">
        <v>140</v>
      </c>
      <c r="G1308" t="s">
        <v>124</v>
      </c>
      <c r="H1308" t="s">
        <v>125</v>
      </c>
      <c r="I1308">
        <v>3</v>
      </c>
      <c r="J1308" t="s">
        <v>161</v>
      </c>
      <c r="K1308" t="s">
        <v>125</v>
      </c>
      <c r="L1308" t="s">
        <v>164</v>
      </c>
      <c r="U1308" t="s">
        <v>149</v>
      </c>
      <c r="W1308" t="s">
        <v>155</v>
      </c>
      <c r="X1308">
        <v>3</v>
      </c>
      <c r="AC1308" t="s">
        <v>136</v>
      </c>
      <c r="AE1308" t="s">
        <v>137</v>
      </c>
    </row>
    <row r="1309" spans="1:78" x14ac:dyDescent="0.2">
      <c r="A1309" t="s">
        <v>119</v>
      </c>
      <c r="B1309" t="s">
        <v>120</v>
      </c>
      <c r="C1309" t="s">
        <v>3150</v>
      </c>
      <c r="D1309">
        <v>3</v>
      </c>
      <c r="E1309" t="s">
        <v>260</v>
      </c>
      <c r="F1309" t="s">
        <v>261</v>
      </c>
      <c r="G1309" t="s">
        <v>124</v>
      </c>
      <c r="H1309" t="s">
        <v>125</v>
      </c>
      <c r="I1309">
        <v>0</v>
      </c>
      <c r="J1309" t="s">
        <v>126</v>
      </c>
      <c r="K1309" t="s">
        <v>125</v>
      </c>
      <c r="L1309" t="s">
        <v>1385</v>
      </c>
      <c r="U1309" t="s">
        <v>149</v>
      </c>
      <c r="W1309" t="s">
        <v>155</v>
      </c>
      <c r="X1309">
        <v>1</v>
      </c>
      <c r="AC1309" t="s">
        <v>136</v>
      </c>
      <c r="AE1309" t="s">
        <v>137</v>
      </c>
    </row>
    <row r="1310" spans="1:78" hidden="1" x14ac:dyDescent="0.2">
      <c r="A1310" t="s">
        <v>119</v>
      </c>
      <c r="B1310" t="s">
        <v>120</v>
      </c>
      <c r="C1310" t="s">
        <v>3151</v>
      </c>
      <c r="D1310">
        <v>2</v>
      </c>
      <c r="E1310" t="s">
        <v>1283</v>
      </c>
      <c r="F1310" t="s">
        <v>123</v>
      </c>
      <c r="G1310" t="s">
        <v>124</v>
      </c>
      <c r="H1310" t="s">
        <v>125</v>
      </c>
      <c r="I1310">
        <v>0</v>
      </c>
      <c r="J1310" t="s">
        <v>126</v>
      </c>
      <c r="K1310" t="s">
        <v>125</v>
      </c>
      <c r="L1310" t="s">
        <v>3152</v>
      </c>
      <c r="T1310" t="s">
        <v>154</v>
      </c>
      <c r="W1310" t="s">
        <v>135</v>
      </c>
      <c r="AC1310" t="s">
        <v>143</v>
      </c>
      <c r="AE1310" t="s">
        <v>144</v>
      </c>
      <c r="AG1310">
        <v>1</v>
      </c>
      <c r="AH1310" t="s">
        <v>204</v>
      </c>
      <c r="AI1310" t="s">
        <v>205</v>
      </c>
      <c r="AJ1310" t="s">
        <v>131</v>
      </c>
      <c r="AK1310" t="s">
        <v>125</v>
      </c>
      <c r="AL1310">
        <v>2</v>
      </c>
      <c r="AM1310" t="s">
        <v>132</v>
      </c>
      <c r="AN1310" t="s">
        <v>125</v>
      </c>
      <c r="AO1310" t="s">
        <v>3153</v>
      </c>
      <c r="BP1310" t="s">
        <v>149</v>
      </c>
      <c r="BR1310" t="s">
        <v>135</v>
      </c>
      <c r="BS1310">
        <v>1</v>
      </c>
      <c r="BX1310" t="s">
        <v>136</v>
      </c>
      <c r="BZ1310" t="s">
        <v>137</v>
      </c>
    </row>
    <row r="1311" spans="1:78" hidden="1" x14ac:dyDescent="0.2">
      <c r="A1311" t="s">
        <v>119</v>
      </c>
      <c r="B1311" t="s">
        <v>120</v>
      </c>
      <c r="C1311" t="s">
        <v>3151</v>
      </c>
      <c r="D1311">
        <v>9</v>
      </c>
      <c r="E1311" t="s">
        <v>3154</v>
      </c>
      <c r="F1311" t="s">
        <v>3155</v>
      </c>
      <c r="G1311" t="s">
        <v>124</v>
      </c>
      <c r="H1311" t="s">
        <v>125</v>
      </c>
      <c r="I1311">
        <v>5</v>
      </c>
      <c r="J1311" t="s">
        <v>170</v>
      </c>
      <c r="K1311" t="s">
        <v>125</v>
      </c>
      <c r="L1311" t="s">
        <v>3156</v>
      </c>
      <c r="T1311" t="s">
        <v>154</v>
      </c>
      <c r="W1311" t="s">
        <v>135</v>
      </c>
      <c r="AC1311" t="s">
        <v>143</v>
      </c>
      <c r="AE1311" t="s">
        <v>144</v>
      </c>
      <c r="AG1311">
        <v>8</v>
      </c>
      <c r="AH1311" t="s">
        <v>614</v>
      </c>
      <c r="AI1311" t="s">
        <v>205</v>
      </c>
      <c r="AJ1311" t="s">
        <v>131</v>
      </c>
      <c r="AK1311" t="s">
        <v>125</v>
      </c>
      <c r="AL1311">
        <v>9</v>
      </c>
      <c r="AM1311" t="s">
        <v>132</v>
      </c>
      <c r="AN1311" t="s">
        <v>125</v>
      </c>
      <c r="AO1311" t="s">
        <v>3157</v>
      </c>
      <c r="BP1311" t="s">
        <v>149</v>
      </c>
      <c r="BR1311" t="s">
        <v>135</v>
      </c>
      <c r="BS1311">
        <v>3</v>
      </c>
      <c r="BX1311" t="s">
        <v>136</v>
      </c>
      <c r="BZ1311" t="s">
        <v>137</v>
      </c>
    </row>
    <row r="1312" spans="1:78" x14ac:dyDescent="0.2">
      <c r="A1312" t="s">
        <v>119</v>
      </c>
      <c r="B1312" t="s">
        <v>120</v>
      </c>
      <c r="C1312" t="s">
        <v>3158</v>
      </c>
      <c r="D1312">
        <v>3</v>
      </c>
      <c r="E1312" t="s">
        <v>197</v>
      </c>
      <c r="F1312" t="s">
        <v>198</v>
      </c>
      <c r="G1312" t="s">
        <v>124</v>
      </c>
      <c r="H1312" t="s">
        <v>125</v>
      </c>
      <c r="I1312">
        <v>0</v>
      </c>
      <c r="J1312" t="s">
        <v>126</v>
      </c>
      <c r="K1312" t="s">
        <v>125</v>
      </c>
      <c r="L1312" t="s">
        <v>3159</v>
      </c>
      <c r="U1312" t="s">
        <v>149</v>
      </c>
      <c r="W1312" t="s">
        <v>135</v>
      </c>
      <c r="X1312">
        <v>1</v>
      </c>
      <c r="AC1312" t="s">
        <v>136</v>
      </c>
      <c r="AE1312" t="s">
        <v>137</v>
      </c>
    </row>
    <row r="1313" spans="1:78" hidden="1" x14ac:dyDescent="0.2">
      <c r="A1313" t="s">
        <v>119</v>
      </c>
      <c r="B1313" t="s">
        <v>120</v>
      </c>
      <c r="C1313" t="s">
        <v>3158</v>
      </c>
      <c r="D1313">
        <v>9</v>
      </c>
      <c r="E1313" t="s">
        <v>691</v>
      </c>
      <c r="F1313" t="s">
        <v>261</v>
      </c>
      <c r="G1313" t="s">
        <v>124</v>
      </c>
      <c r="H1313" t="s">
        <v>125</v>
      </c>
      <c r="I1313">
        <v>3</v>
      </c>
      <c r="J1313" t="s">
        <v>294</v>
      </c>
      <c r="K1313" t="s">
        <v>125</v>
      </c>
      <c r="L1313" t="s">
        <v>3030</v>
      </c>
      <c r="T1313" t="s">
        <v>154</v>
      </c>
      <c r="W1313" t="s">
        <v>135</v>
      </c>
      <c r="AC1313" t="s">
        <v>143</v>
      </c>
      <c r="AE1313" t="s">
        <v>144</v>
      </c>
      <c r="AG1313">
        <v>8</v>
      </c>
      <c r="AH1313" t="s">
        <v>614</v>
      </c>
      <c r="AI1313" t="s">
        <v>205</v>
      </c>
      <c r="AJ1313" t="s">
        <v>131</v>
      </c>
      <c r="AK1313" t="s">
        <v>125</v>
      </c>
      <c r="AL1313">
        <v>9</v>
      </c>
      <c r="AM1313" t="s">
        <v>132</v>
      </c>
      <c r="AN1313" t="s">
        <v>125</v>
      </c>
      <c r="AO1313" t="s">
        <v>3160</v>
      </c>
      <c r="BP1313" t="s">
        <v>149</v>
      </c>
      <c r="BR1313" t="s">
        <v>135</v>
      </c>
      <c r="BS1313">
        <v>3</v>
      </c>
      <c r="BX1313" t="s">
        <v>136</v>
      </c>
      <c r="BZ1313" t="s">
        <v>137</v>
      </c>
    </row>
    <row r="1314" spans="1:78" hidden="1" x14ac:dyDescent="0.2">
      <c r="A1314" t="s">
        <v>119</v>
      </c>
      <c r="B1314" t="s">
        <v>120</v>
      </c>
      <c r="C1314" t="s">
        <v>3158</v>
      </c>
      <c r="D1314">
        <v>18</v>
      </c>
      <c r="E1314" t="s">
        <v>691</v>
      </c>
      <c r="F1314" t="s">
        <v>261</v>
      </c>
      <c r="G1314" t="s">
        <v>124</v>
      </c>
      <c r="H1314" t="s">
        <v>125</v>
      </c>
      <c r="I1314">
        <v>9</v>
      </c>
      <c r="J1314" t="s">
        <v>161</v>
      </c>
      <c r="K1314" t="s">
        <v>125</v>
      </c>
      <c r="L1314" t="s">
        <v>3161</v>
      </c>
      <c r="T1314" t="s">
        <v>154</v>
      </c>
      <c r="W1314" t="s">
        <v>135</v>
      </c>
      <c r="AC1314" t="s">
        <v>143</v>
      </c>
      <c r="AE1314" t="s">
        <v>144</v>
      </c>
      <c r="AG1314">
        <v>17</v>
      </c>
      <c r="AH1314" t="s">
        <v>614</v>
      </c>
      <c r="AI1314" t="s">
        <v>205</v>
      </c>
      <c r="AJ1314" t="s">
        <v>131</v>
      </c>
      <c r="AK1314" t="s">
        <v>125</v>
      </c>
      <c r="AL1314">
        <v>18</v>
      </c>
      <c r="AM1314" t="s">
        <v>132</v>
      </c>
      <c r="AN1314" t="s">
        <v>125</v>
      </c>
      <c r="AO1314" t="s">
        <v>3162</v>
      </c>
      <c r="BP1314" t="s">
        <v>149</v>
      </c>
      <c r="BR1314" t="s">
        <v>135</v>
      </c>
      <c r="BS1314">
        <v>3</v>
      </c>
      <c r="BX1314" t="s">
        <v>136</v>
      </c>
      <c r="BZ1314" t="s">
        <v>137</v>
      </c>
    </row>
    <row r="1315" spans="1:78" hidden="1" x14ac:dyDescent="0.2">
      <c r="A1315" t="s">
        <v>119</v>
      </c>
      <c r="B1315" t="s">
        <v>120</v>
      </c>
      <c r="C1315" t="s">
        <v>3158</v>
      </c>
      <c r="D1315">
        <v>21</v>
      </c>
      <c r="E1315" t="s">
        <v>3163</v>
      </c>
      <c r="F1315" t="s">
        <v>3164</v>
      </c>
      <c r="G1315" t="s">
        <v>124</v>
      </c>
      <c r="H1315" t="s">
        <v>125</v>
      </c>
      <c r="I1315">
        <v>18</v>
      </c>
      <c r="J1315" t="s">
        <v>264</v>
      </c>
      <c r="K1315" t="s">
        <v>125</v>
      </c>
      <c r="L1315" t="s">
        <v>3165</v>
      </c>
      <c r="AE1315" t="s">
        <v>128</v>
      </c>
      <c r="AG1315">
        <v>20</v>
      </c>
      <c r="AH1315" t="s">
        <v>1747</v>
      </c>
      <c r="AI1315" t="s">
        <v>572</v>
      </c>
      <c r="AJ1315" t="s">
        <v>131</v>
      </c>
      <c r="AK1315" t="s">
        <v>125</v>
      </c>
      <c r="AL1315">
        <v>21</v>
      </c>
      <c r="AM1315" t="s">
        <v>132</v>
      </c>
      <c r="AN1315" t="s">
        <v>125</v>
      </c>
      <c r="AO1315" t="s">
        <v>3166</v>
      </c>
      <c r="BP1315" t="s">
        <v>149</v>
      </c>
      <c r="BR1315" t="s">
        <v>135</v>
      </c>
      <c r="BS1315">
        <v>3</v>
      </c>
      <c r="BX1315" t="s">
        <v>136</v>
      </c>
      <c r="BZ1315" t="s">
        <v>137</v>
      </c>
    </row>
    <row r="1316" spans="1:78" hidden="1" x14ac:dyDescent="0.2">
      <c r="A1316" t="s">
        <v>119</v>
      </c>
      <c r="B1316" t="s">
        <v>120</v>
      </c>
      <c r="C1316" t="s">
        <v>3167</v>
      </c>
      <c r="D1316">
        <v>5</v>
      </c>
      <c r="E1316" t="s">
        <v>3168</v>
      </c>
      <c r="F1316" t="s">
        <v>3168</v>
      </c>
      <c r="G1316" t="s">
        <v>124</v>
      </c>
      <c r="H1316" t="s">
        <v>125</v>
      </c>
      <c r="I1316">
        <v>0</v>
      </c>
      <c r="J1316" t="s">
        <v>126</v>
      </c>
      <c r="K1316" t="s">
        <v>125</v>
      </c>
      <c r="L1316" t="s">
        <v>3169</v>
      </c>
      <c r="AE1316" t="s">
        <v>128</v>
      </c>
      <c r="AG1316">
        <v>4</v>
      </c>
      <c r="AH1316" t="s">
        <v>1747</v>
      </c>
      <c r="AI1316" t="s">
        <v>572</v>
      </c>
      <c r="AJ1316" t="s">
        <v>131</v>
      </c>
      <c r="AK1316" t="s">
        <v>125</v>
      </c>
      <c r="AL1316">
        <v>5</v>
      </c>
      <c r="AM1316" t="s">
        <v>132</v>
      </c>
      <c r="AN1316" t="s">
        <v>125</v>
      </c>
      <c r="AO1316" t="s">
        <v>3170</v>
      </c>
      <c r="BP1316" t="s">
        <v>149</v>
      </c>
      <c r="BR1316" t="s">
        <v>135</v>
      </c>
      <c r="BS1316">
        <v>3</v>
      </c>
      <c r="BX1316" t="s">
        <v>136</v>
      </c>
      <c r="BZ1316" t="s">
        <v>137</v>
      </c>
    </row>
    <row r="1317" spans="1:78" hidden="1" x14ac:dyDescent="0.2">
      <c r="A1317" t="s">
        <v>119</v>
      </c>
      <c r="B1317" t="s">
        <v>120</v>
      </c>
      <c r="C1317" t="s">
        <v>3167</v>
      </c>
      <c r="D1317">
        <v>17</v>
      </c>
      <c r="E1317" t="s">
        <v>3171</v>
      </c>
      <c r="F1317" t="s">
        <v>3172</v>
      </c>
      <c r="G1317" t="s">
        <v>124</v>
      </c>
      <c r="H1317" t="s">
        <v>125</v>
      </c>
      <c r="I1317">
        <v>5</v>
      </c>
      <c r="J1317" t="s">
        <v>161</v>
      </c>
      <c r="K1317" t="s">
        <v>125</v>
      </c>
      <c r="L1317" t="s">
        <v>219</v>
      </c>
      <c r="T1317" t="s">
        <v>154</v>
      </c>
      <c r="W1317" t="s">
        <v>135</v>
      </c>
      <c r="AC1317" t="s">
        <v>143</v>
      </c>
      <c r="AE1317" t="s">
        <v>144</v>
      </c>
      <c r="AG1317">
        <v>16</v>
      </c>
      <c r="AH1317" t="s">
        <v>614</v>
      </c>
      <c r="AI1317" t="s">
        <v>205</v>
      </c>
      <c r="AJ1317" t="s">
        <v>131</v>
      </c>
      <c r="AK1317" t="s">
        <v>125</v>
      </c>
      <c r="AL1317">
        <v>17</v>
      </c>
      <c r="AM1317" t="s">
        <v>132</v>
      </c>
      <c r="AN1317" t="s">
        <v>125</v>
      </c>
      <c r="AO1317" t="s">
        <v>3173</v>
      </c>
      <c r="BP1317" t="s">
        <v>149</v>
      </c>
      <c r="BR1317" t="s">
        <v>135</v>
      </c>
      <c r="BS1317">
        <v>3</v>
      </c>
      <c r="BX1317" t="s">
        <v>136</v>
      </c>
      <c r="BZ1317" t="s">
        <v>137</v>
      </c>
    </row>
    <row r="1318" spans="1:78" hidden="1" x14ac:dyDescent="0.2">
      <c r="A1318" t="s">
        <v>119</v>
      </c>
      <c r="B1318" t="s">
        <v>120</v>
      </c>
      <c r="C1318" t="s">
        <v>3174</v>
      </c>
      <c r="D1318">
        <v>6</v>
      </c>
      <c r="E1318" t="s">
        <v>3175</v>
      </c>
      <c r="F1318" t="s">
        <v>3176</v>
      </c>
      <c r="G1318" t="s">
        <v>124</v>
      </c>
      <c r="H1318" t="s">
        <v>125</v>
      </c>
      <c r="I1318">
        <v>0</v>
      </c>
      <c r="J1318" t="s">
        <v>126</v>
      </c>
      <c r="K1318" t="s">
        <v>125</v>
      </c>
      <c r="L1318" t="s">
        <v>236</v>
      </c>
      <c r="T1318" t="s">
        <v>154</v>
      </c>
      <c r="W1318" t="s">
        <v>135</v>
      </c>
      <c r="AC1318" t="s">
        <v>143</v>
      </c>
      <c r="AE1318" t="s">
        <v>144</v>
      </c>
      <c r="AG1318">
        <v>4</v>
      </c>
      <c r="AH1318" t="s">
        <v>614</v>
      </c>
      <c r="AI1318" t="s">
        <v>205</v>
      </c>
      <c r="AJ1318" t="s">
        <v>131</v>
      </c>
      <c r="AK1318" t="s">
        <v>125</v>
      </c>
      <c r="AL1318">
        <v>6</v>
      </c>
      <c r="AM1318" t="s">
        <v>132</v>
      </c>
      <c r="AN1318" t="s">
        <v>125</v>
      </c>
      <c r="AO1318" t="s">
        <v>3177</v>
      </c>
      <c r="BP1318" t="s">
        <v>149</v>
      </c>
      <c r="BR1318" t="s">
        <v>135</v>
      </c>
      <c r="BS1318">
        <v>3</v>
      </c>
      <c r="BX1318" t="s">
        <v>136</v>
      </c>
      <c r="BZ1318" t="s">
        <v>137</v>
      </c>
    </row>
    <row r="1319" spans="1:78" hidden="1" x14ac:dyDescent="0.2">
      <c r="A1319" t="s">
        <v>119</v>
      </c>
      <c r="B1319" t="s">
        <v>120</v>
      </c>
      <c r="C1319" t="s">
        <v>3178</v>
      </c>
      <c r="D1319">
        <v>5</v>
      </c>
      <c r="E1319" t="s">
        <v>1092</v>
      </c>
      <c r="F1319" t="s">
        <v>331</v>
      </c>
      <c r="G1319" t="s">
        <v>124</v>
      </c>
      <c r="H1319" t="s">
        <v>125</v>
      </c>
      <c r="I1319">
        <v>0</v>
      </c>
      <c r="J1319" t="s">
        <v>126</v>
      </c>
      <c r="K1319" t="s">
        <v>125</v>
      </c>
      <c r="L1319" t="s">
        <v>3179</v>
      </c>
      <c r="T1319" t="s">
        <v>154</v>
      </c>
      <c r="W1319" t="s">
        <v>135</v>
      </c>
      <c r="AC1319" t="s">
        <v>143</v>
      </c>
      <c r="AE1319" t="s">
        <v>144</v>
      </c>
      <c r="AG1319">
        <v>3</v>
      </c>
      <c r="AH1319" t="s">
        <v>614</v>
      </c>
      <c r="AI1319" t="s">
        <v>205</v>
      </c>
      <c r="AJ1319" t="s">
        <v>131</v>
      </c>
      <c r="AK1319" t="s">
        <v>125</v>
      </c>
      <c r="AL1319">
        <v>5</v>
      </c>
      <c r="AM1319" t="s">
        <v>132</v>
      </c>
      <c r="AN1319" t="s">
        <v>125</v>
      </c>
      <c r="AO1319" t="s">
        <v>3180</v>
      </c>
      <c r="BP1319" t="s">
        <v>149</v>
      </c>
      <c r="BR1319" t="s">
        <v>135</v>
      </c>
      <c r="BS1319">
        <v>3</v>
      </c>
      <c r="BX1319" t="s">
        <v>136</v>
      </c>
      <c r="BZ1319" t="s">
        <v>137</v>
      </c>
    </row>
    <row r="1320" spans="1:78" hidden="1" x14ac:dyDescent="0.2">
      <c r="A1320" t="s">
        <v>119</v>
      </c>
      <c r="B1320" t="s">
        <v>120</v>
      </c>
      <c r="C1320" t="s">
        <v>3178</v>
      </c>
      <c r="D1320">
        <v>10</v>
      </c>
      <c r="E1320" t="s">
        <v>3181</v>
      </c>
      <c r="F1320" t="s">
        <v>3181</v>
      </c>
      <c r="G1320" t="s">
        <v>124</v>
      </c>
      <c r="H1320" t="s">
        <v>125</v>
      </c>
      <c r="I1320">
        <v>8</v>
      </c>
      <c r="J1320" t="s">
        <v>386</v>
      </c>
      <c r="K1320" t="s">
        <v>125</v>
      </c>
      <c r="L1320" t="s">
        <v>3182</v>
      </c>
      <c r="AE1320" t="s">
        <v>128</v>
      </c>
    </row>
    <row r="1321" spans="1:78" hidden="1" x14ac:dyDescent="0.2">
      <c r="A1321" t="s">
        <v>119</v>
      </c>
      <c r="B1321" t="s">
        <v>120</v>
      </c>
      <c r="C1321" t="s">
        <v>3183</v>
      </c>
      <c r="D1321">
        <v>4</v>
      </c>
      <c r="E1321" t="s">
        <v>3184</v>
      </c>
      <c r="F1321" t="s">
        <v>311</v>
      </c>
      <c r="G1321" t="s">
        <v>124</v>
      </c>
      <c r="H1321" t="s">
        <v>125</v>
      </c>
      <c r="I1321">
        <v>0</v>
      </c>
      <c r="J1321" t="s">
        <v>126</v>
      </c>
      <c r="K1321" t="s">
        <v>125</v>
      </c>
      <c r="L1321" t="s">
        <v>3185</v>
      </c>
      <c r="U1321" t="s">
        <v>149</v>
      </c>
      <c r="W1321" t="s">
        <v>135</v>
      </c>
      <c r="X1321">
        <v>3</v>
      </c>
      <c r="AC1321" t="s">
        <v>209</v>
      </c>
      <c r="AE1321" t="s">
        <v>137</v>
      </c>
    </row>
    <row r="1322" spans="1:78" x14ac:dyDescent="0.2">
      <c r="A1322" t="s">
        <v>119</v>
      </c>
      <c r="B1322" t="s">
        <v>120</v>
      </c>
      <c r="C1322" t="s">
        <v>3186</v>
      </c>
      <c r="D1322">
        <v>2</v>
      </c>
      <c r="E1322" t="s">
        <v>204</v>
      </c>
      <c r="F1322" t="s">
        <v>205</v>
      </c>
      <c r="G1322" t="s">
        <v>124</v>
      </c>
      <c r="H1322" t="s">
        <v>125</v>
      </c>
      <c r="I1322">
        <v>0</v>
      </c>
      <c r="J1322" t="s">
        <v>126</v>
      </c>
      <c r="K1322" t="s">
        <v>125</v>
      </c>
      <c r="L1322" t="s">
        <v>3187</v>
      </c>
      <c r="U1322" t="s">
        <v>149</v>
      </c>
      <c r="W1322" t="s">
        <v>135</v>
      </c>
      <c r="X1322">
        <v>1</v>
      </c>
      <c r="AC1322" t="s">
        <v>136</v>
      </c>
      <c r="AE1322" t="s">
        <v>137</v>
      </c>
    </row>
    <row r="1323" spans="1:78" x14ac:dyDescent="0.2">
      <c r="A1323" t="s">
        <v>119</v>
      </c>
      <c r="B1323" t="s">
        <v>120</v>
      </c>
      <c r="C1323" t="s">
        <v>3188</v>
      </c>
      <c r="D1323">
        <v>3</v>
      </c>
      <c r="E1323" t="s">
        <v>180</v>
      </c>
      <c r="F1323" t="s">
        <v>181</v>
      </c>
      <c r="G1323" t="s">
        <v>124</v>
      </c>
      <c r="H1323" t="s">
        <v>125</v>
      </c>
      <c r="I1323">
        <v>0</v>
      </c>
      <c r="J1323" t="s">
        <v>126</v>
      </c>
      <c r="K1323" t="s">
        <v>125</v>
      </c>
      <c r="L1323" t="s">
        <v>3189</v>
      </c>
      <c r="U1323" t="s">
        <v>149</v>
      </c>
      <c r="W1323" t="s">
        <v>135</v>
      </c>
      <c r="X1323">
        <v>1</v>
      </c>
      <c r="AC1323" t="s">
        <v>136</v>
      </c>
      <c r="AE1323" t="s">
        <v>137</v>
      </c>
    </row>
    <row r="1324" spans="1:78" hidden="1" x14ac:dyDescent="0.2">
      <c r="A1324" t="s">
        <v>119</v>
      </c>
      <c r="B1324" t="s">
        <v>120</v>
      </c>
      <c r="C1324" t="s">
        <v>3188</v>
      </c>
      <c r="D1324">
        <v>7</v>
      </c>
      <c r="E1324" t="s">
        <v>3190</v>
      </c>
      <c r="F1324" t="s">
        <v>3190</v>
      </c>
      <c r="G1324" t="s">
        <v>124</v>
      </c>
      <c r="H1324" t="s">
        <v>125</v>
      </c>
      <c r="I1324">
        <v>3</v>
      </c>
      <c r="J1324" t="s">
        <v>294</v>
      </c>
      <c r="K1324" t="s">
        <v>125</v>
      </c>
      <c r="L1324" t="s">
        <v>3191</v>
      </c>
      <c r="AE1324" t="s">
        <v>128</v>
      </c>
      <c r="AG1324">
        <v>5</v>
      </c>
      <c r="AH1324" t="s">
        <v>3192</v>
      </c>
      <c r="AI1324" t="s">
        <v>572</v>
      </c>
      <c r="AJ1324" t="s">
        <v>131</v>
      </c>
      <c r="AK1324" t="s">
        <v>125</v>
      </c>
      <c r="AL1324">
        <v>7</v>
      </c>
      <c r="AM1324" t="s">
        <v>132</v>
      </c>
      <c r="AN1324" t="s">
        <v>125</v>
      </c>
      <c r="AO1324" t="s">
        <v>3193</v>
      </c>
      <c r="BZ1324" t="s">
        <v>128</v>
      </c>
    </row>
    <row r="1325" spans="1:78" x14ac:dyDescent="0.2">
      <c r="A1325" t="s">
        <v>119</v>
      </c>
      <c r="B1325" t="s">
        <v>120</v>
      </c>
      <c r="C1325" t="s">
        <v>3194</v>
      </c>
      <c r="D1325">
        <v>13</v>
      </c>
      <c r="E1325" t="s">
        <v>327</v>
      </c>
      <c r="F1325" t="s">
        <v>198</v>
      </c>
      <c r="G1325" t="s">
        <v>124</v>
      </c>
      <c r="H1325" t="s">
        <v>125</v>
      </c>
      <c r="I1325">
        <v>17</v>
      </c>
      <c r="J1325" t="s">
        <v>199</v>
      </c>
      <c r="K1325" t="s">
        <v>125</v>
      </c>
      <c r="L1325" t="s">
        <v>3195</v>
      </c>
      <c r="U1325" t="s">
        <v>149</v>
      </c>
      <c r="W1325" t="s">
        <v>135</v>
      </c>
      <c r="X1325">
        <v>3</v>
      </c>
      <c r="AC1325" t="s">
        <v>136</v>
      </c>
      <c r="AE1325" t="s">
        <v>137</v>
      </c>
    </row>
    <row r="1326" spans="1:78" hidden="1" x14ac:dyDescent="0.2">
      <c r="A1326" t="s">
        <v>119</v>
      </c>
      <c r="B1326" t="s">
        <v>120</v>
      </c>
      <c r="C1326" t="s">
        <v>3196</v>
      </c>
      <c r="D1326">
        <v>9</v>
      </c>
      <c r="E1326" t="s">
        <v>448</v>
      </c>
      <c r="F1326" t="s">
        <v>449</v>
      </c>
      <c r="G1326" t="s">
        <v>124</v>
      </c>
      <c r="H1326" t="s">
        <v>125</v>
      </c>
      <c r="I1326">
        <v>0</v>
      </c>
      <c r="J1326" t="s">
        <v>126</v>
      </c>
      <c r="K1326" t="s">
        <v>125</v>
      </c>
      <c r="L1326" t="s">
        <v>3197</v>
      </c>
      <c r="T1326" t="s">
        <v>154</v>
      </c>
      <c r="W1326" t="s">
        <v>135</v>
      </c>
      <c r="AC1326" t="s">
        <v>143</v>
      </c>
      <c r="AE1326" t="s">
        <v>144</v>
      </c>
    </row>
    <row r="1327" spans="1:78" x14ac:dyDescent="0.2">
      <c r="A1327" t="s">
        <v>119</v>
      </c>
      <c r="B1327" t="s">
        <v>120</v>
      </c>
      <c r="C1327" t="s">
        <v>3198</v>
      </c>
      <c r="D1327">
        <v>1</v>
      </c>
      <c r="E1327" t="s">
        <v>260</v>
      </c>
      <c r="F1327" t="s">
        <v>261</v>
      </c>
      <c r="G1327" t="s">
        <v>124</v>
      </c>
      <c r="H1327" t="s">
        <v>125</v>
      </c>
      <c r="I1327">
        <v>0</v>
      </c>
      <c r="J1327" t="s">
        <v>126</v>
      </c>
      <c r="K1327" t="s">
        <v>125</v>
      </c>
      <c r="L1327" t="s">
        <v>3199</v>
      </c>
      <c r="U1327" t="s">
        <v>149</v>
      </c>
      <c r="W1327" t="s">
        <v>155</v>
      </c>
      <c r="X1327">
        <v>1</v>
      </c>
      <c r="AC1327" t="s">
        <v>136</v>
      </c>
      <c r="AE1327" t="s">
        <v>137</v>
      </c>
    </row>
    <row r="1328" spans="1:78" hidden="1" x14ac:dyDescent="0.2">
      <c r="A1328" t="s">
        <v>119</v>
      </c>
      <c r="B1328" t="s">
        <v>120</v>
      </c>
      <c r="C1328" t="s">
        <v>3198</v>
      </c>
      <c r="D1328">
        <v>13</v>
      </c>
      <c r="E1328" t="s">
        <v>3200</v>
      </c>
      <c r="F1328" t="s">
        <v>3201</v>
      </c>
      <c r="G1328" t="s">
        <v>124</v>
      </c>
      <c r="H1328" t="s">
        <v>125</v>
      </c>
      <c r="I1328">
        <v>1</v>
      </c>
      <c r="J1328" t="s">
        <v>264</v>
      </c>
      <c r="K1328" t="s">
        <v>125</v>
      </c>
      <c r="L1328" t="s">
        <v>3202</v>
      </c>
      <c r="T1328" t="s">
        <v>142</v>
      </c>
      <c r="W1328" t="s">
        <v>135</v>
      </c>
      <c r="AC1328" t="s">
        <v>143</v>
      </c>
      <c r="AE1328" t="s">
        <v>144</v>
      </c>
      <c r="AG1328">
        <v>12</v>
      </c>
      <c r="AH1328" t="s">
        <v>160</v>
      </c>
      <c r="AI1328" t="s">
        <v>146</v>
      </c>
      <c r="AJ1328" t="s">
        <v>131</v>
      </c>
      <c r="AK1328" t="s">
        <v>125</v>
      </c>
      <c r="AL1328">
        <v>13</v>
      </c>
      <c r="AM1328" t="s">
        <v>132</v>
      </c>
      <c r="AN1328" t="s">
        <v>125</v>
      </c>
      <c r="AO1328" t="s">
        <v>1428</v>
      </c>
      <c r="BP1328" t="s">
        <v>149</v>
      </c>
      <c r="BR1328" t="s">
        <v>155</v>
      </c>
      <c r="BS1328">
        <v>3</v>
      </c>
      <c r="BX1328" t="s">
        <v>136</v>
      </c>
      <c r="BZ1328" t="s">
        <v>137</v>
      </c>
    </row>
    <row r="1329" spans="1:118" x14ac:dyDescent="0.2">
      <c r="A1329" t="s">
        <v>119</v>
      </c>
      <c r="B1329" t="s">
        <v>120</v>
      </c>
      <c r="C1329" t="s">
        <v>3203</v>
      </c>
      <c r="D1329">
        <v>9</v>
      </c>
      <c r="E1329" t="s">
        <v>3204</v>
      </c>
      <c r="F1329" t="s">
        <v>3205</v>
      </c>
      <c r="G1329" t="s">
        <v>124</v>
      </c>
      <c r="H1329" t="s">
        <v>125</v>
      </c>
      <c r="I1329">
        <v>5</v>
      </c>
      <c r="J1329" t="s">
        <v>161</v>
      </c>
      <c r="K1329" t="s">
        <v>125</v>
      </c>
      <c r="L1329" t="s">
        <v>3206</v>
      </c>
      <c r="U1329" t="s">
        <v>149</v>
      </c>
      <c r="W1329" t="s">
        <v>135</v>
      </c>
      <c r="X1329">
        <v>3</v>
      </c>
      <c r="AC1329" t="s">
        <v>136</v>
      </c>
      <c r="AE1329" t="s">
        <v>137</v>
      </c>
    </row>
    <row r="1330" spans="1:118" hidden="1" x14ac:dyDescent="0.2">
      <c r="A1330" t="s">
        <v>119</v>
      </c>
      <c r="B1330" t="s">
        <v>120</v>
      </c>
      <c r="C1330" t="s">
        <v>3203</v>
      </c>
      <c r="D1330">
        <v>26</v>
      </c>
      <c r="E1330" t="s">
        <v>331</v>
      </c>
      <c r="F1330" t="s">
        <v>331</v>
      </c>
      <c r="G1330" t="s">
        <v>124</v>
      </c>
      <c r="H1330" t="s">
        <v>125</v>
      </c>
      <c r="I1330">
        <v>0</v>
      </c>
      <c r="J1330" t="s">
        <v>126</v>
      </c>
      <c r="K1330" t="s">
        <v>125</v>
      </c>
      <c r="L1330" t="s">
        <v>3207</v>
      </c>
      <c r="AE1330" t="s">
        <v>128</v>
      </c>
      <c r="AG1330">
        <v>25</v>
      </c>
      <c r="AH1330" t="s">
        <v>571</v>
      </c>
      <c r="AI1330" t="s">
        <v>572</v>
      </c>
      <c r="AJ1330" t="s">
        <v>131</v>
      </c>
      <c r="AK1330" t="s">
        <v>125</v>
      </c>
      <c r="AL1330">
        <v>26</v>
      </c>
      <c r="AM1330" t="s">
        <v>132</v>
      </c>
      <c r="AN1330" t="s">
        <v>125</v>
      </c>
      <c r="AO1330" t="s">
        <v>3208</v>
      </c>
      <c r="BP1330" t="s">
        <v>149</v>
      </c>
      <c r="BR1330" t="s">
        <v>155</v>
      </c>
      <c r="BS1330">
        <v>3</v>
      </c>
      <c r="BX1330" t="s">
        <v>136</v>
      </c>
      <c r="BZ1330" t="s">
        <v>137</v>
      </c>
    </row>
    <row r="1331" spans="1:118" hidden="1" x14ac:dyDescent="0.2">
      <c r="A1331" t="s">
        <v>119</v>
      </c>
      <c r="B1331" t="s">
        <v>120</v>
      </c>
      <c r="C1331" t="s">
        <v>3209</v>
      </c>
      <c r="D1331">
        <v>6</v>
      </c>
      <c r="E1331" t="s">
        <v>3210</v>
      </c>
      <c r="F1331" t="s">
        <v>3211</v>
      </c>
      <c r="G1331" t="s">
        <v>124</v>
      </c>
      <c r="H1331" t="s">
        <v>125</v>
      </c>
      <c r="I1331">
        <v>0</v>
      </c>
      <c r="J1331" t="s">
        <v>126</v>
      </c>
      <c r="K1331" t="s">
        <v>125</v>
      </c>
      <c r="L1331" t="s">
        <v>3212</v>
      </c>
      <c r="T1331" t="s">
        <v>154</v>
      </c>
      <c r="W1331" t="s">
        <v>135</v>
      </c>
      <c r="AC1331" t="s">
        <v>143</v>
      </c>
      <c r="AE1331" t="s">
        <v>144</v>
      </c>
      <c r="AG1331">
        <v>5</v>
      </c>
      <c r="AH1331" t="s">
        <v>614</v>
      </c>
      <c r="AI1331" t="s">
        <v>205</v>
      </c>
      <c r="AJ1331" t="s">
        <v>131</v>
      </c>
      <c r="AK1331" t="s">
        <v>125</v>
      </c>
      <c r="AL1331">
        <v>6</v>
      </c>
      <c r="AM1331" t="s">
        <v>132</v>
      </c>
      <c r="AN1331" t="s">
        <v>125</v>
      </c>
      <c r="AO1331" t="s">
        <v>3213</v>
      </c>
      <c r="AP1331">
        <v>4</v>
      </c>
      <c r="AQ1331" t="s">
        <v>145</v>
      </c>
      <c r="AR1331" t="s">
        <v>146</v>
      </c>
      <c r="AS1331" t="s">
        <v>131</v>
      </c>
      <c r="AT1331" t="s">
        <v>125</v>
      </c>
      <c r="AU1331">
        <v>5</v>
      </c>
      <c r="AV1331" t="s">
        <v>210</v>
      </c>
      <c r="AW1331" t="s">
        <v>125</v>
      </c>
      <c r="AX1331" t="s">
        <v>3214</v>
      </c>
      <c r="AY1331">
        <v>2</v>
      </c>
      <c r="AZ1331" t="s">
        <v>145</v>
      </c>
      <c r="BA1331" t="s">
        <v>146</v>
      </c>
      <c r="BB1331" t="s">
        <v>131</v>
      </c>
      <c r="BC1331" t="s">
        <v>125</v>
      </c>
      <c r="BD1331">
        <v>4</v>
      </c>
      <c r="BE1331" t="s">
        <v>210</v>
      </c>
      <c r="BF1331" t="s">
        <v>125</v>
      </c>
      <c r="BG1331" t="s">
        <v>3215</v>
      </c>
      <c r="BP1331" t="s">
        <v>149</v>
      </c>
      <c r="BR1331" t="s">
        <v>135</v>
      </c>
      <c r="BS1331">
        <v>3</v>
      </c>
      <c r="BX1331" t="s">
        <v>136</v>
      </c>
      <c r="BZ1331" t="s">
        <v>137</v>
      </c>
      <c r="CJ1331" t="s">
        <v>149</v>
      </c>
      <c r="CL1331" t="s">
        <v>135</v>
      </c>
      <c r="CM1331">
        <v>3</v>
      </c>
      <c r="CR1331" t="s">
        <v>136</v>
      </c>
      <c r="CT1331" t="s">
        <v>137</v>
      </c>
      <c r="DD1331" t="s">
        <v>149</v>
      </c>
      <c r="DF1331" t="s">
        <v>135</v>
      </c>
      <c r="DG1331">
        <v>3</v>
      </c>
      <c r="DL1331" t="s">
        <v>136</v>
      </c>
      <c r="DN1331" t="s">
        <v>137</v>
      </c>
    </row>
    <row r="1332" spans="1:118" hidden="1" x14ac:dyDescent="0.2">
      <c r="A1332" t="s">
        <v>119</v>
      </c>
      <c r="B1332" t="s">
        <v>120</v>
      </c>
      <c r="C1332" t="s">
        <v>3216</v>
      </c>
      <c r="D1332">
        <v>2</v>
      </c>
      <c r="E1332" t="s">
        <v>407</v>
      </c>
      <c r="F1332" t="s">
        <v>140</v>
      </c>
      <c r="G1332" t="s">
        <v>124</v>
      </c>
      <c r="H1332" t="s">
        <v>125</v>
      </c>
      <c r="I1332">
        <v>10</v>
      </c>
      <c r="J1332" t="s">
        <v>210</v>
      </c>
      <c r="K1332" t="s">
        <v>125</v>
      </c>
      <c r="L1332" t="s">
        <v>3217</v>
      </c>
      <c r="T1332" t="s">
        <v>154</v>
      </c>
      <c r="W1332" t="s">
        <v>135</v>
      </c>
      <c r="AC1332" t="s">
        <v>143</v>
      </c>
      <c r="AE1332" t="s">
        <v>144</v>
      </c>
      <c r="AG1332">
        <v>1</v>
      </c>
      <c r="AH1332" t="s">
        <v>204</v>
      </c>
      <c r="AI1332" t="s">
        <v>205</v>
      </c>
      <c r="AJ1332" t="s">
        <v>131</v>
      </c>
      <c r="AK1332" t="s">
        <v>125</v>
      </c>
      <c r="AL1332">
        <v>2</v>
      </c>
      <c r="AM1332" t="s">
        <v>132</v>
      </c>
      <c r="AN1332" t="s">
        <v>125</v>
      </c>
      <c r="AO1332" t="s">
        <v>3218</v>
      </c>
      <c r="BP1332" t="s">
        <v>149</v>
      </c>
      <c r="BR1332" t="s">
        <v>135</v>
      </c>
      <c r="BS1332">
        <v>1</v>
      </c>
      <c r="BX1332" t="s">
        <v>136</v>
      </c>
      <c r="BZ1332" t="s">
        <v>137</v>
      </c>
    </row>
    <row r="1333" spans="1:118" hidden="1" x14ac:dyDescent="0.2">
      <c r="A1333" t="s">
        <v>119</v>
      </c>
      <c r="B1333" t="s">
        <v>120</v>
      </c>
      <c r="C1333" t="s">
        <v>3216</v>
      </c>
      <c r="D1333">
        <v>10</v>
      </c>
      <c r="E1333" t="s">
        <v>407</v>
      </c>
      <c r="F1333" t="s">
        <v>3219</v>
      </c>
      <c r="G1333" t="s">
        <v>124</v>
      </c>
      <c r="H1333" t="s">
        <v>125</v>
      </c>
      <c r="I1333">
        <v>0</v>
      </c>
      <c r="J1333" t="s">
        <v>126</v>
      </c>
      <c r="K1333" t="s">
        <v>125</v>
      </c>
      <c r="L1333" t="s">
        <v>3220</v>
      </c>
      <c r="T1333" t="s">
        <v>154</v>
      </c>
      <c r="W1333" t="s">
        <v>135</v>
      </c>
      <c r="AC1333" t="s">
        <v>143</v>
      </c>
      <c r="AE1333" t="s">
        <v>144</v>
      </c>
      <c r="AG1333">
        <v>9</v>
      </c>
      <c r="AH1333" t="s">
        <v>204</v>
      </c>
      <c r="AI1333" t="s">
        <v>205</v>
      </c>
      <c r="AJ1333" t="s">
        <v>131</v>
      </c>
      <c r="AK1333" t="s">
        <v>125</v>
      </c>
      <c r="AL1333">
        <v>10</v>
      </c>
      <c r="AM1333" t="s">
        <v>132</v>
      </c>
      <c r="AN1333" t="s">
        <v>125</v>
      </c>
      <c r="AO1333" t="s">
        <v>3221</v>
      </c>
      <c r="BP1333" t="s">
        <v>149</v>
      </c>
      <c r="BR1333" t="s">
        <v>135</v>
      </c>
      <c r="BS1333">
        <v>1</v>
      </c>
      <c r="BX1333" t="s">
        <v>136</v>
      </c>
      <c r="BZ1333" t="s">
        <v>137</v>
      </c>
    </row>
    <row r="1334" spans="1:118" hidden="1" x14ac:dyDescent="0.2">
      <c r="A1334" t="s">
        <v>119</v>
      </c>
      <c r="B1334" t="s">
        <v>120</v>
      </c>
      <c r="C1334" t="s">
        <v>3216</v>
      </c>
      <c r="D1334">
        <v>17</v>
      </c>
      <c r="E1334" t="s">
        <v>3222</v>
      </c>
      <c r="F1334" t="s">
        <v>1651</v>
      </c>
      <c r="G1334" t="s">
        <v>124</v>
      </c>
      <c r="H1334" t="s">
        <v>125</v>
      </c>
      <c r="I1334">
        <v>10</v>
      </c>
      <c r="J1334" t="s">
        <v>161</v>
      </c>
      <c r="K1334" t="s">
        <v>125</v>
      </c>
      <c r="L1334" t="s">
        <v>3223</v>
      </c>
      <c r="T1334" t="s">
        <v>154</v>
      </c>
      <c r="W1334" t="s">
        <v>135</v>
      </c>
      <c r="AC1334" t="s">
        <v>143</v>
      </c>
      <c r="AE1334" t="s">
        <v>144</v>
      </c>
      <c r="AG1334">
        <v>16</v>
      </c>
      <c r="AH1334" t="s">
        <v>204</v>
      </c>
      <c r="AI1334" t="s">
        <v>205</v>
      </c>
      <c r="AJ1334" t="s">
        <v>131</v>
      </c>
      <c r="AK1334" t="s">
        <v>125</v>
      </c>
      <c r="AL1334">
        <v>17</v>
      </c>
      <c r="AM1334" t="s">
        <v>132</v>
      </c>
      <c r="AN1334" t="s">
        <v>125</v>
      </c>
      <c r="AO1334" t="s">
        <v>3224</v>
      </c>
      <c r="BP1334" t="s">
        <v>149</v>
      </c>
      <c r="BR1334" t="s">
        <v>135</v>
      </c>
      <c r="BS1334">
        <v>1</v>
      </c>
      <c r="BX1334" t="s">
        <v>136</v>
      </c>
      <c r="BZ1334" t="s">
        <v>137</v>
      </c>
    </row>
    <row r="1335" spans="1:118" hidden="1" x14ac:dyDescent="0.2">
      <c r="A1335" t="s">
        <v>119</v>
      </c>
      <c r="B1335" t="s">
        <v>120</v>
      </c>
      <c r="C1335" t="s">
        <v>3225</v>
      </c>
      <c r="D1335">
        <v>3</v>
      </c>
      <c r="E1335" t="s">
        <v>407</v>
      </c>
      <c r="F1335" t="s">
        <v>140</v>
      </c>
      <c r="G1335" t="s">
        <v>124</v>
      </c>
      <c r="H1335" t="s">
        <v>125</v>
      </c>
      <c r="I1335">
        <v>0</v>
      </c>
      <c r="J1335" t="s">
        <v>126</v>
      </c>
      <c r="K1335" t="s">
        <v>125</v>
      </c>
      <c r="L1335" t="s">
        <v>3226</v>
      </c>
      <c r="T1335" t="s">
        <v>154</v>
      </c>
      <c r="W1335" t="s">
        <v>135</v>
      </c>
      <c r="AC1335" t="s">
        <v>143</v>
      </c>
      <c r="AE1335" t="s">
        <v>144</v>
      </c>
      <c r="AG1335">
        <v>2</v>
      </c>
      <c r="AH1335" t="s">
        <v>204</v>
      </c>
      <c r="AI1335" t="s">
        <v>205</v>
      </c>
      <c r="AJ1335" t="s">
        <v>131</v>
      </c>
      <c r="AK1335" t="s">
        <v>125</v>
      </c>
      <c r="AL1335">
        <v>3</v>
      </c>
      <c r="AM1335" t="s">
        <v>132</v>
      </c>
      <c r="AN1335" t="s">
        <v>125</v>
      </c>
      <c r="AO1335" t="s">
        <v>3227</v>
      </c>
      <c r="BP1335" t="s">
        <v>149</v>
      </c>
      <c r="BR1335" t="s">
        <v>135</v>
      </c>
      <c r="BS1335">
        <v>1</v>
      </c>
      <c r="BX1335" t="s">
        <v>136</v>
      </c>
      <c r="BZ1335" t="s">
        <v>137</v>
      </c>
    </row>
    <row r="1336" spans="1:118" hidden="1" x14ac:dyDescent="0.2">
      <c r="A1336" t="s">
        <v>119</v>
      </c>
      <c r="B1336" t="s">
        <v>120</v>
      </c>
      <c r="C1336" t="s">
        <v>3225</v>
      </c>
      <c r="D1336">
        <v>17</v>
      </c>
      <c r="E1336" t="s">
        <v>140</v>
      </c>
      <c r="F1336" t="s">
        <v>140</v>
      </c>
      <c r="G1336" t="s">
        <v>124</v>
      </c>
      <c r="H1336" t="s">
        <v>125</v>
      </c>
      <c r="I1336">
        <v>3</v>
      </c>
      <c r="J1336" t="s">
        <v>161</v>
      </c>
      <c r="K1336" t="s">
        <v>125</v>
      </c>
      <c r="L1336" t="s">
        <v>3228</v>
      </c>
      <c r="AE1336" t="s">
        <v>128</v>
      </c>
      <c r="AG1336">
        <v>34</v>
      </c>
      <c r="AH1336" t="s">
        <v>160</v>
      </c>
      <c r="AI1336" t="s">
        <v>146</v>
      </c>
      <c r="AJ1336" t="s">
        <v>131</v>
      </c>
      <c r="AK1336" t="s">
        <v>125</v>
      </c>
      <c r="AL1336">
        <v>17</v>
      </c>
      <c r="AM1336" t="s">
        <v>161</v>
      </c>
      <c r="AN1336" t="s">
        <v>125</v>
      </c>
      <c r="AO1336" t="s">
        <v>1445</v>
      </c>
      <c r="BP1336" t="s">
        <v>149</v>
      </c>
      <c r="BR1336" t="s">
        <v>155</v>
      </c>
      <c r="BS1336">
        <v>3</v>
      </c>
      <c r="BX1336" t="s">
        <v>136</v>
      </c>
      <c r="BZ1336" t="s">
        <v>137</v>
      </c>
    </row>
    <row r="1337" spans="1:118" x14ac:dyDescent="0.2">
      <c r="A1337" t="s">
        <v>119</v>
      </c>
      <c r="B1337" t="s">
        <v>120</v>
      </c>
      <c r="C1337" t="s">
        <v>3229</v>
      </c>
      <c r="D1337">
        <v>2</v>
      </c>
      <c r="E1337" t="s">
        <v>160</v>
      </c>
      <c r="F1337" t="s">
        <v>146</v>
      </c>
      <c r="G1337" t="s">
        <v>124</v>
      </c>
      <c r="H1337" t="s">
        <v>125</v>
      </c>
      <c r="I1337">
        <v>0</v>
      </c>
      <c r="J1337" t="s">
        <v>126</v>
      </c>
      <c r="K1337" t="s">
        <v>125</v>
      </c>
      <c r="L1337" t="s">
        <v>3230</v>
      </c>
      <c r="U1337" t="s">
        <v>149</v>
      </c>
      <c r="W1337" t="s">
        <v>155</v>
      </c>
      <c r="X1337">
        <v>3</v>
      </c>
      <c r="AC1337" t="s">
        <v>136</v>
      </c>
      <c r="AE1337" t="s">
        <v>137</v>
      </c>
    </row>
    <row r="1338" spans="1:118" x14ac:dyDescent="0.2">
      <c r="A1338" t="s">
        <v>119</v>
      </c>
      <c r="B1338" t="s">
        <v>120</v>
      </c>
      <c r="C1338" t="s">
        <v>3231</v>
      </c>
      <c r="D1338">
        <v>3</v>
      </c>
      <c r="E1338" t="s">
        <v>145</v>
      </c>
      <c r="F1338" t="s">
        <v>146</v>
      </c>
      <c r="G1338" t="s">
        <v>124</v>
      </c>
      <c r="H1338" t="s">
        <v>125</v>
      </c>
      <c r="I1338">
        <v>0</v>
      </c>
      <c r="J1338" t="s">
        <v>126</v>
      </c>
      <c r="K1338" t="s">
        <v>125</v>
      </c>
      <c r="L1338" t="s">
        <v>3232</v>
      </c>
      <c r="U1338" t="s">
        <v>149</v>
      </c>
      <c r="W1338" t="s">
        <v>135</v>
      </c>
      <c r="X1338">
        <v>3</v>
      </c>
      <c r="AC1338" t="s">
        <v>136</v>
      </c>
      <c r="AE1338" t="s">
        <v>137</v>
      </c>
    </row>
    <row r="1339" spans="1:118" x14ac:dyDescent="0.2">
      <c r="A1339" t="s">
        <v>119</v>
      </c>
      <c r="B1339" t="s">
        <v>120</v>
      </c>
      <c r="C1339" t="s">
        <v>3233</v>
      </c>
      <c r="D1339">
        <v>3</v>
      </c>
      <c r="E1339" t="s">
        <v>3149</v>
      </c>
      <c r="F1339" t="s">
        <v>140</v>
      </c>
      <c r="G1339" t="s">
        <v>124</v>
      </c>
      <c r="H1339" t="s">
        <v>125</v>
      </c>
      <c r="I1339">
        <v>0</v>
      </c>
      <c r="J1339" t="s">
        <v>126</v>
      </c>
      <c r="K1339" t="s">
        <v>125</v>
      </c>
      <c r="L1339" t="s">
        <v>3234</v>
      </c>
      <c r="U1339" t="s">
        <v>149</v>
      </c>
      <c r="W1339" t="s">
        <v>155</v>
      </c>
      <c r="X1339">
        <v>3</v>
      </c>
      <c r="AC1339" t="s">
        <v>136</v>
      </c>
      <c r="AE1339" t="s">
        <v>137</v>
      </c>
    </row>
    <row r="1340" spans="1:118" x14ac:dyDescent="0.2">
      <c r="A1340" t="s">
        <v>119</v>
      </c>
      <c r="B1340" t="s">
        <v>120</v>
      </c>
      <c r="C1340" t="s">
        <v>3235</v>
      </c>
      <c r="D1340">
        <v>5</v>
      </c>
      <c r="E1340" t="s">
        <v>3149</v>
      </c>
      <c r="F1340" t="s">
        <v>140</v>
      </c>
      <c r="G1340" t="s">
        <v>124</v>
      </c>
      <c r="H1340" t="s">
        <v>125</v>
      </c>
      <c r="I1340">
        <v>0</v>
      </c>
      <c r="J1340" t="s">
        <v>126</v>
      </c>
      <c r="K1340" t="s">
        <v>125</v>
      </c>
      <c r="L1340" t="s">
        <v>3236</v>
      </c>
      <c r="U1340" t="s">
        <v>149</v>
      </c>
      <c r="W1340" t="s">
        <v>155</v>
      </c>
      <c r="X1340">
        <v>3</v>
      </c>
      <c r="AC1340" t="s">
        <v>136</v>
      </c>
      <c r="AE1340" t="s">
        <v>137</v>
      </c>
    </row>
    <row r="1341" spans="1:118" hidden="1" x14ac:dyDescent="0.2">
      <c r="A1341" t="s">
        <v>119</v>
      </c>
      <c r="B1341" t="s">
        <v>120</v>
      </c>
      <c r="C1341" t="s">
        <v>3235</v>
      </c>
      <c r="D1341">
        <v>12</v>
      </c>
      <c r="E1341" t="s">
        <v>407</v>
      </c>
      <c r="F1341" t="s">
        <v>140</v>
      </c>
      <c r="G1341" t="s">
        <v>124</v>
      </c>
      <c r="H1341" t="s">
        <v>125</v>
      </c>
      <c r="I1341">
        <v>8</v>
      </c>
      <c r="J1341" t="s">
        <v>170</v>
      </c>
      <c r="K1341" t="s">
        <v>125</v>
      </c>
      <c r="L1341" t="s">
        <v>3237</v>
      </c>
      <c r="T1341" t="s">
        <v>154</v>
      </c>
      <c r="W1341" t="s">
        <v>135</v>
      </c>
      <c r="AC1341" t="s">
        <v>143</v>
      </c>
      <c r="AE1341" t="s">
        <v>144</v>
      </c>
      <c r="AG1341">
        <v>11</v>
      </c>
      <c r="AH1341" t="s">
        <v>218</v>
      </c>
      <c r="AI1341" t="s">
        <v>205</v>
      </c>
      <c r="AJ1341" t="s">
        <v>131</v>
      </c>
      <c r="AK1341" t="s">
        <v>125</v>
      </c>
      <c r="AL1341">
        <v>12</v>
      </c>
      <c r="AM1341" t="s">
        <v>132</v>
      </c>
      <c r="AN1341" t="s">
        <v>125</v>
      </c>
      <c r="AO1341" t="s">
        <v>3238</v>
      </c>
      <c r="BP1341" t="s">
        <v>149</v>
      </c>
      <c r="BR1341" t="s">
        <v>155</v>
      </c>
      <c r="BS1341">
        <v>3</v>
      </c>
      <c r="BX1341" t="s">
        <v>136</v>
      </c>
      <c r="BZ1341" t="s">
        <v>137</v>
      </c>
    </row>
    <row r="1342" spans="1:118" hidden="1" x14ac:dyDescent="0.2">
      <c r="A1342" t="s">
        <v>119</v>
      </c>
      <c r="B1342" t="s">
        <v>120</v>
      </c>
      <c r="C1342" t="s">
        <v>3235</v>
      </c>
      <c r="D1342">
        <v>17</v>
      </c>
      <c r="E1342" t="s">
        <v>3239</v>
      </c>
      <c r="F1342" t="s">
        <v>3240</v>
      </c>
      <c r="G1342" t="s">
        <v>124</v>
      </c>
      <c r="H1342" t="s">
        <v>125</v>
      </c>
      <c r="I1342">
        <v>5</v>
      </c>
      <c r="J1342" t="s">
        <v>161</v>
      </c>
      <c r="K1342" t="s">
        <v>125</v>
      </c>
      <c r="L1342" t="s">
        <v>3241</v>
      </c>
      <c r="AE1342" t="s">
        <v>394</v>
      </c>
    </row>
    <row r="1343" spans="1:118" x14ac:dyDescent="0.2">
      <c r="A1343" t="s">
        <v>119</v>
      </c>
      <c r="B1343" t="s">
        <v>120</v>
      </c>
      <c r="C1343" t="s">
        <v>3242</v>
      </c>
      <c r="D1343">
        <v>7</v>
      </c>
      <c r="E1343" t="s">
        <v>145</v>
      </c>
      <c r="F1343" t="s">
        <v>146</v>
      </c>
      <c r="G1343" t="s">
        <v>124</v>
      </c>
      <c r="H1343" t="s">
        <v>125</v>
      </c>
      <c r="I1343">
        <v>2</v>
      </c>
      <c r="J1343" t="s">
        <v>268</v>
      </c>
      <c r="K1343" t="s">
        <v>125</v>
      </c>
      <c r="L1343" t="s">
        <v>1479</v>
      </c>
      <c r="U1343" t="s">
        <v>149</v>
      </c>
      <c r="W1343" t="s">
        <v>135</v>
      </c>
      <c r="X1343">
        <v>3</v>
      </c>
      <c r="AC1343" t="s">
        <v>136</v>
      </c>
      <c r="AE1343" t="s">
        <v>137</v>
      </c>
    </row>
    <row r="1344" spans="1:118" x14ac:dyDescent="0.2">
      <c r="A1344" t="s">
        <v>119</v>
      </c>
      <c r="B1344" t="s">
        <v>120</v>
      </c>
      <c r="C1344" t="s">
        <v>3242</v>
      </c>
      <c r="D1344">
        <v>17</v>
      </c>
      <c r="E1344" t="s">
        <v>260</v>
      </c>
      <c r="F1344" t="s">
        <v>261</v>
      </c>
      <c r="G1344" t="s">
        <v>124</v>
      </c>
      <c r="H1344" t="s">
        <v>125</v>
      </c>
      <c r="I1344">
        <v>2</v>
      </c>
      <c r="J1344" t="s">
        <v>199</v>
      </c>
      <c r="K1344" t="s">
        <v>125</v>
      </c>
      <c r="L1344" t="s">
        <v>3243</v>
      </c>
      <c r="U1344" t="s">
        <v>149</v>
      </c>
      <c r="W1344" t="s">
        <v>155</v>
      </c>
      <c r="X1344">
        <v>1</v>
      </c>
      <c r="AC1344" t="s">
        <v>136</v>
      </c>
      <c r="AE1344" t="s">
        <v>137</v>
      </c>
      <c r="AG1344">
        <v>22</v>
      </c>
      <c r="AH1344" t="s">
        <v>145</v>
      </c>
      <c r="AI1344" t="s">
        <v>146</v>
      </c>
      <c r="AJ1344" t="s">
        <v>131</v>
      </c>
      <c r="AK1344" t="s">
        <v>125</v>
      </c>
      <c r="AL1344">
        <v>17</v>
      </c>
      <c r="AM1344" t="s">
        <v>264</v>
      </c>
      <c r="AN1344" t="s">
        <v>125</v>
      </c>
      <c r="AO1344" t="s">
        <v>3244</v>
      </c>
      <c r="BP1344" t="s">
        <v>149</v>
      </c>
      <c r="BR1344" t="s">
        <v>135</v>
      </c>
      <c r="BS1344">
        <v>3</v>
      </c>
      <c r="BX1344" t="s">
        <v>136</v>
      </c>
      <c r="BZ1344" t="s">
        <v>137</v>
      </c>
    </row>
    <row r="1345" spans="1:78" x14ac:dyDescent="0.2">
      <c r="A1345" t="s">
        <v>119</v>
      </c>
      <c r="B1345" t="s">
        <v>120</v>
      </c>
      <c r="C1345" t="s">
        <v>3242</v>
      </c>
      <c r="D1345">
        <v>29</v>
      </c>
      <c r="E1345" t="s">
        <v>145</v>
      </c>
      <c r="F1345" t="s">
        <v>146</v>
      </c>
      <c r="G1345" t="s">
        <v>124</v>
      </c>
      <c r="H1345" t="s">
        <v>125</v>
      </c>
      <c r="I1345">
        <v>2</v>
      </c>
      <c r="J1345" t="s">
        <v>199</v>
      </c>
      <c r="K1345" t="s">
        <v>125</v>
      </c>
      <c r="L1345" t="s">
        <v>3245</v>
      </c>
      <c r="U1345" t="s">
        <v>149</v>
      </c>
      <c r="W1345" t="s">
        <v>135</v>
      </c>
      <c r="X1345">
        <v>3</v>
      </c>
      <c r="AC1345" t="s">
        <v>136</v>
      </c>
      <c r="AE1345" t="s">
        <v>137</v>
      </c>
    </row>
    <row r="1346" spans="1:78" x14ac:dyDescent="0.2">
      <c r="A1346" t="s">
        <v>119</v>
      </c>
      <c r="B1346" t="s">
        <v>120</v>
      </c>
      <c r="C1346" t="s">
        <v>3246</v>
      </c>
      <c r="D1346">
        <v>4</v>
      </c>
      <c r="E1346" t="s">
        <v>145</v>
      </c>
      <c r="F1346" t="s">
        <v>146</v>
      </c>
      <c r="G1346" t="s">
        <v>124</v>
      </c>
      <c r="H1346" t="s">
        <v>125</v>
      </c>
      <c r="I1346">
        <v>0</v>
      </c>
      <c r="J1346" t="s">
        <v>126</v>
      </c>
      <c r="K1346" t="s">
        <v>125</v>
      </c>
      <c r="L1346" t="s">
        <v>1487</v>
      </c>
      <c r="U1346" t="s">
        <v>149</v>
      </c>
      <c r="W1346" t="s">
        <v>135</v>
      </c>
      <c r="X1346">
        <v>3</v>
      </c>
      <c r="AC1346" t="s">
        <v>136</v>
      </c>
      <c r="AE1346" t="s">
        <v>137</v>
      </c>
    </row>
    <row r="1347" spans="1:78" x14ac:dyDescent="0.2">
      <c r="A1347" t="s">
        <v>119</v>
      </c>
      <c r="B1347" t="s">
        <v>120</v>
      </c>
      <c r="C1347" t="s">
        <v>3247</v>
      </c>
      <c r="D1347">
        <v>2</v>
      </c>
      <c r="E1347" t="s">
        <v>2814</v>
      </c>
      <c r="F1347" t="s">
        <v>257</v>
      </c>
      <c r="G1347" t="s">
        <v>124</v>
      </c>
      <c r="H1347" t="s">
        <v>125</v>
      </c>
      <c r="I1347">
        <v>5</v>
      </c>
      <c r="J1347" t="s">
        <v>210</v>
      </c>
      <c r="K1347" t="s">
        <v>125</v>
      </c>
      <c r="L1347" t="s">
        <v>3248</v>
      </c>
      <c r="U1347" t="s">
        <v>149</v>
      </c>
      <c r="W1347" t="s">
        <v>135</v>
      </c>
      <c r="X1347">
        <v>3</v>
      </c>
      <c r="AC1347" t="s">
        <v>136</v>
      </c>
      <c r="AE1347" t="s">
        <v>137</v>
      </c>
    </row>
    <row r="1348" spans="1:78" x14ac:dyDescent="0.2">
      <c r="A1348" t="s">
        <v>119</v>
      </c>
      <c r="B1348" t="s">
        <v>120</v>
      </c>
      <c r="C1348" t="s">
        <v>3247</v>
      </c>
      <c r="D1348">
        <v>5</v>
      </c>
      <c r="E1348" t="s">
        <v>2814</v>
      </c>
      <c r="F1348" t="s">
        <v>3249</v>
      </c>
      <c r="G1348" t="s">
        <v>124</v>
      </c>
      <c r="H1348" t="s">
        <v>125</v>
      </c>
      <c r="I1348">
        <v>0</v>
      </c>
      <c r="J1348" t="s">
        <v>126</v>
      </c>
      <c r="K1348" t="s">
        <v>125</v>
      </c>
      <c r="L1348" t="s">
        <v>3250</v>
      </c>
      <c r="U1348" t="s">
        <v>149</v>
      </c>
      <c r="W1348" t="s">
        <v>135</v>
      </c>
      <c r="X1348">
        <v>3</v>
      </c>
      <c r="AC1348" t="s">
        <v>136</v>
      </c>
      <c r="AE1348" t="s">
        <v>137</v>
      </c>
    </row>
    <row r="1349" spans="1:78" hidden="1" x14ac:dyDescent="0.2">
      <c r="A1349" t="s">
        <v>119</v>
      </c>
      <c r="B1349" t="s">
        <v>120</v>
      </c>
      <c r="C1349" t="s">
        <v>3247</v>
      </c>
      <c r="D1349">
        <v>14</v>
      </c>
      <c r="E1349" t="s">
        <v>407</v>
      </c>
      <c r="F1349" t="s">
        <v>140</v>
      </c>
      <c r="G1349" t="s">
        <v>124</v>
      </c>
      <c r="H1349" t="s">
        <v>125</v>
      </c>
      <c r="I1349">
        <v>11</v>
      </c>
      <c r="J1349" t="s">
        <v>170</v>
      </c>
      <c r="K1349" t="s">
        <v>125</v>
      </c>
      <c r="L1349" t="s">
        <v>3251</v>
      </c>
      <c r="T1349" t="s">
        <v>154</v>
      </c>
      <c r="W1349" t="s">
        <v>135</v>
      </c>
      <c r="AC1349" t="s">
        <v>143</v>
      </c>
      <c r="AE1349" t="s">
        <v>144</v>
      </c>
      <c r="AG1349">
        <v>13</v>
      </c>
      <c r="AH1349" t="s">
        <v>218</v>
      </c>
      <c r="AI1349" t="s">
        <v>205</v>
      </c>
      <c r="AJ1349" t="s">
        <v>131</v>
      </c>
      <c r="AK1349" t="s">
        <v>125</v>
      </c>
      <c r="AL1349">
        <v>14</v>
      </c>
      <c r="AM1349" t="s">
        <v>132</v>
      </c>
      <c r="AN1349" t="s">
        <v>125</v>
      </c>
      <c r="AO1349" t="s">
        <v>3252</v>
      </c>
      <c r="BP1349" t="s">
        <v>149</v>
      </c>
      <c r="BR1349" t="s">
        <v>155</v>
      </c>
      <c r="BS1349">
        <v>3</v>
      </c>
      <c r="BX1349" t="s">
        <v>136</v>
      </c>
      <c r="BZ1349" t="s">
        <v>137</v>
      </c>
    </row>
    <row r="1350" spans="1:78" hidden="1" x14ac:dyDescent="0.2">
      <c r="A1350" t="s">
        <v>119</v>
      </c>
      <c r="B1350" t="s">
        <v>120</v>
      </c>
      <c r="C1350" t="s">
        <v>3253</v>
      </c>
      <c r="D1350">
        <v>3</v>
      </c>
      <c r="E1350" t="s">
        <v>631</v>
      </c>
      <c r="F1350" t="s">
        <v>632</v>
      </c>
      <c r="G1350" t="s">
        <v>124</v>
      </c>
      <c r="H1350" t="s">
        <v>125</v>
      </c>
      <c r="I1350">
        <v>0</v>
      </c>
      <c r="J1350" t="s">
        <v>126</v>
      </c>
      <c r="K1350" t="s">
        <v>125</v>
      </c>
      <c r="L1350" t="s">
        <v>3254</v>
      </c>
      <c r="T1350" t="s">
        <v>154</v>
      </c>
      <c r="W1350" t="s">
        <v>135</v>
      </c>
      <c r="AC1350" t="s">
        <v>143</v>
      </c>
      <c r="AE1350" t="s">
        <v>144</v>
      </c>
      <c r="AG1350">
        <v>2</v>
      </c>
      <c r="AH1350" t="s">
        <v>421</v>
      </c>
      <c r="AI1350" t="s">
        <v>205</v>
      </c>
      <c r="AJ1350" t="s">
        <v>131</v>
      </c>
      <c r="AK1350" t="s">
        <v>125</v>
      </c>
      <c r="AL1350">
        <v>3</v>
      </c>
      <c r="AM1350" t="s">
        <v>132</v>
      </c>
      <c r="AN1350" t="s">
        <v>125</v>
      </c>
      <c r="AO1350" t="s">
        <v>3255</v>
      </c>
      <c r="BP1350" t="s">
        <v>149</v>
      </c>
      <c r="BR1350" t="s">
        <v>135</v>
      </c>
      <c r="BS1350">
        <v>1</v>
      </c>
      <c r="BX1350" t="s">
        <v>209</v>
      </c>
      <c r="BZ1350" t="s">
        <v>137</v>
      </c>
    </row>
    <row r="1351" spans="1:78" hidden="1" x14ac:dyDescent="0.2">
      <c r="A1351" t="s">
        <v>119</v>
      </c>
      <c r="B1351" t="s">
        <v>120</v>
      </c>
      <c r="C1351" t="s">
        <v>3253</v>
      </c>
      <c r="D1351">
        <v>4</v>
      </c>
      <c r="E1351" t="s">
        <v>123</v>
      </c>
      <c r="F1351" t="s">
        <v>123</v>
      </c>
      <c r="G1351" t="s">
        <v>124</v>
      </c>
      <c r="H1351" t="s">
        <v>125</v>
      </c>
      <c r="I1351">
        <v>3</v>
      </c>
      <c r="J1351" t="s">
        <v>294</v>
      </c>
      <c r="K1351" t="s">
        <v>125</v>
      </c>
      <c r="L1351" t="s">
        <v>3256</v>
      </c>
      <c r="AE1351" t="s">
        <v>128</v>
      </c>
    </row>
    <row r="1352" spans="1:78" hidden="1" x14ac:dyDescent="0.2">
      <c r="A1352" t="s">
        <v>119</v>
      </c>
      <c r="B1352" t="s">
        <v>120</v>
      </c>
      <c r="C1352" t="s">
        <v>3257</v>
      </c>
      <c r="D1352">
        <v>3</v>
      </c>
      <c r="E1352" t="s">
        <v>631</v>
      </c>
      <c r="F1352" t="s">
        <v>632</v>
      </c>
      <c r="G1352" t="s">
        <v>124</v>
      </c>
      <c r="H1352" t="s">
        <v>125</v>
      </c>
      <c r="I1352">
        <v>0</v>
      </c>
      <c r="J1352" t="s">
        <v>126</v>
      </c>
      <c r="K1352" t="s">
        <v>125</v>
      </c>
      <c r="L1352" t="s">
        <v>3258</v>
      </c>
      <c r="T1352" t="s">
        <v>154</v>
      </c>
      <c r="W1352" t="s">
        <v>135</v>
      </c>
      <c r="AC1352" t="s">
        <v>143</v>
      </c>
      <c r="AE1352" t="s">
        <v>144</v>
      </c>
      <c r="AG1352">
        <v>2</v>
      </c>
      <c r="AH1352" t="s">
        <v>204</v>
      </c>
      <c r="AI1352" t="s">
        <v>205</v>
      </c>
      <c r="AJ1352" t="s">
        <v>131</v>
      </c>
      <c r="AK1352" t="s">
        <v>125</v>
      </c>
      <c r="AL1352">
        <v>3</v>
      </c>
      <c r="AM1352" t="s">
        <v>132</v>
      </c>
      <c r="AN1352" t="s">
        <v>125</v>
      </c>
      <c r="AO1352" t="s">
        <v>3259</v>
      </c>
      <c r="BP1352" t="s">
        <v>149</v>
      </c>
      <c r="BR1352" t="s">
        <v>135</v>
      </c>
      <c r="BS1352">
        <v>1</v>
      </c>
      <c r="BX1352" t="s">
        <v>136</v>
      </c>
      <c r="BZ1352" t="s">
        <v>137</v>
      </c>
    </row>
    <row r="1353" spans="1:78" hidden="1" x14ac:dyDescent="0.2">
      <c r="A1353" t="s">
        <v>119</v>
      </c>
      <c r="B1353" t="s">
        <v>120</v>
      </c>
      <c r="C1353" t="s">
        <v>3257</v>
      </c>
      <c r="D1353">
        <v>4</v>
      </c>
      <c r="E1353" t="s">
        <v>123</v>
      </c>
      <c r="F1353" t="s">
        <v>123</v>
      </c>
      <c r="G1353" t="s">
        <v>124</v>
      </c>
      <c r="H1353" t="s">
        <v>125</v>
      </c>
      <c r="I1353">
        <v>3</v>
      </c>
      <c r="J1353" t="s">
        <v>367</v>
      </c>
      <c r="K1353" t="s">
        <v>125</v>
      </c>
      <c r="L1353" t="s">
        <v>3260</v>
      </c>
      <c r="AE1353" t="s">
        <v>128</v>
      </c>
    </row>
    <row r="1354" spans="1:78" hidden="1" x14ac:dyDescent="0.2">
      <c r="A1354" t="s">
        <v>119</v>
      </c>
      <c r="B1354" t="s">
        <v>120</v>
      </c>
      <c r="C1354" t="s">
        <v>3261</v>
      </c>
      <c r="D1354">
        <v>12</v>
      </c>
      <c r="E1354" t="s">
        <v>3210</v>
      </c>
      <c r="F1354" t="s">
        <v>3211</v>
      </c>
      <c r="G1354" t="s">
        <v>124</v>
      </c>
      <c r="H1354" t="s">
        <v>125</v>
      </c>
      <c r="I1354">
        <v>3</v>
      </c>
      <c r="J1354" t="s">
        <v>170</v>
      </c>
      <c r="K1354" t="s">
        <v>125</v>
      </c>
      <c r="L1354" t="s">
        <v>3262</v>
      </c>
      <c r="T1354" t="s">
        <v>154</v>
      </c>
      <c r="W1354" t="s">
        <v>135</v>
      </c>
      <c r="AC1354" t="s">
        <v>143</v>
      </c>
      <c r="AE1354" t="s">
        <v>144</v>
      </c>
      <c r="AG1354">
        <v>11</v>
      </c>
      <c r="AH1354" t="s">
        <v>218</v>
      </c>
      <c r="AI1354" t="s">
        <v>205</v>
      </c>
      <c r="AJ1354" t="s">
        <v>131</v>
      </c>
      <c r="AK1354" t="s">
        <v>125</v>
      </c>
      <c r="AL1354">
        <v>12</v>
      </c>
      <c r="AM1354" t="s">
        <v>132</v>
      </c>
      <c r="AN1354" t="s">
        <v>125</v>
      </c>
      <c r="AO1354" t="s">
        <v>3263</v>
      </c>
      <c r="BP1354" t="s">
        <v>149</v>
      </c>
      <c r="BR1354" t="s">
        <v>155</v>
      </c>
      <c r="BS1354">
        <v>3</v>
      </c>
      <c r="BX1354" t="s">
        <v>136</v>
      </c>
      <c r="BZ1354" t="s">
        <v>137</v>
      </c>
    </row>
    <row r="1355" spans="1:78" hidden="1" x14ac:dyDescent="0.2">
      <c r="A1355" t="s">
        <v>119</v>
      </c>
      <c r="B1355" t="s">
        <v>120</v>
      </c>
      <c r="C1355" t="s">
        <v>3264</v>
      </c>
      <c r="D1355">
        <v>3</v>
      </c>
      <c r="E1355" t="s">
        <v>3210</v>
      </c>
      <c r="F1355" t="s">
        <v>3210</v>
      </c>
      <c r="G1355" t="s">
        <v>124</v>
      </c>
      <c r="H1355" t="s">
        <v>125</v>
      </c>
      <c r="I1355">
        <v>0</v>
      </c>
      <c r="J1355" t="s">
        <v>126</v>
      </c>
      <c r="K1355" t="s">
        <v>125</v>
      </c>
      <c r="L1355" t="s">
        <v>3265</v>
      </c>
      <c r="T1355" t="s">
        <v>154</v>
      </c>
      <c r="W1355" t="s">
        <v>135</v>
      </c>
      <c r="AC1355" t="s">
        <v>143</v>
      </c>
      <c r="AE1355" t="s">
        <v>144</v>
      </c>
      <c r="AG1355">
        <v>2</v>
      </c>
      <c r="AH1355" t="s">
        <v>218</v>
      </c>
      <c r="AI1355" t="s">
        <v>205</v>
      </c>
      <c r="AJ1355" t="s">
        <v>131</v>
      </c>
      <c r="AK1355" t="s">
        <v>125</v>
      </c>
      <c r="AL1355">
        <v>3</v>
      </c>
      <c r="AM1355" t="s">
        <v>132</v>
      </c>
      <c r="AN1355" t="s">
        <v>125</v>
      </c>
      <c r="AO1355" t="s">
        <v>3266</v>
      </c>
      <c r="BP1355" t="s">
        <v>149</v>
      </c>
      <c r="BR1355" t="s">
        <v>155</v>
      </c>
      <c r="BS1355">
        <v>3</v>
      </c>
      <c r="BX1355" t="s">
        <v>136</v>
      </c>
      <c r="BZ1355" t="s">
        <v>137</v>
      </c>
    </row>
    <row r="1356" spans="1:78" hidden="1" x14ac:dyDescent="0.2">
      <c r="A1356" t="s">
        <v>119</v>
      </c>
      <c r="B1356" t="s">
        <v>120</v>
      </c>
      <c r="C1356" t="s">
        <v>3267</v>
      </c>
      <c r="D1356">
        <v>4</v>
      </c>
      <c r="E1356" t="s">
        <v>3268</v>
      </c>
      <c r="F1356" t="s">
        <v>3181</v>
      </c>
      <c r="G1356" t="s">
        <v>124</v>
      </c>
      <c r="H1356" t="s">
        <v>125</v>
      </c>
      <c r="I1356">
        <v>0</v>
      </c>
      <c r="J1356" t="s">
        <v>126</v>
      </c>
      <c r="K1356" t="s">
        <v>125</v>
      </c>
      <c r="L1356" t="s">
        <v>3269</v>
      </c>
      <c r="T1356" t="s">
        <v>154</v>
      </c>
      <c r="W1356" t="s">
        <v>135</v>
      </c>
      <c r="AC1356" t="s">
        <v>143</v>
      </c>
      <c r="AE1356" t="s">
        <v>144</v>
      </c>
      <c r="AG1356">
        <v>3</v>
      </c>
      <c r="AH1356" t="s">
        <v>421</v>
      </c>
      <c r="AI1356" t="s">
        <v>205</v>
      </c>
      <c r="AJ1356" t="s">
        <v>131</v>
      </c>
      <c r="AK1356" t="s">
        <v>125</v>
      </c>
      <c r="AL1356">
        <v>4</v>
      </c>
      <c r="AM1356" t="s">
        <v>132</v>
      </c>
      <c r="AN1356" t="s">
        <v>125</v>
      </c>
      <c r="AO1356" t="s">
        <v>3270</v>
      </c>
      <c r="BP1356" t="s">
        <v>149</v>
      </c>
      <c r="BR1356" t="s">
        <v>135</v>
      </c>
      <c r="BS1356">
        <v>1</v>
      </c>
      <c r="BX1356" t="s">
        <v>209</v>
      </c>
      <c r="BZ1356" t="s">
        <v>137</v>
      </c>
    </row>
    <row r="1357" spans="1:78" x14ac:dyDescent="0.2">
      <c r="A1357" t="s">
        <v>119</v>
      </c>
      <c r="B1357" t="s">
        <v>120</v>
      </c>
      <c r="C1357" t="s">
        <v>3271</v>
      </c>
      <c r="D1357">
        <v>4</v>
      </c>
      <c r="E1357" t="s">
        <v>260</v>
      </c>
      <c r="F1357" t="s">
        <v>261</v>
      </c>
      <c r="G1357" t="s">
        <v>124</v>
      </c>
      <c r="H1357" t="s">
        <v>125</v>
      </c>
      <c r="I1357">
        <v>2</v>
      </c>
      <c r="J1357" t="s">
        <v>199</v>
      </c>
      <c r="K1357" t="s">
        <v>125</v>
      </c>
      <c r="L1357" t="s">
        <v>3272</v>
      </c>
      <c r="U1357" t="s">
        <v>149</v>
      </c>
      <c r="W1357" t="s">
        <v>155</v>
      </c>
      <c r="X1357">
        <v>1</v>
      </c>
      <c r="AC1357" t="s">
        <v>136</v>
      </c>
      <c r="AE1357" t="s">
        <v>137</v>
      </c>
    </row>
    <row r="1358" spans="1:78" hidden="1" x14ac:dyDescent="0.2">
      <c r="A1358" t="s">
        <v>119</v>
      </c>
      <c r="B1358" t="s">
        <v>120</v>
      </c>
      <c r="C1358" t="s">
        <v>3273</v>
      </c>
      <c r="D1358">
        <v>4</v>
      </c>
      <c r="E1358" t="s">
        <v>3130</v>
      </c>
      <c r="F1358" t="s">
        <v>292</v>
      </c>
      <c r="G1358" t="s">
        <v>124</v>
      </c>
      <c r="H1358" t="s">
        <v>125</v>
      </c>
      <c r="I1358">
        <v>0</v>
      </c>
      <c r="J1358" t="s">
        <v>126</v>
      </c>
      <c r="K1358" t="s">
        <v>125</v>
      </c>
      <c r="L1358" t="s">
        <v>3274</v>
      </c>
      <c r="AE1358" t="s">
        <v>128</v>
      </c>
      <c r="AG1358">
        <v>3</v>
      </c>
      <c r="AH1358" t="s">
        <v>666</v>
      </c>
      <c r="AI1358" t="s">
        <v>667</v>
      </c>
      <c r="AJ1358" t="s">
        <v>131</v>
      </c>
      <c r="AK1358" t="s">
        <v>125</v>
      </c>
      <c r="AL1358">
        <v>4</v>
      </c>
      <c r="AM1358" t="s">
        <v>132</v>
      </c>
      <c r="AN1358" t="s">
        <v>125</v>
      </c>
      <c r="AO1358" t="s">
        <v>3275</v>
      </c>
      <c r="BP1358" t="s">
        <v>149</v>
      </c>
      <c r="BR1358" t="s">
        <v>135</v>
      </c>
      <c r="BS1358">
        <v>1</v>
      </c>
      <c r="BX1358" t="s">
        <v>209</v>
      </c>
      <c r="BZ1358" t="s">
        <v>137</v>
      </c>
    </row>
    <row r="1359" spans="1:78" hidden="1" x14ac:dyDescent="0.2">
      <c r="A1359" t="s">
        <v>119</v>
      </c>
      <c r="B1359" t="s">
        <v>120</v>
      </c>
      <c r="C1359" t="s">
        <v>3276</v>
      </c>
      <c r="D1359">
        <v>7</v>
      </c>
      <c r="E1359" t="s">
        <v>3163</v>
      </c>
      <c r="F1359" t="s">
        <v>3277</v>
      </c>
      <c r="G1359" t="s">
        <v>124</v>
      </c>
      <c r="H1359" t="s">
        <v>125</v>
      </c>
      <c r="I1359">
        <v>0</v>
      </c>
      <c r="J1359" t="s">
        <v>126</v>
      </c>
      <c r="K1359" t="s">
        <v>125</v>
      </c>
      <c r="L1359" t="s">
        <v>3278</v>
      </c>
      <c r="AE1359" t="s">
        <v>128</v>
      </c>
      <c r="AG1359">
        <v>6</v>
      </c>
      <c r="AH1359" t="s">
        <v>2502</v>
      </c>
      <c r="AI1359" t="s">
        <v>572</v>
      </c>
      <c r="AJ1359" t="s">
        <v>131</v>
      </c>
      <c r="AK1359" t="s">
        <v>125</v>
      </c>
      <c r="AL1359">
        <v>7</v>
      </c>
      <c r="AM1359" t="s">
        <v>132</v>
      </c>
      <c r="AN1359" t="s">
        <v>125</v>
      </c>
      <c r="AO1359" t="s">
        <v>3279</v>
      </c>
      <c r="BP1359" t="s">
        <v>149</v>
      </c>
      <c r="BR1359" t="s">
        <v>135</v>
      </c>
      <c r="BS1359">
        <v>1</v>
      </c>
      <c r="BX1359" t="s">
        <v>136</v>
      </c>
      <c r="BZ1359" t="s">
        <v>137</v>
      </c>
    </row>
    <row r="1360" spans="1:78" hidden="1" x14ac:dyDescent="0.2">
      <c r="A1360" t="s">
        <v>119</v>
      </c>
      <c r="B1360" t="s">
        <v>120</v>
      </c>
      <c r="C1360" t="s">
        <v>3276</v>
      </c>
      <c r="D1360">
        <v>12</v>
      </c>
      <c r="E1360" t="s">
        <v>331</v>
      </c>
      <c r="F1360" t="s">
        <v>331</v>
      </c>
      <c r="G1360" t="s">
        <v>124</v>
      </c>
      <c r="H1360" t="s">
        <v>125</v>
      </c>
      <c r="I1360">
        <v>7</v>
      </c>
      <c r="J1360" t="s">
        <v>161</v>
      </c>
      <c r="K1360" t="s">
        <v>125</v>
      </c>
      <c r="L1360" t="s">
        <v>3280</v>
      </c>
      <c r="AE1360" t="s">
        <v>128</v>
      </c>
      <c r="AG1360">
        <v>11</v>
      </c>
      <c r="AH1360" t="s">
        <v>2502</v>
      </c>
      <c r="AI1360" t="s">
        <v>572</v>
      </c>
      <c r="AJ1360" t="s">
        <v>131</v>
      </c>
      <c r="AK1360" t="s">
        <v>125</v>
      </c>
      <c r="AL1360">
        <v>12</v>
      </c>
      <c r="AM1360" t="s">
        <v>132</v>
      </c>
      <c r="AN1360" t="s">
        <v>125</v>
      </c>
      <c r="AO1360" t="s">
        <v>3281</v>
      </c>
      <c r="BP1360" t="s">
        <v>149</v>
      </c>
      <c r="BR1360" t="s">
        <v>135</v>
      </c>
      <c r="BS1360">
        <v>1</v>
      </c>
      <c r="BX1360" t="s">
        <v>136</v>
      </c>
      <c r="BZ1360" t="s">
        <v>137</v>
      </c>
    </row>
    <row r="1361" spans="1:78" x14ac:dyDescent="0.2">
      <c r="A1361" t="s">
        <v>119</v>
      </c>
      <c r="B1361" t="s">
        <v>120</v>
      </c>
      <c r="C1361" t="s">
        <v>3282</v>
      </c>
      <c r="D1361">
        <v>6</v>
      </c>
      <c r="E1361" t="s">
        <v>145</v>
      </c>
      <c r="F1361" t="s">
        <v>146</v>
      </c>
      <c r="G1361" t="s">
        <v>124</v>
      </c>
      <c r="H1361" t="s">
        <v>125</v>
      </c>
      <c r="I1361">
        <v>0</v>
      </c>
      <c r="J1361" t="s">
        <v>126</v>
      </c>
      <c r="K1361" t="s">
        <v>125</v>
      </c>
      <c r="L1361" t="s">
        <v>3283</v>
      </c>
      <c r="U1361" t="s">
        <v>149</v>
      </c>
      <c r="W1361" t="s">
        <v>135</v>
      </c>
      <c r="X1361">
        <v>3</v>
      </c>
      <c r="AC1361" t="s">
        <v>136</v>
      </c>
      <c r="AE1361" t="s">
        <v>137</v>
      </c>
      <c r="AG1361">
        <v>9</v>
      </c>
      <c r="AH1361" t="s">
        <v>160</v>
      </c>
      <c r="AI1361" t="s">
        <v>146</v>
      </c>
      <c r="AJ1361" t="s">
        <v>131</v>
      </c>
      <c r="AK1361" t="s">
        <v>125</v>
      </c>
      <c r="AL1361">
        <v>6</v>
      </c>
      <c r="AM1361" t="s">
        <v>268</v>
      </c>
      <c r="AN1361" t="s">
        <v>125</v>
      </c>
      <c r="AO1361" t="s">
        <v>3284</v>
      </c>
      <c r="BP1361" t="s">
        <v>149</v>
      </c>
      <c r="BR1361" t="s">
        <v>155</v>
      </c>
      <c r="BS1361">
        <v>3</v>
      </c>
      <c r="BX1361" t="s">
        <v>136</v>
      </c>
      <c r="BZ1361" t="s">
        <v>137</v>
      </c>
    </row>
    <row r="1362" spans="1:78" hidden="1" x14ac:dyDescent="0.2">
      <c r="A1362" t="s">
        <v>119</v>
      </c>
      <c r="B1362" t="s">
        <v>120</v>
      </c>
      <c r="C1362" t="s">
        <v>3285</v>
      </c>
      <c r="D1362">
        <v>14</v>
      </c>
      <c r="E1362" t="s">
        <v>3211</v>
      </c>
      <c r="F1362" t="s">
        <v>3211</v>
      </c>
      <c r="G1362" t="s">
        <v>124</v>
      </c>
      <c r="H1362" t="s">
        <v>125</v>
      </c>
      <c r="I1362">
        <v>0</v>
      </c>
      <c r="J1362" t="s">
        <v>126</v>
      </c>
      <c r="K1362" t="s">
        <v>125</v>
      </c>
      <c r="L1362" t="s">
        <v>3286</v>
      </c>
      <c r="AE1362" t="s">
        <v>128</v>
      </c>
      <c r="AG1362">
        <v>13</v>
      </c>
      <c r="AH1362" t="s">
        <v>3287</v>
      </c>
      <c r="AI1362" t="s">
        <v>572</v>
      </c>
      <c r="AJ1362" t="s">
        <v>131</v>
      </c>
      <c r="AK1362" t="s">
        <v>125</v>
      </c>
      <c r="AL1362">
        <v>14</v>
      </c>
      <c r="AM1362" t="s">
        <v>132</v>
      </c>
      <c r="AN1362" t="s">
        <v>125</v>
      </c>
      <c r="AO1362" t="s">
        <v>3288</v>
      </c>
      <c r="BP1362" t="s">
        <v>149</v>
      </c>
      <c r="BR1362" t="s">
        <v>135</v>
      </c>
      <c r="BS1362">
        <v>1</v>
      </c>
      <c r="BX1362" t="s">
        <v>903</v>
      </c>
      <c r="BZ1362" t="s">
        <v>137</v>
      </c>
    </row>
    <row r="1363" spans="1:78" x14ac:dyDescent="0.2">
      <c r="A1363" t="s">
        <v>119</v>
      </c>
      <c r="B1363" t="s">
        <v>120</v>
      </c>
      <c r="C1363" t="s">
        <v>3289</v>
      </c>
      <c r="D1363">
        <v>4</v>
      </c>
      <c r="E1363" t="s">
        <v>1764</v>
      </c>
      <c r="F1363" t="s">
        <v>261</v>
      </c>
      <c r="G1363" t="s">
        <v>124</v>
      </c>
      <c r="H1363" t="s">
        <v>125</v>
      </c>
      <c r="I1363">
        <v>0</v>
      </c>
      <c r="J1363" t="s">
        <v>126</v>
      </c>
      <c r="K1363" t="s">
        <v>125</v>
      </c>
      <c r="L1363" t="s">
        <v>3290</v>
      </c>
      <c r="U1363" t="s">
        <v>149</v>
      </c>
      <c r="W1363" t="s">
        <v>135</v>
      </c>
      <c r="X1363">
        <v>3</v>
      </c>
      <c r="AC1363" t="s">
        <v>136</v>
      </c>
      <c r="AE1363" t="s">
        <v>137</v>
      </c>
    </row>
    <row r="1364" spans="1:78" hidden="1" x14ac:dyDescent="0.2">
      <c r="A1364" t="s">
        <v>119</v>
      </c>
      <c r="B1364" t="s">
        <v>120</v>
      </c>
      <c r="C1364" t="s">
        <v>3289</v>
      </c>
      <c r="D1364">
        <v>10</v>
      </c>
      <c r="E1364" t="s">
        <v>3164</v>
      </c>
      <c r="F1364" t="s">
        <v>3164</v>
      </c>
      <c r="G1364" t="s">
        <v>124</v>
      </c>
      <c r="H1364" t="s">
        <v>125</v>
      </c>
      <c r="I1364">
        <v>4</v>
      </c>
      <c r="J1364" t="s">
        <v>264</v>
      </c>
      <c r="K1364" t="s">
        <v>125</v>
      </c>
      <c r="L1364" t="s">
        <v>3291</v>
      </c>
      <c r="AE1364" t="s">
        <v>128</v>
      </c>
      <c r="AG1364">
        <v>9</v>
      </c>
      <c r="AH1364" t="s">
        <v>1747</v>
      </c>
      <c r="AI1364" t="s">
        <v>572</v>
      </c>
      <c r="AJ1364" t="s">
        <v>131</v>
      </c>
      <c r="AK1364" t="s">
        <v>125</v>
      </c>
      <c r="AL1364">
        <v>10</v>
      </c>
      <c r="AM1364" t="s">
        <v>132</v>
      </c>
      <c r="AN1364" t="s">
        <v>125</v>
      </c>
      <c r="AO1364" t="s">
        <v>3292</v>
      </c>
      <c r="BP1364" t="s">
        <v>149</v>
      </c>
      <c r="BR1364" t="s">
        <v>135</v>
      </c>
      <c r="BS1364">
        <v>3</v>
      </c>
      <c r="BX1364" t="s">
        <v>136</v>
      </c>
      <c r="BZ1364" t="s">
        <v>137</v>
      </c>
    </row>
    <row r="1365" spans="1:78" hidden="1" x14ac:dyDescent="0.2">
      <c r="A1365" t="s">
        <v>119</v>
      </c>
      <c r="B1365" t="s">
        <v>120</v>
      </c>
      <c r="C1365" t="s">
        <v>3293</v>
      </c>
      <c r="D1365">
        <v>8</v>
      </c>
      <c r="E1365" t="s">
        <v>3294</v>
      </c>
      <c r="F1365" t="s">
        <v>194</v>
      </c>
      <c r="G1365" t="s">
        <v>124</v>
      </c>
      <c r="H1365" t="s">
        <v>125</v>
      </c>
      <c r="I1365">
        <v>13</v>
      </c>
      <c r="J1365" t="s">
        <v>386</v>
      </c>
      <c r="K1365" t="s">
        <v>125</v>
      </c>
      <c r="L1365" t="s">
        <v>463</v>
      </c>
      <c r="T1365" t="s">
        <v>142</v>
      </c>
      <c r="W1365" t="s">
        <v>155</v>
      </c>
      <c r="AC1365" t="s">
        <v>143</v>
      </c>
      <c r="AE1365" t="s">
        <v>144</v>
      </c>
    </row>
    <row r="1366" spans="1:78" hidden="1" x14ac:dyDescent="0.2">
      <c r="A1366" t="s">
        <v>119</v>
      </c>
      <c r="B1366" t="s">
        <v>120</v>
      </c>
      <c r="C1366" t="s">
        <v>3293</v>
      </c>
      <c r="D1366">
        <v>13</v>
      </c>
      <c r="E1366" t="s">
        <v>1257</v>
      </c>
      <c r="F1366" t="s">
        <v>350</v>
      </c>
      <c r="G1366" t="s">
        <v>124</v>
      </c>
      <c r="H1366" t="s">
        <v>125</v>
      </c>
      <c r="I1366">
        <v>0</v>
      </c>
      <c r="J1366" t="s">
        <v>126</v>
      </c>
      <c r="K1366" t="s">
        <v>125</v>
      </c>
      <c r="L1366" t="s">
        <v>3295</v>
      </c>
      <c r="T1366" t="s">
        <v>142</v>
      </c>
      <c r="W1366" t="s">
        <v>135</v>
      </c>
      <c r="AC1366" t="s">
        <v>143</v>
      </c>
      <c r="AE1366" t="s">
        <v>144</v>
      </c>
      <c r="AG1366">
        <v>6</v>
      </c>
      <c r="AH1366" t="s">
        <v>1446</v>
      </c>
      <c r="AI1366" t="s">
        <v>146</v>
      </c>
      <c r="AJ1366" t="s">
        <v>131</v>
      </c>
      <c r="AK1366" t="s">
        <v>125</v>
      </c>
      <c r="AL1366">
        <v>13</v>
      </c>
      <c r="AM1366" t="s">
        <v>132</v>
      </c>
      <c r="AN1366" t="s">
        <v>125</v>
      </c>
      <c r="AO1366" t="s">
        <v>3296</v>
      </c>
      <c r="BP1366" t="s">
        <v>149</v>
      </c>
      <c r="BR1366" t="s">
        <v>155</v>
      </c>
      <c r="BS1366">
        <v>1</v>
      </c>
      <c r="BX1366" t="s">
        <v>136</v>
      </c>
      <c r="BZ1366" t="s">
        <v>137</v>
      </c>
    </row>
    <row r="1367" spans="1:78" hidden="1" x14ac:dyDescent="0.2">
      <c r="A1367" t="s">
        <v>119</v>
      </c>
      <c r="B1367" t="s">
        <v>120</v>
      </c>
      <c r="C1367" t="s">
        <v>3297</v>
      </c>
      <c r="D1367">
        <v>5</v>
      </c>
      <c r="E1367" t="s">
        <v>407</v>
      </c>
      <c r="F1367" t="s">
        <v>140</v>
      </c>
      <c r="G1367" t="s">
        <v>124</v>
      </c>
      <c r="H1367" t="s">
        <v>125</v>
      </c>
      <c r="I1367">
        <v>11</v>
      </c>
      <c r="J1367" t="s">
        <v>268</v>
      </c>
      <c r="K1367" t="s">
        <v>125</v>
      </c>
      <c r="L1367" t="s">
        <v>3298</v>
      </c>
      <c r="T1367" t="s">
        <v>154</v>
      </c>
      <c r="W1367" t="s">
        <v>135</v>
      </c>
      <c r="AC1367" t="s">
        <v>143</v>
      </c>
      <c r="AE1367" t="s">
        <v>144</v>
      </c>
      <c r="AG1367">
        <v>3</v>
      </c>
      <c r="AH1367" t="s">
        <v>614</v>
      </c>
      <c r="AI1367" t="s">
        <v>205</v>
      </c>
      <c r="AJ1367" t="s">
        <v>131</v>
      </c>
      <c r="AK1367" t="s">
        <v>125</v>
      </c>
      <c r="AL1367">
        <v>5</v>
      </c>
      <c r="AM1367" t="s">
        <v>132</v>
      </c>
      <c r="AN1367" t="s">
        <v>125</v>
      </c>
      <c r="AO1367" t="s">
        <v>3299</v>
      </c>
      <c r="BP1367" t="s">
        <v>149</v>
      </c>
      <c r="BR1367" t="s">
        <v>135</v>
      </c>
      <c r="BS1367">
        <v>3</v>
      </c>
      <c r="BX1367" t="s">
        <v>136</v>
      </c>
      <c r="BZ1367" t="s">
        <v>137</v>
      </c>
    </row>
    <row r="1368" spans="1:78" x14ac:dyDescent="0.2">
      <c r="A1368" t="s">
        <v>119</v>
      </c>
      <c r="B1368" t="s">
        <v>120</v>
      </c>
      <c r="C1368" t="s">
        <v>3297</v>
      </c>
      <c r="D1368">
        <v>11</v>
      </c>
      <c r="E1368" t="s">
        <v>3300</v>
      </c>
      <c r="F1368" t="s">
        <v>3164</v>
      </c>
      <c r="G1368" t="s">
        <v>124</v>
      </c>
      <c r="H1368" t="s">
        <v>125</v>
      </c>
      <c r="I1368">
        <v>0</v>
      </c>
      <c r="J1368" t="s">
        <v>126</v>
      </c>
      <c r="K1368" t="s">
        <v>125</v>
      </c>
      <c r="L1368" t="s">
        <v>468</v>
      </c>
      <c r="U1368" t="s">
        <v>134</v>
      </c>
      <c r="W1368" t="s">
        <v>135</v>
      </c>
      <c r="X1368">
        <v>3</v>
      </c>
      <c r="AC1368" t="s">
        <v>136</v>
      </c>
      <c r="AE1368" t="s">
        <v>137</v>
      </c>
    </row>
    <row r="1369" spans="1:78" hidden="1" x14ac:dyDescent="0.2">
      <c r="A1369" t="s">
        <v>119</v>
      </c>
      <c r="B1369" t="s">
        <v>120</v>
      </c>
      <c r="C1369" t="s">
        <v>3301</v>
      </c>
      <c r="D1369">
        <v>5</v>
      </c>
      <c r="E1369" t="s">
        <v>1548</v>
      </c>
      <c r="F1369" t="s">
        <v>1399</v>
      </c>
      <c r="G1369" t="s">
        <v>124</v>
      </c>
      <c r="H1369" t="s">
        <v>125</v>
      </c>
      <c r="I1369">
        <v>0</v>
      </c>
      <c r="J1369" t="s">
        <v>126</v>
      </c>
      <c r="K1369" t="s">
        <v>125</v>
      </c>
      <c r="L1369" t="s">
        <v>3302</v>
      </c>
      <c r="T1369" t="s">
        <v>154</v>
      </c>
      <c r="W1369" t="s">
        <v>135</v>
      </c>
      <c r="AC1369" t="s">
        <v>143</v>
      </c>
      <c r="AE1369" t="s">
        <v>144</v>
      </c>
      <c r="AG1369">
        <v>3</v>
      </c>
      <c r="AH1369" t="s">
        <v>204</v>
      </c>
      <c r="AI1369" t="s">
        <v>205</v>
      </c>
      <c r="AJ1369" t="s">
        <v>131</v>
      </c>
      <c r="AK1369" t="s">
        <v>125</v>
      </c>
      <c r="AL1369">
        <v>5</v>
      </c>
      <c r="AM1369" t="s">
        <v>132</v>
      </c>
      <c r="AN1369" t="s">
        <v>125</v>
      </c>
      <c r="AO1369" t="s">
        <v>3303</v>
      </c>
      <c r="BP1369" t="s">
        <v>149</v>
      </c>
      <c r="BR1369" t="s">
        <v>135</v>
      </c>
      <c r="BS1369">
        <v>1</v>
      </c>
      <c r="BX1369" t="s">
        <v>136</v>
      </c>
      <c r="BZ1369" t="s">
        <v>137</v>
      </c>
    </row>
    <row r="1370" spans="1:78" hidden="1" x14ac:dyDescent="0.2">
      <c r="A1370" t="s">
        <v>119</v>
      </c>
      <c r="B1370" t="s">
        <v>120</v>
      </c>
      <c r="C1370" t="s">
        <v>3301</v>
      </c>
      <c r="D1370">
        <v>13</v>
      </c>
      <c r="E1370" t="s">
        <v>407</v>
      </c>
      <c r="F1370" t="s">
        <v>140</v>
      </c>
      <c r="G1370" t="s">
        <v>124</v>
      </c>
      <c r="H1370" t="s">
        <v>125</v>
      </c>
      <c r="I1370">
        <v>10</v>
      </c>
      <c r="J1370" t="s">
        <v>170</v>
      </c>
      <c r="K1370" t="s">
        <v>125</v>
      </c>
      <c r="L1370" t="s">
        <v>3304</v>
      </c>
      <c r="T1370" t="s">
        <v>154</v>
      </c>
      <c r="W1370" t="s">
        <v>135</v>
      </c>
      <c r="AC1370" t="s">
        <v>143</v>
      </c>
      <c r="AE1370" t="s">
        <v>144</v>
      </c>
      <c r="AG1370">
        <v>12</v>
      </c>
      <c r="AH1370" t="s">
        <v>421</v>
      </c>
      <c r="AI1370" t="s">
        <v>205</v>
      </c>
      <c r="AJ1370" t="s">
        <v>131</v>
      </c>
      <c r="AK1370" t="s">
        <v>125</v>
      </c>
      <c r="AL1370">
        <v>13</v>
      </c>
      <c r="AM1370" t="s">
        <v>132</v>
      </c>
      <c r="AN1370" t="s">
        <v>125</v>
      </c>
      <c r="AO1370" t="s">
        <v>3305</v>
      </c>
      <c r="BP1370" t="s">
        <v>149</v>
      </c>
      <c r="BR1370" t="s">
        <v>135</v>
      </c>
      <c r="BS1370">
        <v>1</v>
      </c>
      <c r="BX1370" t="s">
        <v>209</v>
      </c>
      <c r="BZ1370" t="s">
        <v>137</v>
      </c>
    </row>
    <row r="1371" spans="1:78" x14ac:dyDescent="0.2">
      <c r="A1371" t="s">
        <v>119</v>
      </c>
      <c r="B1371" t="s">
        <v>120</v>
      </c>
      <c r="C1371" t="s">
        <v>3301</v>
      </c>
      <c r="D1371">
        <v>34</v>
      </c>
      <c r="E1371" t="s">
        <v>3149</v>
      </c>
      <c r="F1371" t="s">
        <v>140</v>
      </c>
      <c r="G1371" t="s">
        <v>124</v>
      </c>
      <c r="H1371" t="s">
        <v>125</v>
      </c>
      <c r="I1371">
        <v>30</v>
      </c>
      <c r="J1371" t="s">
        <v>170</v>
      </c>
      <c r="K1371" t="s">
        <v>125</v>
      </c>
      <c r="L1371" t="s">
        <v>3306</v>
      </c>
      <c r="U1371" t="s">
        <v>149</v>
      </c>
      <c r="W1371" t="s">
        <v>155</v>
      </c>
      <c r="X1371">
        <v>3</v>
      </c>
      <c r="AC1371" t="s">
        <v>136</v>
      </c>
      <c r="AE1371" t="s">
        <v>137</v>
      </c>
    </row>
    <row r="1372" spans="1:78" x14ac:dyDescent="0.2">
      <c r="A1372" t="s">
        <v>119</v>
      </c>
      <c r="B1372" t="s">
        <v>120</v>
      </c>
      <c r="C1372" t="s">
        <v>3301</v>
      </c>
      <c r="D1372">
        <v>40</v>
      </c>
      <c r="E1372" t="s">
        <v>204</v>
      </c>
      <c r="F1372" t="s">
        <v>205</v>
      </c>
      <c r="G1372" t="s">
        <v>124</v>
      </c>
      <c r="H1372" t="s">
        <v>125</v>
      </c>
      <c r="I1372">
        <v>5</v>
      </c>
      <c r="J1372" t="s">
        <v>268</v>
      </c>
      <c r="K1372" t="s">
        <v>125</v>
      </c>
      <c r="L1372" t="s">
        <v>3307</v>
      </c>
      <c r="U1372" t="s">
        <v>149</v>
      </c>
      <c r="W1372" t="s">
        <v>135</v>
      </c>
      <c r="X1372">
        <v>1</v>
      </c>
      <c r="AC1372" t="s">
        <v>136</v>
      </c>
      <c r="AE1372" t="s">
        <v>137</v>
      </c>
    </row>
    <row r="1373" spans="1:78" hidden="1" x14ac:dyDescent="0.2">
      <c r="A1373" t="s">
        <v>119</v>
      </c>
      <c r="B1373" t="s">
        <v>120</v>
      </c>
      <c r="C1373" t="s">
        <v>3301</v>
      </c>
      <c r="D1373">
        <v>46</v>
      </c>
      <c r="E1373" t="s">
        <v>1548</v>
      </c>
      <c r="F1373" t="s">
        <v>1399</v>
      </c>
      <c r="G1373" t="s">
        <v>124</v>
      </c>
      <c r="H1373" t="s">
        <v>125</v>
      </c>
      <c r="I1373">
        <v>44</v>
      </c>
      <c r="J1373" t="s">
        <v>302</v>
      </c>
      <c r="K1373" t="s">
        <v>125</v>
      </c>
      <c r="L1373" t="s">
        <v>3308</v>
      </c>
      <c r="T1373" t="s">
        <v>154</v>
      </c>
      <c r="W1373" t="s">
        <v>135</v>
      </c>
      <c r="AC1373" t="s">
        <v>143</v>
      </c>
      <c r="AE1373" t="s">
        <v>144</v>
      </c>
    </row>
    <row r="1374" spans="1:78" hidden="1" x14ac:dyDescent="0.2">
      <c r="A1374" t="s">
        <v>119</v>
      </c>
      <c r="B1374" t="s">
        <v>120</v>
      </c>
      <c r="C1374" t="s">
        <v>3309</v>
      </c>
      <c r="D1374">
        <v>31</v>
      </c>
      <c r="E1374" t="s">
        <v>958</v>
      </c>
      <c r="F1374" t="s">
        <v>958</v>
      </c>
      <c r="G1374" t="s">
        <v>124</v>
      </c>
      <c r="H1374" t="s">
        <v>125</v>
      </c>
      <c r="I1374">
        <v>0</v>
      </c>
      <c r="J1374" t="s">
        <v>126</v>
      </c>
      <c r="K1374" t="s">
        <v>125</v>
      </c>
      <c r="L1374" t="s">
        <v>3310</v>
      </c>
      <c r="T1374" t="s">
        <v>154</v>
      </c>
      <c r="W1374" t="s">
        <v>135</v>
      </c>
      <c r="AC1374" t="s">
        <v>143</v>
      </c>
      <c r="AE1374" t="s">
        <v>144</v>
      </c>
      <c r="AG1374">
        <v>20</v>
      </c>
      <c r="AH1374" t="s">
        <v>706</v>
      </c>
      <c r="AI1374" t="s">
        <v>205</v>
      </c>
      <c r="AJ1374" t="s">
        <v>131</v>
      </c>
      <c r="AK1374" t="s">
        <v>125</v>
      </c>
      <c r="AL1374">
        <v>31</v>
      </c>
      <c r="AM1374" t="s">
        <v>132</v>
      </c>
      <c r="AN1374" t="s">
        <v>125</v>
      </c>
      <c r="AO1374" t="s">
        <v>3311</v>
      </c>
      <c r="BP1374" t="s">
        <v>149</v>
      </c>
      <c r="BR1374" t="s">
        <v>155</v>
      </c>
      <c r="BS1374">
        <v>3</v>
      </c>
      <c r="BX1374" t="s">
        <v>209</v>
      </c>
      <c r="BZ1374" t="s">
        <v>137</v>
      </c>
    </row>
    <row r="1375" spans="1:78" hidden="1" x14ac:dyDescent="0.2">
      <c r="A1375" t="s">
        <v>119</v>
      </c>
      <c r="B1375" t="s">
        <v>120</v>
      </c>
      <c r="C1375" t="s">
        <v>3312</v>
      </c>
      <c r="D1375">
        <v>4</v>
      </c>
      <c r="E1375" t="s">
        <v>292</v>
      </c>
      <c r="F1375" t="s">
        <v>292</v>
      </c>
      <c r="G1375" t="s">
        <v>124</v>
      </c>
      <c r="H1375" t="s">
        <v>125</v>
      </c>
      <c r="I1375">
        <v>0</v>
      </c>
      <c r="J1375" t="s">
        <v>126</v>
      </c>
      <c r="K1375" t="s">
        <v>125</v>
      </c>
      <c r="L1375" t="s">
        <v>3313</v>
      </c>
      <c r="AE1375" t="s">
        <v>128</v>
      </c>
      <c r="AG1375">
        <v>3</v>
      </c>
      <c r="AH1375" t="s">
        <v>3314</v>
      </c>
      <c r="AI1375" t="s">
        <v>572</v>
      </c>
      <c r="AJ1375" t="s">
        <v>131</v>
      </c>
      <c r="AK1375" t="s">
        <v>125</v>
      </c>
      <c r="AL1375">
        <v>4</v>
      </c>
      <c r="AM1375" t="s">
        <v>132</v>
      </c>
      <c r="AN1375" t="s">
        <v>125</v>
      </c>
      <c r="AO1375" t="s">
        <v>3315</v>
      </c>
      <c r="BP1375" t="s">
        <v>134</v>
      </c>
      <c r="BR1375" t="s">
        <v>135</v>
      </c>
      <c r="BS1375">
        <v>3</v>
      </c>
      <c r="BX1375" t="s">
        <v>136</v>
      </c>
      <c r="BZ1375" t="s">
        <v>137</v>
      </c>
    </row>
    <row r="1376" spans="1:78" x14ac:dyDescent="0.2">
      <c r="A1376" t="s">
        <v>119</v>
      </c>
      <c r="B1376" t="s">
        <v>120</v>
      </c>
      <c r="C1376" t="s">
        <v>3316</v>
      </c>
      <c r="D1376">
        <v>2</v>
      </c>
      <c r="E1376" t="s">
        <v>3317</v>
      </c>
      <c r="F1376" t="s">
        <v>3318</v>
      </c>
      <c r="G1376" t="s">
        <v>124</v>
      </c>
      <c r="H1376" t="s">
        <v>125</v>
      </c>
      <c r="I1376">
        <v>0</v>
      </c>
      <c r="J1376" t="s">
        <v>126</v>
      </c>
      <c r="K1376" t="s">
        <v>125</v>
      </c>
      <c r="L1376" t="s">
        <v>3319</v>
      </c>
      <c r="U1376" t="s">
        <v>149</v>
      </c>
      <c r="W1376" t="s">
        <v>135</v>
      </c>
      <c r="X1376">
        <v>3</v>
      </c>
      <c r="AC1376" t="s">
        <v>136</v>
      </c>
      <c r="AE1376" t="s">
        <v>137</v>
      </c>
    </row>
    <row r="1377" spans="1:98" hidden="1" x14ac:dyDescent="0.2">
      <c r="A1377" t="s">
        <v>119</v>
      </c>
      <c r="B1377" t="s">
        <v>120</v>
      </c>
      <c r="C1377" t="s">
        <v>3316</v>
      </c>
      <c r="D1377">
        <v>3</v>
      </c>
      <c r="E1377" t="s">
        <v>123</v>
      </c>
      <c r="F1377" t="s">
        <v>123</v>
      </c>
      <c r="G1377" t="s">
        <v>124</v>
      </c>
      <c r="H1377" t="s">
        <v>125</v>
      </c>
      <c r="I1377">
        <v>2</v>
      </c>
      <c r="J1377" t="s">
        <v>294</v>
      </c>
      <c r="K1377" t="s">
        <v>125</v>
      </c>
      <c r="L1377" t="s">
        <v>3320</v>
      </c>
      <c r="AE1377" t="s">
        <v>128</v>
      </c>
    </row>
    <row r="1378" spans="1:98" x14ac:dyDescent="0.2">
      <c r="A1378" t="s">
        <v>119</v>
      </c>
      <c r="B1378" t="s">
        <v>120</v>
      </c>
      <c r="C1378" t="s">
        <v>3316</v>
      </c>
      <c r="D1378">
        <v>11</v>
      </c>
      <c r="E1378" t="s">
        <v>1129</v>
      </c>
      <c r="F1378" t="s">
        <v>257</v>
      </c>
      <c r="G1378" t="s">
        <v>124</v>
      </c>
      <c r="H1378" t="s">
        <v>125</v>
      </c>
      <c r="I1378">
        <v>2</v>
      </c>
      <c r="J1378" t="s">
        <v>268</v>
      </c>
      <c r="K1378" t="s">
        <v>125</v>
      </c>
      <c r="L1378" t="s">
        <v>3321</v>
      </c>
      <c r="U1378" t="s">
        <v>149</v>
      </c>
      <c r="W1378" t="s">
        <v>155</v>
      </c>
      <c r="X1378">
        <v>3</v>
      </c>
      <c r="AC1378" t="s">
        <v>136</v>
      </c>
      <c r="AE1378" t="s">
        <v>137</v>
      </c>
    </row>
    <row r="1379" spans="1:98" hidden="1" x14ac:dyDescent="0.2">
      <c r="A1379" t="s">
        <v>119</v>
      </c>
      <c r="B1379" t="s">
        <v>120</v>
      </c>
      <c r="C1379" t="s">
        <v>3322</v>
      </c>
      <c r="D1379">
        <v>5</v>
      </c>
      <c r="E1379" t="s">
        <v>3323</v>
      </c>
      <c r="F1379" t="s">
        <v>3324</v>
      </c>
      <c r="G1379" t="s">
        <v>124</v>
      </c>
      <c r="H1379" t="s">
        <v>125</v>
      </c>
      <c r="I1379">
        <v>0</v>
      </c>
      <c r="J1379" t="s">
        <v>126</v>
      </c>
      <c r="K1379" t="s">
        <v>125</v>
      </c>
      <c r="L1379" t="s">
        <v>3325</v>
      </c>
      <c r="T1379" t="s">
        <v>154</v>
      </c>
      <c r="W1379" t="s">
        <v>135</v>
      </c>
      <c r="AC1379" t="s">
        <v>143</v>
      </c>
      <c r="AE1379" t="s">
        <v>144</v>
      </c>
      <c r="AG1379">
        <v>3</v>
      </c>
      <c r="AH1379" t="s">
        <v>421</v>
      </c>
      <c r="AI1379" t="s">
        <v>205</v>
      </c>
      <c r="AJ1379" t="s">
        <v>131</v>
      </c>
      <c r="AK1379" t="s">
        <v>125</v>
      </c>
      <c r="AL1379">
        <v>5</v>
      </c>
      <c r="AM1379" t="s">
        <v>132</v>
      </c>
      <c r="AN1379" t="s">
        <v>125</v>
      </c>
      <c r="AO1379" t="s">
        <v>3326</v>
      </c>
      <c r="BP1379" t="s">
        <v>149</v>
      </c>
      <c r="BR1379" t="s">
        <v>135</v>
      </c>
      <c r="BS1379">
        <v>1</v>
      </c>
      <c r="BX1379" t="s">
        <v>209</v>
      </c>
      <c r="BZ1379" t="s">
        <v>137</v>
      </c>
    </row>
    <row r="1380" spans="1:98" x14ac:dyDescent="0.2">
      <c r="A1380" t="s">
        <v>119</v>
      </c>
      <c r="B1380" t="s">
        <v>120</v>
      </c>
      <c r="C1380" t="s">
        <v>3322</v>
      </c>
      <c r="D1380">
        <v>23</v>
      </c>
      <c r="E1380" t="s">
        <v>370</v>
      </c>
      <c r="F1380" t="s">
        <v>140</v>
      </c>
      <c r="G1380" t="s">
        <v>124</v>
      </c>
      <c r="H1380" t="s">
        <v>125</v>
      </c>
      <c r="I1380">
        <v>18</v>
      </c>
      <c r="J1380" t="s">
        <v>170</v>
      </c>
      <c r="K1380" t="s">
        <v>125</v>
      </c>
      <c r="L1380" t="s">
        <v>3327</v>
      </c>
      <c r="U1380" t="s">
        <v>149</v>
      </c>
      <c r="W1380" t="s">
        <v>135</v>
      </c>
      <c r="X1380">
        <v>3</v>
      </c>
      <c r="AC1380" t="s">
        <v>136</v>
      </c>
      <c r="AE1380" t="s">
        <v>137</v>
      </c>
    </row>
    <row r="1381" spans="1:98" hidden="1" x14ac:dyDescent="0.2">
      <c r="A1381" t="s">
        <v>119</v>
      </c>
      <c r="B1381" t="s">
        <v>120</v>
      </c>
      <c r="C1381" t="s">
        <v>3322</v>
      </c>
      <c r="D1381">
        <v>27</v>
      </c>
      <c r="E1381" t="s">
        <v>123</v>
      </c>
      <c r="F1381" t="s">
        <v>123</v>
      </c>
      <c r="G1381" t="s">
        <v>124</v>
      </c>
      <c r="H1381" t="s">
        <v>125</v>
      </c>
      <c r="I1381">
        <v>24</v>
      </c>
      <c r="J1381" t="s">
        <v>170</v>
      </c>
      <c r="K1381" t="s">
        <v>125</v>
      </c>
      <c r="L1381" t="s">
        <v>3328</v>
      </c>
      <c r="AE1381" t="s">
        <v>128</v>
      </c>
    </row>
    <row r="1382" spans="1:98" hidden="1" x14ac:dyDescent="0.2">
      <c r="A1382" t="s">
        <v>119</v>
      </c>
      <c r="B1382" t="s">
        <v>120</v>
      </c>
      <c r="C1382" t="s">
        <v>3322</v>
      </c>
      <c r="D1382">
        <v>29</v>
      </c>
      <c r="E1382" t="s">
        <v>3240</v>
      </c>
      <c r="F1382" t="s">
        <v>3240</v>
      </c>
      <c r="G1382" t="s">
        <v>124</v>
      </c>
      <c r="H1382" t="s">
        <v>125</v>
      </c>
      <c r="I1382">
        <v>27</v>
      </c>
      <c r="J1382" t="s">
        <v>161</v>
      </c>
      <c r="K1382" t="s">
        <v>125</v>
      </c>
      <c r="L1382" t="s">
        <v>3329</v>
      </c>
      <c r="AE1382" t="s">
        <v>128</v>
      </c>
    </row>
    <row r="1383" spans="1:98" hidden="1" x14ac:dyDescent="0.2">
      <c r="A1383" t="s">
        <v>119</v>
      </c>
      <c r="B1383" t="s">
        <v>120</v>
      </c>
      <c r="C1383" t="s">
        <v>3330</v>
      </c>
      <c r="D1383">
        <v>2</v>
      </c>
      <c r="E1383" t="s">
        <v>140</v>
      </c>
      <c r="F1383" t="s">
        <v>140</v>
      </c>
      <c r="G1383" t="s">
        <v>124</v>
      </c>
      <c r="H1383" t="s">
        <v>125</v>
      </c>
      <c r="I1383">
        <v>0</v>
      </c>
      <c r="J1383" t="s">
        <v>126</v>
      </c>
      <c r="K1383" t="s">
        <v>125</v>
      </c>
      <c r="L1383" t="s">
        <v>3331</v>
      </c>
      <c r="AE1383" t="s">
        <v>128</v>
      </c>
      <c r="AG1383">
        <v>1</v>
      </c>
      <c r="AH1383" t="s">
        <v>2502</v>
      </c>
      <c r="AI1383" t="s">
        <v>572</v>
      </c>
      <c r="AJ1383" t="s">
        <v>131</v>
      </c>
      <c r="AK1383" t="s">
        <v>125</v>
      </c>
      <c r="AL1383">
        <v>2</v>
      </c>
      <c r="AM1383" t="s">
        <v>132</v>
      </c>
      <c r="AN1383" t="s">
        <v>125</v>
      </c>
      <c r="AO1383" t="s">
        <v>3332</v>
      </c>
      <c r="BP1383" t="s">
        <v>149</v>
      </c>
      <c r="BR1383" t="s">
        <v>135</v>
      </c>
      <c r="BS1383">
        <v>1</v>
      </c>
      <c r="BX1383" t="s">
        <v>136</v>
      </c>
      <c r="BZ1383" t="s">
        <v>137</v>
      </c>
    </row>
    <row r="1384" spans="1:98" x14ac:dyDescent="0.2">
      <c r="A1384" t="s">
        <v>119</v>
      </c>
      <c r="B1384" t="s">
        <v>120</v>
      </c>
      <c r="C1384" t="s">
        <v>3333</v>
      </c>
      <c r="D1384">
        <v>1</v>
      </c>
      <c r="E1384" t="s">
        <v>204</v>
      </c>
      <c r="F1384" t="s">
        <v>205</v>
      </c>
      <c r="G1384" t="s">
        <v>124</v>
      </c>
      <c r="H1384" t="s">
        <v>125</v>
      </c>
      <c r="I1384">
        <v>0</v>
      </c>
      <c r="J1384" t="s">
        <v>126</v>
      </c>
      <c r="K1384" t="s">
        <v>125</v>
      </c>
      <c r="L1384" t="s">
        <v>3334</v>
      </c>
      <c r="U1384" t="s">
        <v>149</v>
      </c>
      <c r="W1384" t="s">
        <v>135</v>
      </c>
      <c r="X1384">
        <v>1</v>
      </c>
      <c r="AC1384" t="s">
        <v>136</v>
      </c>
      <c r="AE1384" t="s">
        <v>137</v>
      </c>
    </row>
    <row r="1385" spans="1:98" x14ac:dyDescent="0.2">
      <c r="A1385" t="s">
        <v>119</v>
      </c>
      <c r="B1385" t="s">
        <v>120</v>
      </c>
      <c r="C1385" t="s">
        <v>3333</v>
      </c>
      <c r="D1385">
        <v>5</v>
      </c>
      <c r="E1385" t="s">
        <v>614</v>
      </c>
      <c r="F1385" t="s">
        <v>205</v>
      </c>
      <c r="G1385" t="s">
        <v>124</v>
      </c>
      <c r="H1385" t="s">
        <v>125</v>
      </c>
      <c r="I1385">
        <v>3</v>
      </c>
      <c r="J1385" t="s">
        <v>170</v>
      </c>
      <c r="K1385" t="s">
        <v>125</v>
      </c>
      <c r="L1385" t="s">
        <v>3335</v>
      </c>
      <c r="U1385" t="s">
        <v>149</v>
      </c>
      <c r="W1385" t="s">
        <v>135</v>
      </c>
      <c r="X1385">
        <v>3</v>
      </c>
      <c r="AC1385" t="s">
        <v>136</v>
      </c>
      <c r="AE1385" t="s">
        <v>137</v>
      </c>
    </row>
    <row r="1386" spans="1:98" hidden="1" x14ac:dyDescent="0.2">
      <c r="A1386" t="s">
        <v>119</v>
      </c>
      <c r="B1386" t="s">
        <v>120</v>
      </c>
      <c r="C1386" t="s">
        <v>3333</v>
      </c>
      <c r="D1386">
        <v>17</v>
      </c>
      <c r="E1386" t="s">
        <v>3240</v>
      </c>
      <c r="F1386" t="s">
        <v>3240</v>
      </c>
      <c r="G1386" t="s">
        <v>124</v>
      </c>
      <c r="H1386" t="s">
        <v>125</v>
      </c>
      <c r="I1386">
        <v>1</v>
      </c>
      <c r="J1386" t="s">
        <v>170</v>
      </c>
      <c r="K1386" t="s">
        <v>125</v>
      </c>
      <c r="L1386" t="s">
        <v>3336</v>
      </c>
      <c r="AE1386" t="s">
        <v>128</v>
      </c>
      <c r="AG1386">
        <v>15</v>
      </c>
      <c r="AH1386" t="s">
        <v>2502</v>
      </c>
      <c r="AI1386" t="s">
        <v>572</v>
      </c>
      <c r="AJ1386" t="s">
        <v>131</v>
      </c>
      <c r="AK1386" t="s">
        <v>125</v>
      </c>
      <c r="AL1386">
        <v>17</v>
      </c>
      <c r="AM1386" t="s">
        <v>132</v>
      </c>
      <c r="AN1386" t="s">
        <v>125</v>
      </c>
      <c r="AO1386" t="s">
        <v>3337</v>
      </c>
      <c r="BP1386" t="s">
        <v>149</v>
      </c>
      <c r="BR1386" t="s">
        <v>135</v>
      </c>
      <c r="BS1386">
        <v>1</v>
      </c>
      <c r="BX1386" t="s">
        <v>136</v>
      </c>
      <c r="BZ1386" t="s">
        <v>137</v>
      </c>
    </row>
    <row r="1387" spans="1:98" x14ac:dyDescent="0.2">
      <c r="A1387" t="s">
        <v>119</v>
      </c>
      <c r="B1387" t="s">
        <v>120</v>
      </c>
      <c r="C1387" t="s">
        <v>3338</v>
      </c>
      <c r="D1387">
        <v>6</v>
      </c>
      <c r="E1387" t="s">
        <v>1674</v>
      </c>
      <c r="F1387" t="s">
        <v>261</v>
      </c>
      <c r="G1387" t="s">
        <v>124</v>
      </c>
      <c r="H1387" t="s">
        <v>125</v>
      </c>
      <c r="I1387">
        <v>0</v>
      </c>
      <c r="J1387" t="s">
        <v>126</v>
      </c>
      <c r="K1387" t="s">
        <v>125</v>
      </c>
      <c r="L1387" t="s">
        <v>507</v>
      </c>
      <c r="U1387" t="s">
        <v>149</v>
      </c>
      <c r="W1387" t="s">
        <v>135</v>
      </c>
      <c r="X1387">
        <v>1</v>
      </c>
      <c r="AC1387" t="s">
        <v>136</v>
      </c>
      <c r="AE1387" t="s">
        <v>137</v>
      </c>
    </row>
    <row r="1388" spans="1:98" hidden="1" x14ac:dyDescent="0.2">
      <c r="A1388" t="s">
        <v>119</v>
      </c>
      <c r="B1388" t="s">
        <v>120</v>
      </c>
      <c r="C1388" t="s">
        <v>3338</v>
      </c>
      <c r="D1388">
        <v>21</v>
      </c>
      <c r="E1388" t="s">
        <v>3164</v>
      </c>
      <c r="F1388" t="s">
        <v>3164</v>
      </c>
      <c r="G1388" t="s">
        <v>124</v>
      </c>
      <c r="H1388" t="s">
        <v>125</v>
      </c>
      <c r="I1388">
        <v>6</v>
      </c>
      <c r="J1388" t="s">
        <v>268</v>
      </c>
      <c r="K1388" t="s">
        <v>125</v>
      </c>
      <c r="L1388" t="s">
        <v>3339</v>
      </c>
      <c r="AE1388" t="s">
        <v>128</v>
      </c>
      <c r="AG1388">
        <v>20</v>
      </c>
      <c r="AH1388" t="s">
        <v>3340</v>
      </c>
      <c r="AI1388" t="s">
        <v>572</v>
      </c>
      <c r="AJ1388" t="s">
        <v>131</v>
      </c>
      <c r="AK1388" t="s">
        <v>125</v>
      </c>
      <c r="AL1388">
        <v>21</v>
      </c>
      <c r="AM1388" t="s">
        <v>132</v>
      </c>
      <c r="AN1388" t="s">
        <v>125</v>
      </c>
      <c r="AO1388" t="s">
        <v>3341</v>
      </c>
      <c r="BP1388" t="s">
        <v>309</v>
      </c>
      <c r="BR1388" t="s">
        <v>135</v>
      </c>
      <c r="BS1388">
        <v>3</v>
      </c>
      <c r="BX1388" t="s">
        <v>136</v>
      </c>
      <c r="BZ1388" t="s">
        <v>137</v>
      </c>
    </row>
    <row r="1389" spans="1:98" hidden="1" x14ac:dyDescent="0.2">
      <c r="A1389" t="s">
        <v>119</v>
      </c>
      <c r="B1389" t="s">
        <v>120</v>
      </c>
      <c r="C1389" t="s">
        <v>3342</v>
      </c>
      <c r="D1389">
        <v>13</v>
      </c>
      <c r="E1389" t="s">
        <v>3200</v>
      </c>
      <c r="F1389" t="s">
        <v>3201</v>
      </c>
      <c r="G1389" t="s">
        <v>124</v>
      </c>
      <c r="H1389" t="s">
        <v>125</v>
      </c>
      <c r="I1389">
        <v>0</v>
      </c>
      <c r="J1389" t="s">
        <v>126</v>
      </c>
      <c r="K1389" t="s">
        <v>125</v>
      </c>
      <c r="L1389" t="s">
        <v>3343</v>
      </c>
      <c r="T1389" t="s">
        <v>142</v>
      </c>
      <c r="W1389" t="s">
        <v>135</v>
      </c>
      <c r="AC1389" t="s">
        <v>143</v>
      </c>
      <c r="AE1389" t="s">
        <v>144</v>
      </c>
      <c r="AG1389">
        <v>12</v>
      </c>
      <c r="AH1389" t="s">
        <v>160</v>
      </c>
      <c r="AI1389" t="s">
        <v>146</v>
      </c>
      <c r="AJ1389" t="s">
        <v>131</v>
      </c>
      <c r="AK1389" t="s">
        <v>125</v>
      </c>
      <c r="AL1389">
        <v>13</v>
      </c>
      <c r="AM1389" t="s">
        <v>132</v>
      </c>
      <c r="AN1389" t="s">
        <v>125</v>
      </c>
      <c r="AO1389" t="s">
        <v>3344</v>
      </c>
      <c r="AP1389">
        <v>8</v>
      </c>
      <c r="AQ1389" t="s">
        <v>160</v>
      </c>
      <c r="AR1389" t="s">
        <v>146</v>
      </c>
      <c r="AS1389" t="s">
        <v>131</v>
      </c>
      <c r="AT1389" t="s">
        <v>125</v>
      </c>
      <c r="AU1389">
        <v>12</v>
      </c>
      <c r="AV1389" t="s">
        <v>210</v>
      </c>
      <c r="AW1389" t="s">
        <v>125</v>
      </c>
      <c r="AX1389" t="s">
        <v>3345</v>
      </c>
      <c r="BP1389" t="s">
        <v>149</v>
      </c>
      <c r="BR1389" t="s">
        <v>155</v>
      </c>
      <c r="BS1389">
        <v>3</v>
      </c>
      <c r="BX1389" t="s">
        <v>136</v>
      </c>
      <c r="BZ1389" t="s">
        <v>137</v>
      </c>
      <c r="CJ1389" t="s">
        <v>149</v>
      </c>
      <c r="CL1389" t="s">
        <v>155</v>
      </c>
      <c r="CM1389">
        <v>3</v>
      </c>
      <c r="CR1389" t="s">
        <v>136</v>
      </c>
      <c r="CT1389" t="s">
        <v>137</v>
      </c>
    </row>
    <row r="1390" spans="1:98" x14ac:dyDescent="0.2">
      <c r="A1390" t="s">
        <v>119</v>
      </c>
      <c r="B1390" t="s">
        <v>120</v>
      </c>
      <c r="C1390" t="s">
        <v>3346</v>
      </c>
      <c r="D1390">
        <v>2</v>
      </c>
      <c r="E1390" t="s">
        <v>3347</v>
      </c>
      <c r="F1390" t="s">
        <v>3348</v>
      </c>
      <c r="G1390" t="s">
        <v>124</v>
      </c>
      <c r="H1390" t="s">
        <v>125</v>
      </c>
      <c r="I1390">
        <v>0</v>
      </c>
      <c r="J1390" t="s">
        <v>126</v>
      </c>
      <c r="K1390" t="s">
        <v>125</v>
      </c>
      <c r="L1390" t="s">
        <v>3349</v>
      </c>
      <c r="U1390" t="s">
        <v>149</v>
      </c>
      <c r="W1390" t="s">
        <v>135</v>
      </c>
      <c r="X1390">
        <v>3</v>
      </c>
      <c r="AC1390" t="s">
        <v>136</v>
      </c>
      <c r="AE1390" t="s">
        <v>137</v>
      </c>
    </row>
    <row r="1391" spans="1:98" x14ac:dyDescent="0.2">
      <c r="A1391" t="s">
        <v>119</v>
      </c>
      <c r="B1391" t="s">
        <v>120</v>
      </c>
      <c r="C1391" t="s">
        <v>3350</v>
      </c>
      <c r="D1391">
        <v>1</v>
      </c>
      <c r="E1391" t="s">
        <v>1959</v>
      </c>
      <c r="F1391" t="s">
        <v>3351</v>
      </c>
      <c r="G1391" t="s">
        <v>124</v>
      </c>
      <c r="H1391" t="s">
        <v>125</v>
      </c>
      <c r="I1391">
        <v>0</v>
      </c>
      <c r="J1391" t="s">
        <v>126</v>
      </c>
      <c r="K1391" t="s">
        <v>125</v>
      </c>
      <c r="L1391" t="s">
        <v>3352</v>
      </c>
      <c r="U1391" t="s">
        <v>209</v>
      </c>
      <c r="W1391" t="s">
        <v>135</v>
      </c>
      <c r="X1391">
        <v>2</v>
      </c>
      <c r="AC1391" t="s">
        <v>136</v>
      </c>
      <c r="AE1391" t="s">
        <v>137</v>
      </c>
    </row>
    <row r="1392" spans="1:98" hidden="1" x14ac:dyDescent="0.2">
      <c r="A1392" t="s">
        <v>119</v>
      </c>
      <c r="B1392" t="s">
        <v>120</v>
      </c>
      <c r="C1392" t="s">
        <v>3353</v>
      </c>
      <c r="D1392">
        <v>4</v>
      </c>
      <c r="E1392" t="s">
        <v>3354</v>
      </c>
      <c r="F1392" t="s">
        <v>3355</v>
      </c>
      <c r="G1392" t="s">
        <v>124</v>
      </c>
      <c r="H1392" t="s">
        <v>125</v>
      </c>
      <c r="I1392">
        <v>2</v>
      </c>
      <c r="J1392" t="s">
        <v>302</v>
      </c>
      <c r="K1392" t="s">
        <v>125</v>
      </c>
      <c r="L1392" t="s">
        <v>3356</v>
      </c>
      <c r="T1392" t="s">
        <v>142</v>
      </c>
      <c r="W1392" t="s">
        <v>135</v>
      </c>
      <c r="AC1392" t="s">
        <v>143</v>
      </c>
      <c r="AE1392" t="s">
        <v>144</v>
      </c>
    </row>
    <row r="1393" spans="1:78" hidden="1" x14ac:dyDescent="0.2">
      <c r="A1393" t="s">
        <v>119</v>
      </c>
      <c r="B1393" t="s">
        <v>120</v>
      </c>
      <c r="C1393" t="s">
        <v>3353</v>
      </c>
      <c r="D1393">
        <v>7</v>
      </c>
      <c r="E1393" t="s">
        <v>3357</v>
      </c>
      <c r="F1393" t="s">
        <v>331</v>
      </c>
      <c r="G1393" t="s">
        <v>124</v>
      </c>
      <c r="H1393" t="s">
        <v>125</v>
      </c>
      <c r="I1393">
        <v>4</v>
      </c>
      <c r="J1393" t="s">
        <v>161</v>
      </c>
      <c r="K1393" t="s">
        <v>125</v>
      </c>
      <c r="L1393" t="s">
        <v>3358</v>
      </c>
      <c r="T1393" t="s">
        <v>142</v>
      </c>
      <c r="W1393" t="s">
        <v>135</v>
      </c>
      <c r="AC1393" t="s">
        <v>143</v>
      </c>
      <c r="AE1393" t="s">
        <v>144</v>
      </c>
    </row>
    <row r="1394" spans="1:78" hidden="1" x14ac:dyDescent="0.2">
      <c r="A1394" t="s">
        <v>119</v>
      </c>
      <c r="B1394" t="s">
        <v>120</v>
      </c>
      <c r="C1394" t="s">
        <v>3359</v>
      </c>
      <c r="D1394">
        <v>2</v>
      </c>
      <c r="E1394" t="s">
        <v>3357</v>
      </c>
      <c r="F1394" t="s">
        <v>331</v>
      </c>
      <c r="G1394" t="s">
        <v>124</v>
      </c>
      <c r="H1394" t="s">
        <v>125</v>
      </c>
      <c r="I1394">
        <v>33</v>
      </c>
      <c r="J1394" t="s">
        <v>1427</v>
      </c>
      <c r="K1394" t="s">
        <v>125</v>
      </c>
      <c r="L1394" t="s">
        <v>3360</v>
      </c>
      <c r="T1394" t="s">
        <v>142</v>
      </c>
      <c r="W1394" t="s">
        <v>135</v>
      </c>
      <c r="AC1394" t="s">
        <v>143</v>
      </c>
      <c r="AE1394" t="s">
        <v>144</v>
      </c>
    </row>
    <row r="1395" spans="1:78" x14ac:dyDescent="0.2">
      <c r="A1395" t="s">
        <v>119</v>
      </c>
      <c r="B1395" t="s">
        <v>120</v>
      </c>
      <c r="C1395" t="s">
        <v>3359</v>
      </c>
      <c r="D1395">
        <v>11</v>
      </c>
      <c r="E1395" t="s">
        <v>2201</v>
      </c>
      <c r="F1395" t="s">
        <v>2202</v>
      </c>
      <c r="G1395" t="s">
        <v>124</v>
      </c>
      <c r="H1395" t="s">
        <v>125</v>
      </c>
      <c r="I1395">
        <v>8</v>
      </c>
      <c r="J1395" t="s">
        <v>170</v>
      </c>
      <c r="K1395" t="s">
        <v>125</v>
      </c>
      <c r="L1395" t="s">
        <v>3361</v>
      </c>
      <c r="U1395" t="s">
        <v>149</v>
      </c>
      <c r="W1395" t="s">
        <v>135</v>
      </c>
      <c r="X1395">
        <v>1</v>
      </c>
      <c r="AC1395" t="s">
        <v>136</v>
      </c>
      <c r="AE1395" t="s">
        <v>137</v>
      </c>
    </row>
    <row r="1396" spans="1:78" x14ac:dyDescent="0.2">
      <c r="A1396" t="s">
        <v>119</v>
      </c>
      <c r="B1396" t="s">
        <v>120</v>
      </c>
      <c r="C1396" t="s">
        <v>3359</v>
      </c>
      <c r="D1396">
        <v>17</v>
      </c>
      <c r="E1396" t="s">
        <v>1360</v>
      </c>
      <c r="F1396" t="s">
        <v>350</v>
      </c>
      <c r="G1396" t="s">
        <v>124</v>
      </c>
      <c r="H1396" t="s">
        <v>125</v>
      </c>
      <c r="I1396">
        <v>33</v>
      </c>
      <c r="J1396" t="s">
        <v>268</v>
      </c>
      <c r="K1396" t="s">
        <v>125</v>
      </c>
      <c r="L1396" t="s">
        <v>3362</v>
      </c>
      <c r="U1396" t="s">
        <v>149</v>
      </c>
      <c r="W1396" t="s">
        <v>135</v>
      </c>
      <c r="X1396">
        <v>3</v>
      </c>
      <c r="AC1396" t="s">
        <v>136</v>
      </c>
      <c r="AE1396" t="s">
        <v>137</v>
      </c>
    </row>
    <row r="1397" spans="1:78" hidden="1" x14ac:dyDescent="0.2">
      <c r="A1397" t="s">
        <v>119</v>
      </c>
      <c r="B1397" t="s">
        <v>120</v>
      </c>
      <c r="C1397" t="s">
        <v>3359</v>
      </c>
      <c r="D1397">
        <v>19</v>
      </c>
      <c r="E1397" t="s">
        <v>861</v>
      </c>
      <c r="F1397" t="s">
        <v>140</v>
      </c>
      <c r="G1397" t="s">
        <v>124</v>
      </c>
      <c r="H1397" t="s">
        <v>125</v>
      </c>
      <c r="I1397">
        <v>17</v>
      </c>
      <c r="J1397" t="s">
        <v>294</v>
      </c>
      <c r="K1397" t="s">
        <v>125</v>
      </c>
      <c r="L1397" t="s">
        <v>3363</v>
      </c>
      <c r="AE1397" t="s">
        <v>128</v>
      </c>
    </row>
    <row r="1398" spans="1:78" hidden="1" x14ac:dyDescent="0.2">
      <c r="A1398" t="s">
        <v>119</v>
      </c>
      <c r="B1398" t="s">
        <v>120</v>
      </c>
      <c r="C1398" t="s">
        <v>3359</v>
      </c>
      <c r="D1398">
        <v>23</v>
      </c>
      <c r="E1398" t="s">
        <v>861</v>
      </c>
      <c r="F1398" t="s">
        <v>140</v>
      </c>
      <c r="G1398" t="s">
        <v>124</v>
      </c>
      <c r="H1398" t="s">
        <v>125</v>
      </c>
      <c r="I1398">
        <v>19</v>
      </c>
      <c r="J1398" t="s">
        <v>161</v>
      </c>
      <c r="K1398" t="s">
        <v>125</v>
      </c>
      <c r="L1398" t="s">
        <v>3364</v>
      </c>
      <c r="AE1398" t="s">
        <v>128</v>
      </c>
    </row>
    <row r="1399" spans="1:78" x14ac:dyDescent="0.2">
      <c r="A1399" t="s">
        <v>119</v>
      </c>
      <c r="B1399" t="s">
        <v>120</v>
      </c>
      <c r="C1399" t="s">
        <v>3365</v>
      </c>
      <c r="D1399">
        <v>2</v>
      </c>
      <c r="E1399" t="s">
        <v>160</v>
      </c>
      <c r="F1399" t="s">
        <v>146</v>
      </c>
      <c r="G1399" t="s">
        <v>124</v>
      </c>
      <c r="H1399" t="s">
        <v>125</v>
      </c>
      <c r="I1399">
        <v>0</v>
      </c>
      <c r="J1399" t="s">
        <v>126</v>
      </c>
      <c r="K1399" t="s">
        <v>125</v>
      </c>
      <c r="L1399" t="s">
        <v>3366</v>
      </c>
      <c r="U1399" t="s">
        <v>149</v>
      </c>
      <c r="W1399" t="s">
        <v>155</v>
      </c>
      <c r="X1399">
        <v>3</v>
      </c>
      <c r="AC1399" t="s">
        <v>136</v>
      </c>
      <c r="AE1399" t="s">
        <v>137</v>
      </c>
    </row>
    <row r="1400" spans="1:78" x14ac:dyDescent="0.2">
      <c r="A1400" t="s">
        <v>119</v>
      </c>
      <c r="B1400" t="s">
        <v>120</v>
      </c>
      <c r="C1400" t="s">
        <v>3367</v>
      </c>
      <c r="D1400">
        <v>5</v>
      </c>
      <c r="E1400" t="s">
        <v>370</v>
      </c>
      <c r="F1400" t="s">
        <v>140</v>
      </c>
      <c r="G1400" t="s">
        <v>124</v>
      </c>
      <c r="H1400" t="s">
        <v>125</v>
      </c>
      <c r="I1400">
        <v>2</v>
      </c>
      <c r="J1400" t="s">
        <v>170</v>
      </c>
      <c r="K1400" t="s">
        <v>125</v>
      </c>
      <c r="L1400" t="s">
        <v>3368</v>
      </c>
      <c r="U1400" t="s">
        <v>149</v>
      </c>
      <c r="W1400" t="s">
        <v>135</v>
      </c>
      <c r="X1400">
        <v>3</v>
      </c>
      <c r="AC1400" t="s">
        <v>136</v>
      </c>
      <c r="AE1400" t="s">
        <v>137</v>
      </c>
    </row>
    <row r="1401" spans="1:78" hidden="1" x14ac:dyDescent="0.2">
      <c r="A1401" t="s">
        <v>119</v>
      </c>
      <c r="B1401" t="s">
        <v>120</v>
      </c>
      <c r="C1401" t="s">
        <v>3369</v>
      </c>
      <c r="D1401">
        <v>5</v>
      </c>
      <c r="E1401" t="s">
        <v>207</v>
      </c>
      <c r="F1401" t="s">
        <v>146</v>
      </c>
      <c r="G1401" t="s">
        <v>124</v>
      </c>
      <c r="H1401" t="s">
        <v>125</v>
      </c>
      <c r="I1401">
        <v>0</v>
      </c>
      <c r="J1401" t="s">
        <v>126</v>
      </c>
      <c r="K1401" t="s">
        <v>125</v>
      </c>
      <c r="L1401" t="s">
        <v>3370</v>
      </c>
      <c r="U1401" t="s">
        <v>149</v>
      </c>
      <c r="W1401" t="s">
        <v>135</v>
      </c>
      <c r="X1401">
        <v>3</v>
      </c>
      <c r="AC1401" t="s">
        <v>209</v>
      </c>
      <c r="AE1401" t="s">
        <v>137</v>
      </c>
    </row>
    <row r="1402" spans="1:78" hidden="1" x14ac:dyDescent="0.2">
      <c r="A1402" t="s">
        <v>119</v>
      </c>
      <c r="B1402" t="s">
        <v>120</v>
      </c>
      <c r="C1402" t="s">
        <v>3369</v>
      </c>
      <c r="D1402">
        <v>7</v>
      </c>
      <c r="E1402" t="s">
        <v>140</v>
      </c>
      <c r="F1402" t="s">
        <v>140</v>
      </c>
      <c r="G1402" t="s">
        <v>124</v>
      </c>
      <c r="H1402" t="s">
        <v>125</v>
      </c>
      <c r="I1402">
        <v>5</v>
      </c>
      <c r="J1402" t="s">
        <v>294</v>
      </c>
      <c r="K1402" t="s">
        <v>125</v>
      </c>
      <c r="L1402" t="s">
        <v>3371</v>
      </c>
      <c r="AE1402" t="s">
        <v>128</v>
      </c>
    </row>
    <row r="1403" spans="1:78" x14ac:dyDescent="0.2">
      <c r="A1403" t="s">
        <v>119</v>
      </c>
      <c r="B1403" t="s">
        <v>120</v>
      </c>
      <c r="C1403" t="s">
        <v>3369</v>
      </c>
      <c r="D1403">
        <v>9</v>
      </c>
      <c r="E1403" t="s">
        <v>260</v>
      </c>
      <c r="F1403" t="s">
        <v>261</v>
      </c>
      <c r="G1403" t="s">
        <v>124</v>
      </c>
      <c r="H1403" t="s">
        <v>125</v>
      </c>
      <c r="I1403">
        <v>7</v>
      </c>
      <c r="J1403" t="s">
        <v>182</v>
      </c>
      <c r="K1403" t="s">
        <v>125</v>
      </c>
      <c r="L1403" t="s">
        <v>3372</v>
      </c>
      <c r="U1403" t="s">
        <v>149</v>
      </c>
      <c r="W1403" t="s">
        <v>155</v>
      </c>
      <c r="X1403">
        <v>1</v>
      </c>
      <c r="AC1403" t="s">
        <v>136</v>
      </c>
      <c r="AE1403" t="s">
        <v>137</v>
      </c>
    </row>
    <row r="1404" spans="1:78" x14ac:dyDescent="0.2">
      <c r="A1404" t="s">
        <v>119</v>
      </c>
      <c r="B1404" t="s">
        <v>120</v>
      </c>
      <c r="C1404" t="s">
        <v>3373</v>
      </c>
      <c r="D1404">
        <v>1</v>
      </c>
      <c r="E1404" t="s">
        <v>180</v>
      </c>
      <c r="F1404" t="s">
        <v>181</v>
      </c>
      <c r="G1404" t="s">
        <v>124</v>
      </c>
      <c r="H1404" t="s">
        <v>125</v>
      </c>
      <c r="I1404">
        <v>0</v>
      </c>
      <c r="J1404" t="s">
        <v>126</v>
      </c>
      <c r="K1404" t="s">
        <v>125</v>
      </c>
      <c r="L1404" t="s">
        <v>3374</v>
      </c>
      <c r="U1404" t="s">
        <v>149</v>
      </c>
      <c r="W1404" t="s">
        <v>135</v>
      </c>
      <c r="X1404">
        <v>1</v>
      </c>
      <c r="AC1404" t="s">
        <v>136</v>
      </c>
      <c r="AE1404" t="s">
        <v>137</v>
      </c>
    </row>
    <row r="1405" spans="1:78" hidden="1" x14ac:dyDescent="0.2">
      <c r="A1405" t="s">
        <v>119</v>
      </c>
      <c r="B1405" t="s">
        <v>120</v>
      </c>
      <c r="C1405" t="s">
        <v>3373</v>
      </c>
      <c r="D1405">
        <v>6</v>
      </c>
      <c r="E1405" t="s">
        <v>3375</v>
      </c>
      <c r="F1405" t="s">
        <v>3376</v>
      </c>
      <c r="G1405" t="s">
        <v>124</v>
      </c>
      <c r="H1405" t="s">
        <v>125</v>
      </c>
      <c r="I1405">
        <v>1</v>
      </c>
      <c r="J1405" t="s">
        <v>294</v>
      </c>
      <c r="K1405" t="s">
        <v>125</v>
      </c>
      <c r="L1405" t="s">
        <v>3377</v>
      </c>
      <c r="T1405" t="s">
        <v>142</v>
      </c>
      <c r="W1405" t="s">
        <v>135</v>
      </c>
      <c r="AC1405" t="s">
        <v>143</v>
      </c>
      <c r="AE1405" t="s">
        <v>144</v>
      </c>
      <c r="AG1405">
        <v>4</v>
      </c>
      <c r="AH1405" t="s">
        <v>1472</v>
      </c>
      <c r="AI1405" t="s">
        <v>146</v>
      </c>
      <c r="AJ1405" t="s">
        <v>131</v>
      </c>
      <c r="AK1405" t="s">
        <v>125</v>
      </c>
      <c r="AL1405">
        <v>6</v>
      </c>
      <c r="AM1405" t="s">
        <v>132</v>
      </c>
      <c r="AN1405" t="s">
        <v>125</v>
      </c>
      <c r="AO1405" t="s">
        <v>3378</v>
      </c>
      <c r="BO1405" t="s">
        <v>142</v>
      </c>
      <c r="BR1405" t="s">
        <v>155</v>
      </c>
    </row>
    <row r="1406" spans="1:78" hidden="1" x14ac:dyDescent="0.2">
      <c r="A1406" t="s">
        <v>119</v>
      </c>
      <c r="B1406" t="s">
        <v>120</v>
      </c>
      <c r="C1406" t="s">
        <v>3373</v>
      </c>
      <c r="D1406">
        <v>13</v>
      </c>
      <c r="E1406" t="s">
        <v>3379</v>
      </c>
      <c r="F1406" t="s">
        <v>373</v>
      </c>
      <c r="G1406" t="s">
        <v>124</v>
      </c>
      <c r="H1406" t="s">
        <v>125</v>
      </c>
      <c r="I1406">
        <v>9</v>
      </c>
      <c r="J1406" t="s">
        <v>170</v>
      </c>
      <c r="K1406" t="s">
        <v>125</v>
      </c>
      <c r="L1406" t="s">
        <v>3380</v>
      </c>
      <c r="T1406" t="s">
        <v>154</v>
      </c>
      <c r="W1406" t="s">
        <v>155</v>
      </c>
      <c r="AC1406" t="s">
        <v>143</v>
      </c>
      <c r="AE1406" t="s">
        <v>144</v>
      </c>
    </row>
    <row r="1407" spans="1:78" hidden="1" x14ac:dyDescent="0.2">
      <c r="A1407" t="s">
        <v>119</v>
      </c>
      <c r="B1407" t="s">
        <v>120</v>
      </c>
      <c r="C1407" t="s">
        <v>3373</v>
      </c>
      <c r="D1407">
        <v>17</v>
      </c>
      <c r="E1407" t="s">
        <v>201</v>
      </c>
      <c r="F1407" t="s">
        <v>202</v>
      </c>
      <c r="G1407" t="s">
        <v>124</v>
      </c>
      <c r="H1407" t="s">
        <v>125</v>
      </c>
      <c r="I1407">
        <v>13</v>
      </c>
      <c r="J1407" t="s">
        <v>268</v>
      </c>
      <c r="K1407" t="s">
        <v>125</v>
      </c>
      <c r="L1407" t="s">
        <v>3381</v>
      </c>
      <c r="T1407" t="s">
        <v>154</v>
      </c>
      <c r="W1407" t="s">
        <v>135</v>
      </c>
      <c r="AC1407" t="s">
        <v>143</v>
      </c>
      <c r="AE1407" t="s">
        <v>144</v>
      </c>
      <c r="AG1407">
        <v>16</v>
      </c>
      <c r="AH1407" t="s">
        <v>421</v>
      </c>
      <c r="AI1407" t="s">
        <v>205</v>
      </c>
      <c r="AJ1407" t="s">
        <v>131</v>
      </c>
      <c r="AK1407" t="s">
        <v>125</v>
      </c>
      <c r="AL1407">
        <v>17</v>
      </c>
      <c r="AM1407" t="s">
        <v>132</v>
      </c>
      <c r="AN1407" t="s">
        <v>125</v>
      </c>
      <c r="AO1407" t="s">
        <v>3382</v>
      </c>
      <c r="BP1407" t="s">
        <v>149</v>
      </c>
      <c r="BR1407" t="s">
        <v>135</v>
      </c>
      <c r="BS1407">
        <v>1</v>
      </c>
      <c r="BX1407" t="s">
        <v>209</v>
      </c>
      <c r="BZ1407" t="s">
        <v>137</v>
      </c>
    </row>
    <row r="1408" spans="1:78" x14ac:dyDescent="0.2">
      <c r="A1408" t="s">
        <v>119</v>
      </c>
      <c r="B1408" t="s">
        <v>120</v>
      </c>
      <c r="C1408" t="s">
        <v>3383</v>
      </c>
      <c r="D1408">
        <v>7</v>
      </c>
      <c r="E1408" t="s">
        <v>185</v>
      </c>
      <c r="F1408" t="s">
        <v>186</v>
      </c>
      <c r="G1408" t="s">
        <v>124</v>
      </c>
      <c r="H1408" t="s">
        <v>125</v>
      </c>
      <c r="I1408">
        <v>0</v>
      </c>
      <c r="J1408" t="s">
        <v>126</v>
      </c>
      <c r="K1408" t="s">
        <v>125</v>
      </c>
      <c r="L1408" t="s">
        <v>3384</v>
      </c>
      <c r="U1408" t="s">
        <v>149</v>
      </c>
      <c r="W1408" t="s">
        <v>135</v>
      </c>
      <c r="X1408">
        <v>3</v>
      </c>
      <c r="AC1408" t="s">
        <v>136</v>
      </c>
      <c r="AE1408" t="s">
        <v>137</v>
      </c>
    </row>
    <row r="1409" spans="1:78" hidden="1" x14ac:dyDescent="0.2">
      <c r="A1409" t="s">
        <v>119</v>
      </c>
      <c r="B1409" t="s">
        <v>120</v>
      </c>
      <c r="C1409" t="s">
        <v>3383</v>
      </c>
      <c r="D1409">
        <v>9</v>
      </c>
      <c r="E1409" t="s">
        <v>1009</v>
      </c>
      <c r="F1409" t="s">
        <v>534</v>
      </c>
      <c r="G1409" t="s">
        <v>124</v>
      </c>
      <c r="H1409" t="s">
        <v>125</v>
      </c>
      <c r="I1409">
        <v>7</v>
      </c>
      <c r="J1409" t="s">
        <v>268</v>
      </c>
      <c r="K1409" t="s">
        <v>125</v>
      </c>
      <c r="L1409" t="s">
        <v>3385</v>
      </c>
      <c r="AE1409" t="s">
        <v>394</v>
      </c>
    </row>
    <row r="1410" spans="1:78" hidden="1" x14ac:dyDescent="0.2">
      <c r="A1410" t="s">
        <v>119</v>
      </c>
      <c r="B1410" t="s">
        <v>120</v>
      </c>
      <c r="C1410" t="s">
        <v>3386</v>
      </c>
      <c r="D1410">
        <v>1</v>
      </c>
      <c r="E1410" t="s">
        <v>1073</v>
      </c>
      <c r="F1410" t="s">
        <v>311</v>
      </c>
      <c r="G1410" t="s">
        <v>124</v>
      </c>
      <c r="H1410" t="s">
        <v>125</v>
      </c>
      <c r="I1410">
        <v>0</v>
      </c>
      <c r="J1410" t="s">
        <v>126</v>
      </c>
      <c r="K1410" t="s">
        <v>125</v>
      </c>
      <c r="L1410" t="s">
        <v>3387</v>
      </c>
      <c r="U1410" t="s">
        <v>149</v>
      </c>
      <c r="W1410" t="s">
        <v>135</v>
      </c>
      <c r="X1410">
        <v>1</v>
      </c>
      <c r="AC1410" t="s">
        <v>209</v>
      </c>
      <c r="AE1410" t="s">
        <v>137</v>
      </c>
    </row>
    <row r="1411" spans="1:78" hidden="1" x14ac:dyDescent="0.2">
      <c r="A1411" t="s">
        <v>119</v>
      </c>
      <c r="B1411" t="s">
        <v>120</v>
      </c>
      <c r="C1411" t="s">
        <v>3388</v>
      </c>
      <c r="D1411">
        <v>5</v>
      </c>
      <c r="E1411" t="s">
        <v>201</v>
      </c>
      <c r="F1411" t="s">
        <v>202</v>
      </c>
      <c r="G1411" t="s">
        <v>124</v>
      </c>
      <c r="H1411" t="s">
        <v>125</v>
      </c>
      <c r="I1411">
        <v>2</v>
      </c>
      <c r="J1411" t="s">
        <v>199</v>
      </c>
      <c r="K1411" t="s">
        <v>125</v>
      </c>
      <c r="L1411" t="s">
        <v>3389</v>
      </c>
      <c r="T1411" t="s">
        <v>154</v>
      </c>
      <c r="W1411" t="s">
        <v>135</v>
      </c>
      <c r="AC1411" t="s">
        <v>143</v>
      </c>
      <c r="AE1411" t="s">
        <v>144</v>
      </c>
      <c r="AG1411">
        <v>4</v>
      </c>
      <c r="AH1411" t="s">
        <v>204</v>
      </c>
      <c r="AI1411" t="s">
        <v>205</v>
      </c>
      <c r="AJ1411" t="s">
        <v>131</v>
      </c>
      <c r="AK1411" t="s">
        <v>125</v>
      </c>
      <c r="AL1411">
        <v>5</v>
      </c>
      <c r="AM1411" t="s">
        <v>132</v>
      </c>
      <c r="AN1411" t="s">
        <v>125</v>
      </c>
      <c r="AO1411" t="s">
        <v>1586</v>
      </c>
      <c r="BP1411" t="s">
        <v>149</v>
      </c>
      <c r="BR1411" t="s">
        <v>135</v>
      </c>
      <c r="BS1411">
        <v>1</v>
      </c>
      <c r="BX1411" t="s">
        <v>136</v>
      </c>
      <c r="BZ1411" t="s">
        <v>137</v>
      </c>
    </row>
    <row r="1412" spans="1:78" x14ac:dyDescent="0.2">
      <c r="A1412" t="s">
        <v>119</v>
      </c>
      <c r="B1412" t="s">
        <v>120</v>
      </c>
      <c r="C1412" t="s">
        <v>3388</v>
      </c>
      <c r="D1412">
        <v>8</v>
      </c>
      <c r="E1412" t="s">
        <v>160</v>
      </c>
      <c r="F1412" t="s">
        <v>146</v>
      </c>
      <c r="G1412" t="s">
        <v>124</v>
      </c>
      <c r="H1412" t="s">
        <v>125</v>
      </c>
      <c r="I1412">
        <v>9</v>
      </c>
      <c r="J1412" t="s">
        <v>210</v>
      </c>
      <c r="K1412" t="s">
        <v>125</v>
      </c>
      <c r="L1412" t="s">
        <v>3390</v>
      </c>
      <c r="U1412" t="s">
        <v>149</v>
      </c>
      <c r="W1412" t="s">
        <v>155</v>
      </c>
      <c r="X1412">
        <v>3</v>
      </c>
      <c r="AC1412" t="s">
        <v>136</v>
      </c>
      <c r="AE1412" t="s">
        <v>137</v>
      </c>
    </row>
    <row r="1413" spans="1:78" hidden="1" x14ac:dyDescent="0.2">
      <c r="A1413" t="s">
        <v>119</v>
      </c>
      <c r="B1413" t="s">
        <v>120</v>
      </c>
      <c r="C1413" t="s">
        <v>3388</v>
      </c>
      <c r="D1413">
        <v>11</v>
      </c>
      <c r="E1413" t="s">
        <v>3391</v>
      </c>
      <c r="F1413" t="s">
        <v>1399</v>
      </c>
      <c r="G1413" t="s">
        <v>124</v>
      </c>
      <c r="H1413" t="s">
        <v>125</v>
      </c>
      <c r="I1413">
        <v>5</v>
      </c>
      <c r="J1413" t="s">
        <v>386</v>
      </c>
      <c r="K1413" t="s">
        <v>125</v>
      </c>
      <c r="L1413" t="s">
        <v>3392</v>
      </c>
      <c r="T1413" t="s">
        <v>154</v>
      </c>
      <c r="W1413" t="s">
        <v>155</v>
      </c>
      <c r="AC1413" t="s">
        <v>143</v>
      </c>
      <c r="AE1413" t="s">
        <v>144</v>
      </c>
      <c r="AG1413">
        <v>9</v>
      </c>
      <c r="AH1413" t="s">
        <v>160</v>
      </c>
      <c r="AI1413" t="s">
        <v>146</v>
      </c>
      <c r="AJ1413" t="s">
        <v>131</v>
      </c>
      <c r="AK1413" t="s">
        <v>125</v>
      </c>
      <c r="AL1413">
        <v>11</v>
      </c>
      <c r="AM1413" t="s">
        <v>132</v>
      </c>
      <c r="AN1413" t="s">
        <v>125</v>
      </c>
      <c r="AO1413" t="s">
        <v>3393</v>
      </c>
      <c r="BP1413" t="s">
        <v>149</v>
      </c>
      <c r="BR1413" t="s">
        <v>155</v>
      </c>
      <c r="BS1413">
        <v>3</v>
      </c>
      <c r="BX1413" t="s">
        <v>136</v>
      </c>
      <c r="BZ1413" t="s">
        <v>137</v>
      </c>
    </row>
    <row r="1414" spans="1:78" x14ac:dyDescent="0.2">
      <c r="A1414" t="s">
        <v>119</v>
      </c>
      <c r="B1414" t="s">
        <v>120</v>
      </c>
      <c r="C1414" t="s">
        <v>3388</v>
      </c>
      <c r="D1414">
        <v>19</v>
      </c>
      <c r="E1414" t="s">
        <v>3394</v>
      </c>
      <c r="F1414" t="s">
        <v>3395</v>
      </c>
      <c r="G1414" t="s">
        <v>124</v>
      </c>
      <c r="H1414" t="s">
        <v>125</v>
      </c>
      <c r="I1414">
        <v>11</v>
      </c>
      <c r="J1414" t="s">
        <v>170</v>
      </c>
      <c r="K1414" t="s">
        <v>125</v>
      </c>
      <c r="L1414" t="s">
        <v>3396</v>
      </c>
      <c r="U1414" t="s">
        <v>149</v>
      </c>
      <c r="W1414" t="s">
        <v>135</v>
      </c>
      <c r="X1414">
        <v>3</v>
      </c>
      <c r="AC1414" t="s">
        <v>136</v>
      </c>
      <c r="AE1414" t="s">
        <v>137</v>
      </c>
    </row>
    <row r="1415" spans="1:78" x14ac:dyDescent="0.2">
      <c r="A1415" t="s">
        <v>119</v>
      </c>
      <c r="B1415" t="s">
        <v>120</v>
      </c>
      <c r="C1415" t="s">
        <v>3388</v>
      </c>
      <c r="D1415">
        <v>29</v>
      </c>
      <c r="E1415" t="s">
        <v>260</v>
      </c>
      <c r="F1415" t="s">
        <v>261</v>
      </c>
      <c r="G1415" t="s">
        <v>124</v>
      </c>
      <c r="H1415" t="s">
        <v>125</v>
      </c>
      <c r="I1415">
        <v>31</v>
      </c>
      <c r="J1415" t="s">
        <v>182</v>
      </c>
      <c r="K1415" t="s">
        <v>125</v>
      </c>
      <c r="L1415" t="s">
        <v>3397</v>
      </c>
      <c r="U1415" t="s">
        <v>149</v>
      </c>
      <c r="W1415" t="s">
        <v>155</v>
      </c>
      <c r="X1415">
        <v>1</v>
      </c>
      <c r="AC1415" t="s">
        <v>136</v>
      </c>
      <c r="AE1415" t="s">
        <v>137</v>
      </c>
    </row>
    <row r="1416" spans="1:78" hidden="1" x14ac:dyDescent="0.2">
      <c r="A1416" t="s">
        <v>119</v>
      </c>
      <c r="B1416" t="s">
        <v>120</v>
      </c>
      <c r="C1416" t="s">
        <v>3388</v>
      </c>
      <c r="D1416">
        <v>52</v>
      </c>
      <c r="E1416" t="s">
        <v>3398</v>
      </c>
      <c r="F1416" t="s">
        <v>3399</v>
      </c>
      <c r="G1416" t="s">
        <v>124</v>
      </c>
      <c r="H1416" t="s">
        <v>125</v>
      </c>
      <c r="I1416">
        <v>42</v>
      </c>
      <c r="J1416" t="s">
        <v>386</v>
      </c>
      <c r="K1416" t="s">
        <v>125</v>
      </c>
      <c r="L1416" t="s">
        <v>3400</v>
      </c>
      <c r="T1416" t="s">
        <v>142</v>
      </c>
      <c r="W1416" t="s">
        <v>155</v>
      </c>
      <c r="AC1416" t="s">
        <v>143</v>
      </c>
      <c r="AE1416" t="s">
        <v>144</v>
      </c>
      <c r="AG1416">
        <v>51</v>
      </c>
      <c r="AH1416" t="s">
        <v>2354</v>
      </c>
      <c r="AI1416" t="s">
        <v>350</v>
      </c>
      <c r="AJ1416" t="s">
        <v>131</v>
      </c>
      <c r="AK1416" t="s">
        <v>125</v>
      </c>
      <c r="AL1416">
        <v>52</v>
      </c>
      <c r="AM1416" t="s">
        <v>132</v>
      </c>
      <c r="AN1416" t="s">
        <v>125</v>
      </c>
      <c r="AO1416" t="s">
        <v>3401</v>
      </c>
      <c r="BP1416" t="s">
        <v>149</v>
      </c>
      <c r="BR1416" t="s">
        <v>155</v>
      </c>
      <c r="BS1416">
        <v>3</v>
      </c>
      <c r="BX1416" t="s">
        <v>136</v>
      </c>
      <c r="BZ1416" t="s">
        <v>137</v>
      </c>
    </row>
    <row r="1417" spans="1:78" x14ac:dyDescent="0.2">
      <c r="A1417" t="s">
        <v>119</v>
      </c>
      <c r="B1417" t="s">
        <v>120</v>
      </c>
      <c r="C1417" t="s">
        <v>3402</v>
      </c>
      <c r="D1417">
        <v>8</v>
      </c>
      <c r="E1417" t="s">
        <v>204</v>
      </c>
      <c r="F1417" t="s">
        <v>205</v>
      </c>
      <c r="G1417" t="s">
        <v>124</v>
      </c>
      <c r="H1417" t="s">
        <v>125</v>
      </c>
      <c r="I1417">
        <v>0</v>
      </c>
      <c r="J1417" t="s">
        <v>126</v>
      </c>
      <c r="K1417" t="s">
        <v>125</v>
      </c>
      <c r="L1417" t="s">
        <v>3403</v>
      </c>
      <c r="U1417" t="s">
        <v>149</v>
      </c>
      <c r="W1417" t="s">
        <v>135</v>
      </c>
      <c r="X1417">
        <v>1</v>
      </c>
      <c r="AC1417" t="s">
        <v>136</v>
      </c>
      <c r="AE1417" t="s">
        <v>137</v>
      </c>
    </row>
    <row r="1418" spans="1:78" x14ac:dyDescent="0.2">
      <c r="A1418" t="s">
        <v>119</v>
      </c>
      <c r="B1418" t="s">
        <v>120</v>
      </c>
      <c r="C1418" t="s">
        <v>3402</v>
      </c>
      <c r="D1418">
        <v>23</v>
      </c>
      <c r="E1418" t="s">
        <v>3404</v>
      </c>
      <c r="F1418" t="s">
        <v>3405</v>
      </c>
      <c r="G1418" t="s">
        <v>124</v>
      </c>
      <c r="H1418" t="s">
        <v>125</v>
      </c>
      <c r="I1418">
        <v>21</v>
      </c>
      <c r="J1418" t="s">
        <v>302</v>
      </c>
      <c r="K1418" t="s">
        <v>125</v>
      </c>
      <c r="L1418" t="s">
        <v>3406</v>
      </c>
      <c r="U1418" t="s">
        <v>309</v>
      </c>
      <c r="W1418" t="s">
        <v>135</v>
      </c>
      <c r="X1418">
        <v>3</v>
      </c>
      <c r="AC1418" t="s">
        <v>136</v>
      </c>
      <c r="AE1418" t="s">
        <v>137</v>
      </c>
    </row>
    <row r="1419" spans="1:78" hidden="1" x14ac:dyDescent="0.2">
      <c r="A1419" t="s">
        <v>119</v>
      </c>
      <c r="B1419" t="s">
        <v>120</v>
      </c>
      <c r="C1419" t="s">
        <v>3407</v>
      </c>
      <c r="D1419">
        <v>2</v>
      </c>
      <c r="E1419" t="s">
        <v>202</v>
      </c>
      <c r="F1419" t="s">
        <v>202</v>
      </c>
      <c r="G1419" t="s">
        <v>124</v>
      </c>
      <c r="H1419" t="s">
        <v>125</v>
      </c>
      <c r="I1419">
        <v>0</v>
      </c>
      <c r="J1419" t="s">
        <v>126</v>
      </c>
      <c r="K1419" t="s">
        <v>125</v>
      </c>
      <c r="L1419" t="s">
        <v>3408</v>
      </c>
      <c r="AE1419" t="s">
        <v>128</v>
      </c>
      <c r="AG1419">
        <v>1</v>
      </c>
      <c r="AH1419" t="s">
        <v>2735</v>
      </c>
      <c r="AI1419" t="s">
        <v>130</v>
      </c>
      <c r="AJ1419" t="s">
        <v>131</v>
      </c>
      <c r="AK1419" t="s">
        <v>125</v>
      </c>
      <c r="AL1419">
        <v>2</v>
      </c>
      <c r="AM1419" t="s">
        <v>132</v>
      </c>
      <c r="AN1419" t="s">
        <v>125</v>
      </c>
      <c r="AO1419" t="s">
        <v>3409</v>
      </c>
      <c r="BP1419" t="s">
        <v>149</v>
      </c>
      <c r="BR1419" t="s">
        <v>135</v>
      </c>
      <c r="BS1419">
        <v>3</v>
      </c>
      <c r="BX1419" t="s">
        <v>136</v>
      </c>
      <c r="BZ1419" t="s">
        <v>137</v>
      </c>
    </row>
    <row r="1420" spans="1:78" hidden="1" x14ac:dyDescent="0.2">
      <c r="A1420" t="s">
        <v>119</v>
      </c>
      <c r="B1420" t="s">
        <v>120</v>
      </c>
      <c r="C1420" t="s">
        <v>3407</v>
      </c>
      <c r="D1420">
        <v>5</v>
      </c>
      <c r="E1420" t="s">
        <v>407</v>
      </c>
      <c r="F1420" t="s">
        <v>140</v>
      </c>
      <c r="G1420" t="s">
        <v>124</v>
      </c>
      <c r="H1420" t="s">
        <v>125</v>
      </c>
      <c r="I1420">
        <v>2</v>
      </c>
      <c r="J1420" t="s">
        <v>268</v>
      </c>
      <c r="K1420" t="s">
        <v>125</v>
      </c>
      <c r="L1420" t="s">
        <v>3410</v>
      </c>
      <c r="T1420" t="s">
        <v>154</v>
      </c>
      <c r="W1420" t="s">
        <v>135</v>
      </c>
      <c r="AC1420" t="s">
        <v>143</v>
      </c>
      <c r="AE1420" t="s">
        <v>144</v>
      </c>
      <c r="AG1420">
        <v>4</v>
      </c>
      <c r="AH1420" t="s">
        <v>218</v>
      </c>
      <c r="AI1420" t="s">
        <v>205</v>
      </c>
      <c r="AJ1420" t="s">
        <v>131</v>
      </c>
      <c r="AK1420" t="s">
        <v>125</v>
      </c>
      <c r="AL1420">
        <v>5</v>
      </c>
      <c r="AM1420" t="s">
        <v>132</v>
      </c>
      <c r="AN1420" t="s">
        <v>125</v>
      </c>
      <c r="AO1420" t="s">
        <v>3411</v>
      </c>
      <c r="BP1420" t="s">
        <v>149</v>
      </c>
      <c r="BR1420" t="s">
        <v>155</v>
      </c>
      <c r="BS1420">
        <v>3</v>
      </c>
      <c r="BX1420" t="s">
        <v>136</v>
      </c>
      <c r="BZ1420" t="s">
        <v>137</v>
      </c>
    </row>
    <row r="1421" spans="1:78" hidden="1" x14ac:dyDescent="0.2">
      <c r="A1421" t="s">
        <v>119</v>
      </c>
      <c r="B1421" t="s">
        <v>120</v>
      </c>
      <c r="C1421" t="s">
        <v>3412</v>
      </c>
      <c r="D1421">
        <v>4</v>
      </c>
      <c r="E1421" t="s">
        <v>1696</v>
      </c>
      <c r="F1421" t="s">
        <v>194</v>
      </c>
      <c r="G1421" t="s">
        <v>124</v>
      </c>
      <c r="H1421" t="s">
        <v>125</v>
      </c>
      <c r="I1421">
        <v>0</v>
      </c>
      <c r="J1421" t="s">
        <v>126</v>
      </c>
      <c r="K1421" t="s">
        <v>125</v>
      </c>
      <c r="L1421" t="s">
        <v>3413</v>
      </c>
      <c r="W1421" t="s">
        <v>155</v>
      </c>
      <c r="AG1421">
        <v>2</v>
      </c>
      <c r="AH1421" t="s">
        <v>666</v>
      </c>
      <c r="AI1421" t="s">
        <v>667</v>
      </c>
      <c r="AJ1421" t="s">
        <v>131</v>
      </c>
      <c r="AK1421" t="s">
        <v>125</v>
      </c>
      <c r="AL1421">
        <v>4</v>
      </c>
      <c r="AM1421" t="s">
        <v>132</v>
      </c>
      <c r="AN1421" t="s">
        <v>125</v>
      </c>
      <c r="AO1421" t="s">
        <v>3414</v>
      </c>
      <c r="BP1421" t="s">
        <v>149</v>
      </c>
      <c r="BR1421" t="s">
        <v>135</v>
      </c>
      <c r="BS1421">
        <v>1</v>
      </c>
      <c r="BX1421" t="s">
        <v>209</v>
      </c>
      <c r="BZ1421" t="s">
        <v>137</v>
      </c>
    </row>
    <row r="1422" spans="1:78" x14ac:dyDescent="0.2">
      <c r="A1422" t="s">
        <v>119</v>
      </c>
      <c r="B1422" t="s">
        <v>120</v>
      </c>
      <c r="C1422" t="s">
        <v>3412</v>
      </c>
      <c r="D1422">
        <v>22</v>
      </c>
      <c r="E1422" t="s">
        <v>3415</v>
      </c>
      <c r="F1422" t="s">
        <v>1861</v>
      </c>
      <c r="G1422" t="s">
        <v>124</v>
      </c>
      <c r="H1422" t="s">
        <v>125</v>
      </c>
      <c r="I1422">
        <v>4</v>
      </c>
      <c r="J1422" t="s">
        <v>268</v>
      </c>
      <c r="K1422" t="s">
        <v>125</v>
      </c>
      <c r="L1422" t="s">
        <v>3416</v>
      </c>
      <c r="U1422" t="s">
        <v>149</v>
      </c>
      <c r="W1422" t="s">
        <v>155</v>
      </c>
      <c r="X1422">
        <v>3</v>
      </c>
      <c r="AC1422" t="s">
        <v>136</v>
      </c>
      <c r="AE1422" t="s">
        <v>137</v>
      </c>
      <c r="AG1422">
        <v>27</v>
      </c>
      <c r="AH1422" t="s">
        <v>160</v>
      </c>
      <c r="AI1422" t="s">
        <v>146</v>
      </c>
      <c r="AJ1422" t="s">
        <v>131</v>
      </c>
      <c r="AK1422" t="s">
        <v>125</v>
      </c>
      <c r="AL1422">
        <v>22</v>
      </c>
      <c r="AM1422" t="s">
        <v>268</v>
      </c>
      <c r="AN1422" t="s">
        <v>125</v>
      </c>
      <c r="AO1422" t="s">
        <v>3417</v>
      </c>
      <c r="BP1422" t="s">
        <v>149</v>
      </c>
      <c r="BR1422" t="s">
        <v>155</v>
      </c>
      <c r="BS1422">
        <v>3</v>
      </c>
      <c r="BX1422" t="s">
        <v>136</v>
      </c>
      <c r="BZ1422" t="s">
        <v>137</v>
      </c>
    </row>
    <row r="1423" spans="1:78" x14ac:dyDescent="0.2">
      <c r="A1423" t="s">
        <v>119</v>
      </c>
      <c r="B1423" t="s">
        <v>120</v>
      </c>
      <c r="C1423" t="s">
        <v>3418</v>
      </c>
      <c r="D1423">
        <v>1</v>
      </c>
      <c r="E1423" t="s">
        <v>1360</v>
      </c>
      <c r="F1423" t="s">
        <v>350</v>
      </c>
      <c r="G1423" t="s">
        <v>124</v>
      </c>
      <c r="H1423" t="s">
        <v>125</v>
      </c>
      <c r="I1423">
        <v>0</v>
      </c>
      <c r="J1423" t="s">
        <v>126</v>
      </c>
      <c r="K1423" t="s">
        <v>125</v>
      </c>
      <c r="L1423" t="s">
        <v>3419</v>
      </c>
      <c r="U1423" t="s">
        <v>149</v>
      </c>
      <c r="W1423" t="s">
        <v>135</v>
      </c>
      <c r="X1423">
        <v>3</v>
      </c>
      <c r="AC1423" t="s">
        <v>136</v>
      </c>
      <c r="AE1423" t="s">
        <v>137</v>
      </c>
    </row>
    <row r="1424" spans="1:78" x14ac:dyDescent="0.2">
      <c r="A1424" t="s">
        <v>119</v>
      </c>
      <c r="B1424" t="s">
        <v>120</v>
      </c>
      <c r="C1424" t="s">
        <v>3418</v>
      </c>
      <c r="D1424">
        <v>4</v>
      </c>
      <c r="E1424" t="s">
        <v>3420</v>
      </c>
      <c r="F1424" t="s">
        <v>3421</v>
      </c>
      <c r="G1424" t="s">
        <v>124</v>
      </c>
      <c r="H1424" t="s">
        <v>125</v>
      </c>
      <c r="I1424">
        <v>1</v>
      </c>
      <c r="J1424" t="s">
        <v>199</v>
      </c>
      <c r="K1424" t="s">
        <v>125</v>
      </c>
      <c r="L1424" t="s">
        <v>3422</v>
      </c>
      <c r="U1424" t="s">
        <v>149</v>
      </c>
      <c r="W1424" t="s">
        <v>135</v>
      </c>
      <c r="X1424">
        <v>3</v>
      </c>
      <c r="AC1424" t="s">
        <v>136</v>
      </c>
      <c r="AE1424" t="s">
        <v>137</v>
      </c>
    </row>
    <row r="1425" spans="1:78" hidden="1" x14ac:dyDescent="0.2">
      <c r="A1425" t="s">
        <v>119</v>
      </c>
      <c r="B1425" t="s">
        <v>120</v>
      </c>
      <c r="C1425" t="s">
        <v>3423</v>
      </c>
      <c r="D1425">
        <v>4</v>
      </c>
      <c r="E1425" t="s">
        <v>2682</v>
      </c>
      <c r="F1425" t="s">
        <v>419</v>
      </c>
      <c r="G1425" t="s">
        <v>124</v>
      </c>
      <c r="H1425" t="s">
        <v>125</v>
      </c>
      <c r="I1425">
        <v>0</v>
      </c>
      <c r="J1425" t="s">
        <v>126</v>
      </c>
      <c r="K1425" t="s">
        <v>125</v>
      </c>
      <c r="L1425" t="s">
        <v>3424</v>
      </c>
      <c r="AE1425" t="s">
        <v>394</v>
      </c>
      <c r="AG1425">
        <v>3</v>
      </c>
      <c r="AH1425" t="s">
        <v>323</v>
      </c>
      <c r="AI1425" t="s">
        <v>283</v>
      </c>
      <c r="AJ1425" t="s">
        <v>131</v>
      </c>
      <c r="AK1425" t="s">
        <v>125</v>
      </c>
      <c r="AL1425">
        <v>4</v>
      </c>
      <c r="AM1425" t="s">
        <v>132</v>
      </c>
      <c r="AN1425" t="s">
        <v>125</v>
      </c>
      <c r="AO1425" t="s">
        <v>3425</v>
      </c>
      <c r="BP1425" t="s">
        <v>149</v>
      </c>
      <c r="BR1425" t="s">
        <v>135</v>
      </c>
      <c r="BS1425">
        <v>1</v>
      </c>
      <c r="BX1425" t="s">
        <v>136</v>
      </c>
      <c r="BZ1425" t="s">
        <v>137</v>
      </c>
    </row>
    <row r="1426" spans="1:78" x14ac:dyDescent="0.2">
      <c r="A1426" t="s">
        <v>119</v>
      </c>
      <c r="B1426" t="s">
        <v>120</v>
      </c>
      <c r="C1426" t="s">
        <v>3423</v>
      </c>
      <c r="D1426">
        <v>5</v>
      </c>
      <c r="E1426" t="s">
        <v>204</v>
      </c>
      <c r="F1426" t="s">
        <v>205</v>
      </c>
      <c r="G1426" t="s">
        <v>124</v>
      </c>
      <c r="H1426" t="s">
        <v>125</v>
      </c>
      <c r="I1426">
        <v>4</v>
      </c>
      <c r="J1426" t="s">
        <v>264</v>
      </c>
      <c r="K1426" t="s">
        <v>125</v>
      </c>
      <c r="L1426" t="s">
        <v>626</v>
      </c>
      <c r="U1426" t="s">
        <v>149</v>
      </c>
      <c r="W1426" t="s">
        <v>135</v>
      </c>
      <c r="X1426">
        <v>1</v>
      </c>
      <c r="AC1426" t="s">
        <v>136</v>
      </c>
      <c r="AE1426" t="s">
        <v>137</v>
      </c>
    </row>
    <row r="1427" spans="1:78" x14ac:dyDescent="0.2">
      <c r="A1427" t="s">
        <v>119</v>
      </c>
      <c r="B1427" t="s">
        <v>120</v>
      </c>
      <c r="C1427" t="s">
        <v>3423</v>
      </c>
      <c r="D1427">
        <v>12</v>
      </c>
      <c r="E1427" t="s">
        <v>3426</v>
      </c>
      <c r="F1427" t="s">
        <v>2279</v>
      </c>
      <c r="G1427" t="s">
        <v>124</v>
      </c>
      <c r="H1427" t="s">
        <v>125</v>
      </c>
      <c r="I1427">
        <v>4</v>
      </c>
      <c r="J1427" t="s">
        <v>199</v>
      </c>
      <c r="K1427" t="s">
        <v>125</v>
      </c>
      <c r="L1427" t="s">
        <v>3427</v>
      </c>
      <c r="U1427" t="s">
        <v>149</v>
      </c>
      <c r="W1427" t="s">
        <v>135</v>
      </c>
      <c r="X1427">
        <v>3</v>
      </c>
      <c r="AC1427" t="s">
        <v>136</v>
      </c>
      <c r="AE1427" t="s">
        <v>137</v>
      </c>
    </row>
    <row r="1428" spans="1:78" x14ac:dyDescent="0.2">
      <c r="A1428" t="s">
        <v>119</v>
      </c>
      <c r="B1428" t="s">
        <v>120</v>
      </c>
      <c r="C1428" t="s">
        <v>3428</v>
      </c>
      <c r="D1428">
        <v>6</v>
      </c>
      <c r="E1428" t="s">
        <v>3429</v>
      </c>
      <c r="F1428" t="s">
        <v>2619</v>
      </c>
      <c r="G1428" t="s">
        <v>124</v>
      </c>
      <c r="H1428" t="s">
        <v>125</v>
      </c>
      <c r="I1428">
        <v>0</v>
      </c>
      <c r="J1428" t="s">
        <v>126</v>
      </c>
      <c r="K1428" t="s">
        <v>125</v>
      </c>
      <c r="L1428" t="s">
        <v>637</v>
      </c>
      <c r="U1428" t="s">
        <v>149</v>
      </c>
      <c r="W1428" t="s">
        <v>135</v>
      </c>
      <c r="X1428">
        <v>1</v>
      </c>
      <c r="AC1428" t="s">
        <v>136</v>
      </c>
      <c r="AE1428" t="s">
        <v>137</v>
      </c>
    </row>
    <row r="1429" spans="1:78" hidden="1" x14ac:dyDescent="0.2">
      <c r="A1429" t="s">
        <v>119</v>
      </c>
      <c r="B1429" t="s">
        <v>120</v>
      </c>
      <c r="C1429" t="s">
        <v>3428</v>
      </c>
      <c r="D1429">
        <v>8</v>
      </c>
      <c r="E1429" t="s">
        <v>3430</v>
      </c>
      <c r="F1429" t="s">
        <v>3430</v>
      </c>
      <c r="G1429" t="s">
        <v>124</v>
      </c>
      <c r="H1429" t="s">
        <v>125</v>
      </c>
      <c r="I1429">
        <v>6</v>
      </c>
      <c r="J1429" t="s">
        <v>294</v>
      </c>
      <c r="K1429" t="s">
        <v>125</v>
      </c>
      <c r="L1429" t="s">
        <v>3431</v>
      </c>
      <c r="AE1429" t="s">
        <v>128</v>
      </c>
    </row>
    <row r="1430" spans="1:78" hidden="1" x14ac:dyDescent="0.2">
      <c r="A1430" t="s">
        <v>119</v>
      </c>
      <c r="B1430" t="s">
        <v>120</v>
      </c>
      <c r="C1430" t="s">
        <v>3428</v>
      </c>
      <c r="D1430">
        <v>10</v>
      </c>
      <c r="E1430" t="s">
        <v>3181</v>
      </c>
      <c r="F1430" t="s">
        <v>3181</v>
      </c>
      <c r="G1430" t="s">
        <v>124</v>
      </c>
      <c r="H1430" t="s">
        <v>125</v>
      </c>
      <c r="I1430">
        <v>8</v>
      </c>
      <c r="J1430" t="s">
        <v>161</v>
      </c>
      <c r="K1430" t="s">
        <v>125</v>
      </c>
      <c r="L1430" t="s">
        <v>3432</v>
      </c>
      <c r="AE1430" t="s">
        <v>128</v>
      </c>
    </row>
    <row r="1431" spans="1:78" hidden="1" x14ac:dyDescent="0.2">
      <c r="A1431" t="s">
        <v>119</v>
      </c>
      <c r="B1431" t="s">
        <v>120</v>
      </c>
      <c r="C1431" t="s">
        <v>3428</v>
      </c>
      <c r="D1431">
        <v>13</v>
      </c>
      <c r="E1431" t="s">
        <v>3433</v>
      </c>
      <c r="F1431" t="s">
        <v>3433</v>
      </c>
      <c r="G1431" t="s">
        <v>124</v>
      </c>
      <c r="H1431" t="s">
        <v>125</v>
      </c>
      <c r="I1431">
        <v>10</v>
      </c>
      <c r="J1431" t="s">
        <v>161</v>
      </c>
      <c r="K1431" t="s">
        <v>125</v>
      </c>
      <c r="L1431" t="s">
        <v>3434</v>
      </c>
      <c r="AE1431" t="s">
        <v>128</v>
      </c>
    </row>
    <row r="1432" spans="1:78" x14ac:dyDescent="0.2">
      <c r="A1432" t="s">
        <v>119</v>
      </c>
      <c r="B1432" t="s">
        <v>120</v>
      </c>
      <c r="C1432" t="s">
        <v>3435</v>
      </c>
      <c r="D1432">
        <v>3</v>
      </c>
      <c r="E1432" t="s">
        <v>591</v>
      </c>
      <c r="F1432" t="s">
        <v>592</v>
      </c>
      <c r="G1432" t="s">
        <v>124</v>
      </c>
      <c r="H1432" t="s">
        <v>125</v>
      </c>
      <c r="I1432">
        <v>16</v>
      </c>
      <c r="J1432" t="s">
        <v>268</v>
      </c>
      <c r="K1432" t="s">
        <v>125</v>
      </c>
      <c r="L1432" t="s">
        <v>3436</v>
      </c>
      <c r="U1432" t="s">
        <v>149</v>
      </c>
      <c r="W1432" t="s">
        <v>135</v>
      </c>
      <c r="X1432">
        <v>3</v>
      </c>
      <c r="AC1432" t="s">
        <v>136</v>
      </c>
      <c r="AE1432" t="s">
        <v>137</v>
      </c>
    </row>
    <row r="1433" spans="1:78" hidden="1" x14ac:dyDescent="0.2">
      <c r="A1433" t="s">
        <v>119</v>
      </c>
      <c r="B1433" t="s">
        <v>120</v>
      </c>
      <c r="C1433" t="s">
        <v>3435</v>
      </c>
      <c r="D1433">
        <v>8</v>
      </c>
      <c r="E1433" t="s">
        <v>3437</v>
      </c>
      <c r="F1433" t="s">
        <v>3438</v>
      </c>
      <c r="G1433" t="s">
        <v>124</v>
      </c>
      <c r="H1433" t="s">
        <v>125</v>
      </c>
      <c r="I1433">
        <v>17</v>
      </c>
      <c r="J1433" t="s">
        <v>268</v>
      </c>
      <c r="K1433" t="s">
        <v>125</v>
      </c>
      <c r="L1433" t="s">
        <v>3439</v>
      </c>
      <c r="T1433" t="s">
        <v>154</v>
      </c>
      <c r="W1433" t="s">
        <v>135</v>
      </c>
      <c r="AC1433" t="s">
        <v>143</v>
      </c>
      <c r="AE1433" t="s">
        <v>144</v>
      </c>
      <c r="AG1433">
        <v>7</v>
      </c>
      <c r="AH1433" t="s">
        <v>145</v>
      </c>
      <c r="AI1433" t="s">
        <v>146</v>
      </c>
      <c r="AJ1433" t="s">
        <v>131</v>
      </c>
      <c r="AK1433" t="s">
        <v>125</v>
      </c>
      <c r="AL1433">
        <v>8</v>
      </c>
      <c r="AM1433" t="s">
        <v>132</v>
      </c>
      <c r="AN1433" t="s">
        <v>125</v>
      </c>
      <c r="AO1433" t="s">
        <v>3440</v>
      </c>
      <c r="BP1433" t="s">
        <v>149</v>
      </c>
      <c r="BR1433" t="s">
        <v>135</v>
      </c>
      <c r="BS1433">
        <v>3</v>
      </c>
      <c r="BX1433" t="s">
        <v>136</v>
      </c>
      <c r="BZ1433" t="s">
        <v>137</v>
      </c>
    </row>
    <row r="1434" spans="1:78" hidden="1" x14ac:dyDescent="0.2">
      <c r="A1434" t="s">
        <v>119</v>
      </c>
      <c r="B1434" t="s">
        <v>120</v>
      </c>
      <c r="C1434" t="s">
        <v>3435</v>
      </c>
      <c r="D1434">
        <v>19</v>
      </c>
      <c r="E1434" t="s">
        <v>2936</v>
      </c>
      <c r="F1434" t="s">
        <v>2937</v>
      </c>
      <c r="G1434" t="s">
        <v>124</v>
      </c>
      <c r="H1434" t="s">
        <v>125</v>
      </c>
      <c r="I1434">
        <v>16</v>
      </c>
      <c r="J1434" t="s">
        <v>161</v>
      </c>
      <c r="K1434" t="s">
        <v>125</v>
      </c>
      <c r="L1434" t="s">
        <v>3441</v>
      </c>
      <c r="AE1434" t="s">
        <v>394</v>
      </c>
    </row>
    <row r="1435" spans="1:78" x14ac:dyDescent="0.2">
      <c r="A1435" t="s">
        <v>119</v>
      </c>
      <c r="B1435" t="s">
        <v>120</v>
      </c>
      <c r="C1435" t="s">
        <v>3442</v>
      </c>
      <c r="D1435">
        <v>1</v>
      </c>
      <c r="E1435" t="s">
        <v>1360</v>
      </c>
      <c r="F1435" t="s">
        <v>350</v>
      </c>
      <c r="G1435" t="s">
        <v>124</v>
      </c>
      <c r="H1435" t="s">
        <v>125</v>
      </c>
      <c r="I1435">
        <v>0</v>
      </c>
      <c r="J1435" t="s">
        <v>126</v>
      </c>
      <c r="K1435" t="s">
        <v>125</v>
      </c>
      <c r="L1435" t="s">
        <v>3443</v>
      </c>
      <c r="U1435" t="s">
        <v>149</v>
      </c>
      <c r="W1435" t="s">
        <v>135</v>
      </c>
      <c r="X1435">
        <v>3</v>
      </c>
      <c r="AC1435" t="s">
        <v>136</v>
      </c>
      <c r="AE1435" t="s">
        <v>137</v>
      </c>
    </row>
    <row r="1436" spans="1:78" x14ac:dyDescent="0.2">
      <c r="A1436" t="s">
        <v>119</v>
      </c>
      <c r="B1436" t="s">
        <v>120</v>
      </c>
      <c r="C1436" t="s">
        <v>3444</v>
      </c>
      <c r="D1436">
        <v>1</v>
      </c>
      <c r="E1436" t="s">
        <v>1360</v>
      </c>
      <c r="F1436" t="s">
        <v>350</v>
      </c>
      <c r="G1436" t="s">
        <v>124</v>
      </c>
      <c r="H1436" t="s">
        <v>125</v>
      </c>
      <c r="I1436">
        <v>0</v>
      </c>
      <c r="J1436" t="s">
        <v>126</v>
      </c>
      <c r="K1436" t="s">
        <v>125</v>
      </c>
      <c r="L1436" t="s">
        <v>3445</v>
      </c>
      <c r="U1436" t="s">
        <v>149</v>
      </c>
      <c r="W1436" t="s">
        <v>135</v>
      </c>
      <c r="X1436">
        <v>3</v>
      </c>
      <c r="AC1436" t="s">
        <v>136</v>
      </c>
      <c r="AE1436" t="s">
        <v>137</v>
      </c>
    </row>
    <row r="1437" spans="1:78" x14ac:dyDescent="0.2">
      <c r="A1437" t="s">
        <v>119</v>
      </c>
      <c r="B1437" t="s">
        <v>120</v>
      </c>
      <c r="C1437" t="s">
        <v>3446</v>
      </c>
      <c r="D1437">
        <v>2</v>
      </c>
      <c r="E1437" t="s">
        <v>3447</v>
      </c>
      <c r="F1437" t="s">
        <v>3448</v>
      </c>
      <c r="G1437" t="s">
        <v>124</v>
      </c>
      <c r="H1437" t="s">
        <v>125</v>
      </c>
      <c r="I1437">
        <v>0</v>
      </c>
      <c r="J1437" t="s">
        <v>126</v>
      </c>
      <c r="K1437" t="s">
        <v>125</v>
      </c>
      <c r="L1437" t="s">
        <v>3449</v>
      </c>
      <c r="U1437" t="s">
        <v>149</v>
      </c>
      <c r="W1437" t="s">
        <v>155</v>
      </c>
      <c r="X1437">
        <v>1</v>
      </c>
      <c r="AC1437" t="s">
        <v>136</v>
      </c>
      <c r="AE1437" t="s">
        <v>137</v>
      </c>
    </row>
    <row r="1438" spans="1:78" x14ac:dyDescent="0.2">
      <c r="A1438" t="s">
        <v>119</v>
      </c>
      <c r="B1438" t="s">
        <v>120</v>
      </c>
      <c r="C1438" t="s">
        <v>3446</v>
      </c>
      <c r="D1438">
        <v>7</v>
      </c>
      <c r="E1438" t="s">
        <v>145</v>
      </c>
      <c r="F1438" t="s">
        <v>146</v>
      </c>
      <c r="G1438" t="s">
        <v>124</v>
      </c>
      <c r="H1438" t="s">
        <v>125</v>
      </c>
      <c r="I1438">
        <v>2</v>
      </c>
      <c r="J1438" t="s">
        <v>161</v>
      </c>
      <c r="K1438" t="s">
        <v>125</v>
      </c>
      <c r="L1438" t="s">
        <v>3128</v>
      </c>
      <c r="U1438" t="s">
        <v>149</v>
      </c>
      <c r="W1438" t="s">
        <v>135</v>
      </c>
      <c r="X1438">
        <v>3</v>
      </c>
      <c r="AC1438" t="s">
        <v>136</v>
      </c>
      <c r="AE1438" t="s">
        <v>137</v>
      </c>
    </row>
    <row r="1439" spans="1:78" x14ac:dyDescent="0.2">
      <c r="A1439" t="s">
        <v>119</v>
      </c>
      <c r="B1439" t="s">
        <v>120</v>
      </c>
      <c r="C1439" t="s">
        <v>3450</v>
      </c>
      <c r="D1439">
        <v>1</v>
      </c>
      <c r="E1439" t="s">
        <v>3041</v>
      </c>
      <c r="F1439" t="s">
        <v>723</v>
      </c>
      <c r="G1439" t="s">
        <v>124</v>
      </c>
      <c r="H1439" t="s">
        <v>125</v>
      </c>
      <c r="I1439">
        <v>0</v>
      </c>
      <c r="J1439" t="s">
        <v>126</v>
      </c>
      <c r="K1439" t="s">
        <v>125</v>
      </c>
      <c r="L1439" t="s">
        <v>3451</v>
      </c>
      <c r="U1439" t="s">
        <v>209</v>
      </c>
      <c r="W1439" t="s">
        <v>155</v>
      </c>
      <c r="X1439">
        <v>1</v>
      </c>
      <c r="AC1439" t="s">
        <v>136</v>
      </c>
      <c r="AE1439" t="s">
        <v>137</v>
      </c>
    </row>
    <row r="1440" spans="1:78" hidden="1" x14ac:dyDescent="0.2">
      <c r="A1440" t="s">
        <v>119</v>
      </c>
      <c r="B1440" t="s">
        <v>120</v>
      </c>
      <c r="C1440" t="s">
        <v>3450</v>
      </c>
      <c r="D1440">
        <v>3</v>
      </c>
      <c r="E1440" t="s">
        <v>186</v>
      </c>
      <c r="F1440" t="s">
        <v>186</v>
      </c>
      <c r="G1440" t="s">
        <v>124</v>
      </c>
      <c r="H1440" t="s">
        <v>125</v>
      </c>
      <c r="I1440">
        <v>1</v>
      </c>
      <c r="J1440" t="s">
        <v>294</v>
      </c>
      <c r="K1440" t="s">
        <v>125</v>
      </c>
      <c r="L1440" t="s">
        <v>3452</v>
      </c>
      <c r="AE1440" t="s">
        <v>128</v>
      </c>
    </row>
    <row r="1441" spans="1:78" x14ac:dyDescent="0.2">
      <c r="A1441" t="s">
        <v>119</v>
      </c>
      <c r="B1441" t="s">
        <v>120</v>
      </c>
      <c r="C1441" t="s">
        <v>3453</v>
      </c>
      <c r="D1441">
        <v>6</v>
      </c>
      <c r="E1441" t="s">
        <v>218</v>
      </c>
      <c r="F1441" t="s">
        <v>205</v>
      </c>
      <c r="G1441" t="s">
        <v>124</v>
      </c>
      <c r="H1441" t="s">
        <v>125</v>
      </c>
      <c r="I1441">
        <v>0</v>
      </c>
      <c r="J1441" t="s">
        <v>126</v>
      </c>
      <c r="K1441" t="s">
        <v>125</v>
      </c>
      <c r="L1441" t="s">
        <v>3454</v>
      </c>
      <c r="U1441" t="s">
        <v>149</v>
      </c>
      <c r="W1441" t="s">
        <v>155</v>
      </c>
      <c r="X1441">
        <v>3</v>
      </c>
      <c r="AC1441" t="s">
        <v>136</v>
      </c>
      <c r="AE1441" t="s">
        <v>137</v>
      </c>
    </row>
    <row r="1442" spans="1:78" x14ac:dyDescent="0.2">
      <c r="A1442" t="s">
        <v>119</v>
      </c>
      <c r="B1442" t="s">
        <v>120</v>
      </c>
      <c r="C1442" t="s">
        <v>3455</v>
      </c>
      <c r="D1442">
        <v>8</v>
      </c>
      <c r="E1442" t="s">
        <v>3456</v>
      </c>
      <c r="F1442" t="s">
        <v>3457</v>
      </c>
      <c r="G1442" t="s">
        <v>124</v>
      </c>
      <c r="H1442" t="s">
        <v>125</v>
      </c>
      <c r="I1442">
        <v>4</v>
      </c>
      <c r="J1442" t="s">
        <v>170</v>
      </c>
      <c r="K1442" t="s">
        <v>125</v>
      </c>
      <c r="L1442" t="s">
        <v>3458</v>
      </c>
      <c r="U1442" t="s">
        <v>309</v>
      </c>
      <c r="W1442" t="s">
        <v>135</v>
      </c>
      <c r="X1442">
        <v>3</v>
      </c>
      <c r="AC1442" t="s">
        <v>136</v>
      </c>
      <c r="AE1442" t="s">
        <v>137</v>
      </c>
    </row>
    <row r="1443" spans="1:78" hidden="1" x14ac:dyDescent="0.2">
      <c r="A1443" t="s">
        <v>119</v>
      </c>
      <c r="B1443" t="s">
        <v>120</v>
      </c>
      <c r="C1443" t="s">
        <v>3459</v>
      </c>
      <c r="D1443">
        <v>2</v>
      </c>
      <c r="E1443" t="s">
        <v>861</v>
      </c>
      <c r="F1443" t="s">
        <v>140</v>
      </c>
      <c r="G1443" t="s">
        <v>124</v>
      </c>
      <c r="H1443" t="s">
        <v>125</v>
      </c>
      <c r="I1443">
        <v>0</v>
      </c>
      <c r="J1443" t="s">
        <v>126</v>
      </c>
      <c r="K1443" t="s">
        <v>125</v>
      </c>
      <c r="L1443" t="s">
        <v>3460</v>
      </c>
      <c r="AE1443" t="s">
        <v>128</v>
      </c>
      <c r="AG1443">
        <v>1</v>
      </c>
      <c r="AH1443" t="s">
        <v>3461</v>
      </c>
      <c r="AI1443" t="s">
        <v>572</v>
      </c>
      <c r="AJ1443" t="s">
        <v>131</v>
      </c>
      <c r="AK1443" t="s">
        <v>125</v>
      </c>
      <c r="AL1443">
        <v>2</v>
      </c>
      <c r="AM1443" t="s">
        <v>132</v>
      </c>
      <c r="AN1443" t="s">
        <v>125</v>
      </c>
      <c r="AO1443" t="s">
        <v>3462</v>
      </c>
      <c r="BP1443" t="s">
        <v>149</v>
      </c>
      <c r="BR1443" t="s">
        <v>155</v>
      </c>
      <c r="BS1443">
        <v>1</v>
      </c>
      <c r="BX1443" t="s">
        <v>136</v>
      </c>
      <c r="BZ1443" t="s">
        <v>137</v>
      </c>
    </row>
    <row r="1444" spans="1:78" x14ac:dyDescent="0.2">
      <c r="A1444" t="s">
        <v>119</v>
      </c>
      <c r="B1444" t="s">
        <v>120</v>
      </c>
      <c r="C1444" t="s">
        <v>3463</v>
      </c>
      <c r="D1444">
        <v>4</v>
      </c>
      <c r="E1444" t="s">
        <v>3464</v>
      </c>
      <c r="F1444" t="s">
        <v>2456</v>
      </c>
      <c r="G1444" t="s">
        <v>124</v>
      </c>
      <c r="H1444" t="s">
        <v>125</v>
      </c>
      <c r="I1444">
        <v>0</v>
      </c>
      <c r="J1444" t="s">
        <v>126</v>
      </c>
      <c r="K1444" t="s">
        <v>125</v>
      </c>
      <c r="L1444" t="s">
        <v>164</v>
      </c>
      <c r="U1444" t="s">
        <v>134</v>
      </c>
      <c r="W1444" t="s">
        <v>135</v>
      </c>
      <c r="X1444">
        <v>3</v>
      </c>
      <c r="AC1444" t="s">
        <v>136</v>
      </c>
      <c r="AE1444" t="s">
        <v>137</v>
      </c>
    </row>
    <row r="1445" spans="1:78" x14ac:dyDescent="0.2">
      <c r="A1445" t="s">
        <v>119</v>
      </c>
      <c r="B1445" t="s">
        <v>120</v>
      </c>
      <c r="C1445" t="s">
        <v>3465</v>
      </c>
      <c r="D1445">
        <v>2</v>
      </c>
      <c r="E1445" t="s">
        <v>145</v>
      </c>
      <c r="F1445" t="s">
        <v>146</v>
      </c>
      <c r="G1445" t="s">
        <v>124</v>
      </c>
      <c r="H1445" t="s">
        <v>125</v>
      </c>
      <c r="I1445">
        <v>0</v>
      </c>
      <c r="J1445" t="s">
        <v>126</v>
      </c>
      <c r="K1445" t="s">
        <v>125</v>
      </c>
      <c r="L1445" t="s">
        <v>1386</v>
      </c>
      <c r="U1445" t="s">
        <v>149</v>
      </c>
      <c r="W1445" t="s">
        <v>135</v>
      </c>
      <c r="X1445">
        <v>3</v>
      </c>
      <c r="AC1445" t="s">
        <v>136</v>
      </c>
      <c r="AE1445" t="s">
        <v>137</v>
      </c>
    </row>
    <row r="1446" spans="1:78" hidden="1" x14ac:dyDescent="0.2">
      <c r="A1446" t="s">
        <v>119</v>
      </c>
      <c r="B1446" t="s">
        <v>120</v>
      </c>
      <c r="C1446" t="s">
        <v>3465</v>
      </c>
      <c r="D1446">
        <v>7</v>
      </c>
      <c r="E1446" t="s">
        <v>3466</v>
      </c>
      <c r="F1446" t="s">
        <v>3467</v>
      </c>
      <c r="G1446" t="s">
        <v>124</v>
      </c>
      <c r="H1446" t="s">
        <v>125</v>
      </c>
      <c r="I1446">
        <v>6</v>
      </c>
      <c r="J1446" t="s">
        <v>294</v>
      </c>
      <c r="K1446" t="s">
        <v>125</v>
      </c>
      <c r="L1446" t="s">
        <v>3468</v>
      </c>
      <c r="T1446" t="s">
        <v>154</v>
      </c>
      <c r="W1446" t="s">
        <v>135</v>
      </c>
      <c r="AC1446" t="s">
        <v>143</v>
      </c>
      <c r="AE1446" t="s">
        <v>144</v>
      </c>
    </row>
    <row r="1447" spans="1:78" hidden="1" x14ac:dyDescent="0.2">
      <c r="A1447" t="s">
        <v>119</v>
      </c>
      <c r="B1447" t="s">
        <v>120</v>
      </c>
      <c r="C1447" t="s">
        <v>3469</v>
      </c>
      <c r="D1447">
        <v>6</v>
      </c>
      <c r="E1447" t="s">
        <v>3470</v>
      </c>
      <c r="F1447" t="s">
        <v>3471</v>
      </c>
      <c r="G1447" t="s">
        <v>124</v>
      </c>
      <c r="H1447" t="s">
        <v>125</v>
      </c>
      <c r="I1447">
        <v>0</v>
      </c>
      <c r="J1447" t="s">
        <v>126</v>
      </c>
      <c r="K1447" t="s">
        <v>125</v>
      </c>
      <c r="L1447" t="s">
        <v>3472</v>
      </c>
      <c r="U1447" t="s">
        <v>149</v>
      </c>
      <c r="W1447" t="s">
        <v>155</v>
      </c>
      <c r="X1447">
        <v>1</v>
      </c>
      <c r="AC1447" t="s">
        <v>903</v>
      </c>
      <c r="AE1447" t="s">
        <v>137</v>
      </c>
    </row>
    <row r="1448" spans="1:78" hidden="1" x14ac:dyDescent="0.2">
      <c r="A1448" t="s">
        <v>119</v>
      </c>
      <c r="B1448" t="s">
        <v>120</v>
      </c>
      <c r="C1448" t="s">
        <v>3469</v>
      </c>
      <c r="D1448">
        <v>11</v>
      </c>
      <c r="E1448" t="s">
        <v>3473</v>
      </c>
      <c r="F1448" t="s">
        <v>3474</v>
      </c>
      <c r="G1448" t="s">
        <v>124</v>
      </c>
      <c r="H1448" t="s">
        <v>125</v>
      </c>
      <c r="I1448">
        <v>6</v>
      </c>
      <c r="J1448" t="s">
        <v>268</v>
      </c>
      <c r="K1448" t="s">
        <v>125</v>
      </c>
      <c r="L1448" t="s">
        <v>3475</v>
      </c>
      <c r="U1448" t="s">
        <v>149</v>
      </c>
      <c r="W1448" t="s">
        <v>135</v>
      </c>
      <c r="X1448">
        <v>3</v>
      </c>
      <c r="AC1448" t="s">
        <v>903</v>
      </c>
      <c r="AE1448" t="s">
        <v>137</v>
      </c>
    </row>
    <row r="1449" spans="1:78" hidden="1" x14ac:dyDescent="0.2">
      <c r="A1449" t="s">
        <v>119</v>
      </c>
      <c r="B1449" t="s">
        <v>120</v>
      </c>
      <c r="C1449" t="s">
        <v>3469</v>
      </c>
      <c r="D1449">
        <v>19</v>
      </c>
      <c r="E1449" t="s">
        <v>350</v>
      </c>
      <c r="F1449" t="s">
        <v>350</v>
      </c>
      <c r="G1449" t="s">
        <v>124</v>
      </c>
      <c r="H1449" t="s">
        <v>125</v>
      </c>
      <c r="I1449">
        <v>11</v>
      </c>
      <c r="J1449" t="s">
        <v>199</v>
      </c>
      <c r="K1449" t="s">
        <v>125</v>
      </c>
      <c r="L1449" t="s">
        <v>3476</v>
      </c>
      <c r="AE1449" t="s">
        <v>128</v>
      </c>
    </row>
    <row r="1450" spans="1:78" hidden="1" x14ac:dyDescent="0.2">
      <c r="A1450" t="s">
        <v>119</v>
      </c>
      <c r="B1450" t="s">
        <v>120</v>
      </c>
      <c r="C1450" t="s">
        <v>3469</v>
      </c>
      <c r="D1450">
        <v>21</v>
      </c>
      <c r="E1450" t="s">
        <v>1538</v>
      </c>
      <c r="F1450" t="s">
        <v>1538</v>
      </c>
      <c r="G1450" t="s">
        <v>124</v>
      </c>
      <c r="H1450" t="s">
        <v>125</v>
      </c>
      <c r="I1450">
        <v>19</v>
      </c>
      <c r="J1450" t="s">
        <v>294</v>
      </c>
      <c r="K1450" t="s">
        <v>125</v>
      </c>
      <c r="L1450" t="s">
        <v>3477</v>
      </c>
      <c r="AE1450" t="s">
        <v>128</v>
      </c>
    </row>
    <row r="1451" spans="1:78" x14ac:dyDescent="0.2">
      <c r="A1451" t="s">
        <v>119</v>
      </c>
      <c r="B1451" t="s">
        <v>120</v>
      </c>
      <c r="C1451" t="s">
        <v>3478</v>
      </c>
      <c r="D1451">
        <v>2</v>
      </c>
      <c r="E1451" t="s">
        <v>160</v>
      </c>
      <c r="F1451" t="s">
        <v>146</v>
      </c>
      <c r="G1451" t="s">
        <v>124</v>
      </c>
      <c r="H1451" t="s">
        <v>125</v>
      </c>
      <c r="I1451">
        <v>0</v>
      </c>
      <c r="J1451" t="s">
        <v>126</v>
      </c>
      <c r="K1451" t="s">
        <v>125</v>
      </c>
      <c r="L1451" t="s">
        <v>3479</v>
      </c>
      <c r="U1451" t="s">
        <v>149</v>
      </c>
      <c r="W1451" t="s">
        <v>155</v>
      </c>
      <c r="X1451">
        <v>3</v>
      </c>
      <c r="AC1451" t="s">
        <v>136</v>
      </c>
      <c r="AE1451" t="s">
        <v>137</v>
      </c>
    </row>
    <row r="1452" spans="1:78" hidden="1" x14ac:dyDescent="0.2">
      <c r="A1452" t="s">
        <v>119</v>
      </c>
      <c r="B1452" t="s">
        <v>120</v>
      </c>
      <c r="C1452" t="s">
        <v>3480</v>
      </c>
      <c r="D1452">
        <v>2</v>
      </c>
      <c r="E1452" t="s">
        <v>331</v>
      </c>
      <c r="F1452" t="s">
        <v>331</v>
      </c>
      <c r="G1452" t="s">
        <v>124</v>
      </c>
      <c r="H1452" t="s">
        <v>125</v>
      </c>
      <c r="I1452">
        <v>0</v>
      </c>
      <c r="J1452" t="s">
        <v>126</v>
      </c>
      <c r="K1452" t="s">
        <v>125</v>
      </c>
      <c r="L1452" t="s">
        <v>3481</v>
      </c>
      <c r="AE1452" t="s">
        <v>128</v>
      </c>
      <c r="AG1452">
        <v>1</v>
      </c>
      <c r="AH1452" t="s">
        <v>3461</v>
      </c>
      <c r="AI1452" t="s">
        <v>572</v>
      </c>
      <c r="AJ1452" t="s">
        <v>131</v>
      </c>
      <c r="AK1452" t="s">
        <v>125</v>
      </c>
      <c r="AL1452">
        <v>2</v>
      </c>
      <c r="AM1452" t="s">
        <v>132</v>
      </c>
      <c r="AN1452" t="s">
        <v>125</v>
      </c>
      <c r="AO1452" t="s">
        <v>3482</v>
      </c>
      <c r="BP1452" t="s">
        <v>149</v>
      </c>
      <c r="BR1452" t="s">
        <v>155</v>
      </c>
      <c r="BS1452">
        <v>1</v>
      </c>
      <c r="BX1452" t="s">
        <v>136</v>
      </c>
      <c r="BZ1452" t="s">
        <v>137</v>
      </c>
    </row>
    <row r="1453" spans="1:78" hidden="1" x14ac:dyDescent="0.2">
      <c r="A1453" t="s">
        <v>119</v>
      </c>
      <c r="B1453" t="s">
        <v>120</v>
      </c>
      <c r="C1453" t="s">
        <v>3480</v>
      </c>
      <c r="D1453">
        <v>7</v>
      </c>
      <c r="E1453" t="s">
        <v>261</v>
      </c>
      <c r="F1453" t="s">
        <v>261</v>
      </c>
      <c r="G1453" t="s">
        <v>124</v>
      </c>
      <c r="H1453" t="s">
        <v>125</v>
      </c>
      <c r="I1453">
        <v>2</v>
      </c>
      <c r="J1453" t="s">
        <v>268</v>
      </c>
      <c r="K1453" t="s">
        <v>125</v>
      </c>
      <c r="L1453" t="s">
        <v>3483</v>
      </c>
      <c r="AE1453" t="s">
        <v>128</v>
      </c>
      <c r="AG1453">
        <v>6</v>
      </c>
      <c r="AH1453" t="s">
        <v>1519</v>
      </c>
      <c r="AI1453" t="s">
        <v>667</v>
      </c>
      <c r="AJ1453" t="s">
        <v>131</v>
      </c>
      <c r="AK1453" t="s">
        <v>125</v>
      </c>
      <c r="AL1453">
        <v>7</v>
      </c>
      <c r="AM1453" t="s">
        <v>132</v>
      </c>
      <c r="AN1453" t="s">
        <v>125</v>
      </c>
      <c r="AO1453" t="s">
        <v>3484</v>
      </c>
      <c r="BP1453" t="s">
        <v>149</v>
      </c>
      <c r="BR1453" t="s">
        <v>155</v>
      </c>
      <c r="BS1453">
        <v>2</v>
      </c>
      <c r="BX1453" t="s">
        <v>136</v>
      </c>
      <c r="BZ1453" t="s">
        <v>137</v>
      </c>
    </row>
    <row r="1454" spans="1:78" hidden="1" x14ac:dyDescent="0.2">
      <c r="A1454" t="s">
        <v>119</v>
      </c>
      <c r="B1454" t="s">
        <v>120</v>
      </c>
      <c r="C1454" t="s">
        <v>3485</v>
      </c>
      <c r="D1454">
        <v>5</v>
      </c>
      <c r="E1454" t="s">
        <v>1092</v>
      </c>
      <c r="F1454" t="s">
        <v>331</v>
      </c>
      <c r="G1454" t="s">
        <v>124</v>
      </c>
      <c r="H1454" t="s">
        <v>125</v>
      </c>
      <c r="I1454">
        <v>8</v>
      </c>
      <c r="J1454" t="s">
        <v>199</v>
      </c>
      <c r="K1454" t="s">
        <v>125</v>
      </c>
      <c r="L1454" t="s">
        <v>3486</v>
      </c>
      <c r="T1454" t="s">
        <v>154</v>
      </c>
      <c r="W1454" t="s">
        <v>135</v>
      </c>
      <c r="AC1454" t="s">
        <v>143</v>
      </c>
      <c r="AE1454" t="s">
        <v>144</v>
      </c>
      <c r="AG1454">
        <v>4</v>
      </c>
      <c r="AH1454" t="s">
        <v>204</v>
      </c>
      <c r="AI1454" t="s">
        <v>205</v>
      </c>
      <c r="AJ1454" t="s">
        <v>131</v>
      </c>
      <c r="AK1454" t="s">
        <v>125</v>
      </c>
      <c r="AL1454">
        <v>5</v>
      </c>
      <c r="AM1454" t="s">
        <v>132</v>
      </c>
      <c r="AN1454" t="s">
        <v>125</v>
      </c>
      <c r="AO1454" t="s">
        <v>3170</v>
      </c>
      <c r="BP1454" t="s">
        <v>149</v>
      </c>
      <c r="BR1454" t="s">
        <v>135</v>
      </c>
      <c r="BS1454">
        <v>1</v>
      </c>
      <c r="BX1454" t="s">
        <v>136</v>
      </c>
      <c r="BZ1454" t="s">
        <v>137</v>
      </c>
    </row>
    <row r="1455" spans="1:78" hidden="1" x14ac:dyDescent="0.2">
      <c r="A1455" t="s">
        <v>119</v>
      </c>
      <c r="B1455" t="s">
        <v>120</v>
      </c>
      <c r="C1455" t="s">
        <v>3485</v>
      </c>
      <c r="D1455">
        <v>8</v>
      </c>
      <c r="E1455" t="s">
        <v>407</v>
      </c>
      <c r="F1455" t="s">
        <v>140</v>
      </c>
      <c r="G1455" t="s">
        <v>124</v>
      </c>
      <c r="H1455" t="s">
        <v>125</v>
      </c>
      <c r="I1455">
        <v>0</v>
      </c>
      <c r="J1455" t="s">
        <v>126</v>
      </c>
      <c r="K1455" t="s">
        <v>125</v>
      </c>
      <c r="L1455" t="s">
        <v>3487</v>
      </c>
      <c r="T1455" t="s">
        <v>154</v>
      </c>
      <c r="W1455" t="s">
        <v>135</v>
      </c>
      <c r="AC1455" t="s">
        <v>143</v>
      </c>
      <c r="AE1455" t="s">
        <v>144</v>
      </c>
      <c r="AG1455">
        <v>7</v>
      </c>
      <c r="AH1455" t="s">
        <v>204</v>
      </c>
      <c r="AI1455" t="s">
        <v>205</v>
      </c>
      <c r="AJ1455" t="s">
        <v>131</v>
      </c>
      <c r="AK1455" t="s">
        <v>125</v>
      </c>
      <c r="AL1455">
        <v>8</v>
      </c>
      <c r="AM1455" t="s">
        <v>132</v>
      </c>
      <c r="AN1455" t="s">
        <v>125</v>
      </c>
      <c r="AO1455" t="s">
        <v>3488</v>
      </c>
      <c r="BP1455" t="s">
        <v>149</v>
      </c>
      <c r="BR1455" t="s">
        <v>135</v>
      </c>
      <c r="BS1455">
        <v>1</v>
      </c>
      <c r="BX1455" t="s">
        <v>136</v>
      </c>
      <c r="BZ1455" t="s">
        <v>137</v>
      </c>
    </row>
    <row r="1456" spans="1:78" hidden="1" x14ac:dyDescent="0.2">
      <c r="A1456" t="s">
        <v>119</v>
      </c>
      <c r="B1456" t="s">
        <v>120</v>
      </c>
      <c r="C1456" t="s">
        <v>3489</v>
      </c>
      <c r="D1456">
        <v>3</v>
      </c>
      <c r="E1456" t="s">
        <v>261</v>
      </c>
      <c r="F1456" t="s">
        <v>261</v>
      </c>
      <c r="G1456" t="s">
        <v>124</v>
      </c>
      <c r="H1456" t="s">
        <v>125</v>
      </c>
      <c r="I1456">
        <v>0</v>
      </c>
      <c r="J1456" t="s">
        <v>126</v>
      </c>
      <c r="K1456" t="s">
        <v>125</v>
      </c>
      <c r="L1456" t="s">
        <v>3490</v>
      </c>
      <c r="AE1456" t="s">
        <v>128</v>
      </c>
      <c r="AG1456">
        <v>2</v>
      </c>
      <c r="AH1456" t="s">
        <v>1935</v>
      </c>
      <c r="AI1456" t="s">
        <v>667</v>
      </c>
      <c r="AJ1456" t="s">
        <v>131</v>
      </c>
      <c r="AK1456" t="s">
        <v>125</v>
      </c>
      <c r="AL1456">
        <v>3</v>
      </c>
      <c r="AM1456" t="s">
        <v>132</v>
      </c>
      <c r="AN1456" t="s">
        <v>125</v>
      </c>
      <c r="AO1456" t="s">
        <v>3491</v>
      </c>
      <c r="BP1456" t="s">
        <v>149</v>
      </c>
      <c r="BR1456" t="s">
        <v>135</v>
      </c>
      <c r="BS1456">
        <v>3</v>
      </c>
      <c r="BX1456" t="s">
        <v>136</v>
      </c>
      <c r="BZ1456" t="s">
        <v>137</v>
      </c>
    </row>
    <row r="1457" spans="1:78" x14ac:dyDescent="0.2">
      <c r="A1457" t="s">
        <v>119</v>
      </c>
      <c r="B1457" t="s">
        <v>120</v>
      </c>
      <c r="C1457" t="s">
        <v>3492</v>
      </c>
      <c r="D1457">
        <v>2</v>
      </c>
      <c r="E1457" t="s">
        <v>801</v>
      </c>
      <c r="F1457" t="s">
        <v>667</v>
      </c>
      <c r="G1457" t="s">
        <v>124</v>
      </c>
      <c r="H1457" t="s">
        <v>125</v>
      </c>
      <c r="I1457">
        <v>0</v>
      </c>
      <c r="J1457" t="s">
        <v>126</v>
      </c>
      <c r="K1457" t="s">
        <v>125</v>
      </c>
      <c r="L1457" t="s">
        <v>3493</v>
      </c>
      <c r="U1457" t="s">
        <v>149</v>
      </c>
      <c r="W1457" t="s">
        <v>135</v>
      </c>
      <c r="X1457">
        <v>2</v>
      </c>
      <c r="AC1457" t="s">
        <v>136</v>
      </c>
      <c r="AE1457" t="s">
        <v>137</v>
      </c>
    </row>
    <row r="1458" spans="1:78" x14ac:dyDescent="0.2">
      <c r="A1458" t="s">
        <v>119</v>
      </c>
      <c r="B1458" t="s">
        <v>120</v>
      </c>
      <c r="C1458" t="s">
        <v>3494</v>
      </c>
      <c r="D1458">
        <v>2</v>
      </c>
      <c r="E1458" t="s">
        <v>801</v>
      </c>
      <c r="F1458" t="s">
        <v>667</v>
      </c>
      <c r="G1458" t="s">
        <v>124</v>
      </c>
      <c r="H1458" t="s">
        <v>125</v>
      </c>
      <c r="I1458">
        <v>0</v>
      </c>
      <c r="J1458" t="s">
        <v>126</v>
      </c>
      <c r="K1458" t="s">
        <v>125</v>
      </c>
      <c r="L1458" t="s">
        <v>1402</v>
      </c>
      <c r="U1458" t="s">
        <v>149</v>
      </c>
      <c r="W1458" t="s">
        <v>135</v>
      </c>
      <c r="X1458">
        <v>2</v>
      </c>
      <c r="AC1458" t="s">
        <v>136</v>
      </c>
      <c r="AE1458" t="s">
        <v>137</v>
      </c>
    </row>
    <row r="1459" spans="1:78" x14ac:dyDescent="0.2">
      <c r="A1459" t="s">
        <v>119</v>
      </c>
      <c r="B1459" t="s">
        <v>120</v>
      </c>
      <c r="C1459" t="s">
        <v>3495</v>
      </c>
      <c r="D1459">
        <v>6</v>
      </c>
      <c r="E1459" t="s">
        <v>3086</v>
      </c>
      <c r="F1459" t="s">
        <v>146</v>
      </c>
      <c r="G1459" t="s">
        <v>124</v>
      </c>
      <c r="H1459" t="s">
        <v>125</v>
      </c>
      <c r="I1459">
        <v>0</v>
      </c>
      <c r="J1459" t="s">
        <v>126</v>
      </c>
      <c r="K1459" t="s">
        <v>125</v>
      </c>
      <c r="L1459" t="s">
        <v>3496</v>
      </c>
      <c r="U1459" t="s">
        <v>134</v>
      </c>
      <c r="W1459" t="s">
        <v>135</v>
      </c>
      <c r="X1459">
        <v>3</v>
      </c>
      <c r="AC1459" t="s">
        <v>136</v>
      </c>
      <c r="AE1459" t="s">
        <v>137</v>
      </c>
    </row>
    <row r="1460" spans="1:78" x14ac:dyDescent="0.2">
      <c r="A1460" t="s">
        <v>119</v>
      </c>
      <c r="B1460" t="s">
        <v>120</v>
      </c>
      <c r="C1460" t="s">
        <v>3497</v>
      </c>
      <c r="D1460">
        <v>2</v>
      </c>
      <c r="E1460" t="s">
        <v>457</v>
      </c>
      <c r="F1460" t="s">
        <v>458</v>
      </c>
      <c r="G1460" t="s">
        <v>124</v>
      </c>
      <c r="H1460" t="s">
        <v>125</v>
      </c>
      <c r="I1460">
        <v>0</v>
      </c>
      <c r="J1460" t="s">
        <v>126</v>
      </c>
      <c r="K1460" t="s">
        <v>125</v>
      </c>
      <c r="L1460" t="s">
        <v>3498</v>
      </c>
      <c r="U1460" t="s">
        <v>149</v>
      </c>
      <c r="W1460" t="s">
        <v>135</v>
      </c>
      <c r="X1460">
        <v>3</v>
      </c>
      <c r="AC1460" t="s">
        <v>136</v>
      </c>
      <c r="AE1460" t="s">
        <v>137</v>
      </c>
    </row>
    <row r="1461" spans="1:78" hidden="1" x14ac:dyDescent="0.2">
      <c r="A1461" t="s">
        <v>119</v>
      </c>
      <c r="B1461" t="s">
        <v>120</v>
      </c>
      <c r="C1461" t="s">
        <v>3497</v>
      </c>
      <c r="D1461">
        <v>3</v>
      </c>
      <c r="E1461" t="s">
        <v>3499</v>
      </c>
      <c r="F1461" t="s">
        <v>3499</v>
      </c>
      <c r="G1461" t="s">
        <v>124</v>
      </c>
      <c r="H1461" t="s">
        <v>125</v>
      </c>
      <c r="I1461">
        <v>2</v>
      </c>
      <c r="J1461" t="s">
        <v>264</v>
      </c>
      <c r="K1461" t="s">
        <v>125</v>
      </c>
      <c r="L1461" t="s">
        <v>3500</v>
      </c>
      <c r="AE1461" t="s">
        <v>128</v>
      </c>
    </row>
    <row r="1462" spans="1:78" hidden="1" x14ac:dyDescent="0.2">
      <c r="A1462" t="s">
        <v>119</v>
      </c>
      <c r="B1462" t="s">
        <v>120</v>
      </c>
      <c r="C1462" t="s">
        <v>3501</v>
      </c>
      <c r="D1462">
        <v>4</v>
      </c>
      <c r="E1462" t="s">
        <v>1764</v>
      </c>
      <c r="F1462" t="s">
        <v>261</v>
      </c>
      <c r="G1462" t="s">
        <v>124</v>
      </c>
      <c r="H1462" t="s">
        <v>125</v>
      </c>
      <c r="I1462">
        <v>6</v>
      </c>
      <c r="J1462" t="s">
        <v>210</v>
      </c>
      <c r="K1462" t="s">
        <v>125</v>
      </c>
      <c r="L1462" t="s">
        <v>3502</v>
      </c>
    </row>
    <row r="1463" spans="1:78" x14ac:dyDescent="0.2">
      <c r="A1463" t="s">
        <v>119</v>
      </c>
      <c r="B1463" t="s">
        <v>120</v>
      </c>
      <c r="C1463" t="s">
        <v>3501</v>
      </c>
      <c r="D1463">
        <v>6</v>
      </c>
      <c r="E1463" t="s">
        <v>1764</v>
      </c>
      <c r="F1463" t="s">
        <v>261</v>
      </c>
      <c r="G1463" t="s">
        <v>124</v>
      </c>
      <c r="H1463" t="s">
        <v>125</v>
      </c>
      <c r="I1463">
        <v>0</v>
      </c>
      <c r="J1463" t="s">
        <v>126</v>
      </c>
      <c r="K1463" t="s">
        <v>125</v>
      </c>
      <c r="L1463" t="s">
        <v>3503</v>
      </c>
      <c r="U1463" t="s">
        <v>149</v>
      </c>
      <c r="W1463" t="s">
        <v>135</v>
      </c>
      <c r="X1463">
        <v>3</v>
      </c>
      <c r="AC1463" t="s">
        <v>136</v>
      </c>
      <c r="AE1463" t="s">
        <v>137</v>
      </c>
    </row>
    <row r="1464" spans="1:78" x14ac:dyDescent="0.2">
      <c r="A1464" t="s">
        <v>119</v>
      </c>
      <c r="B1464" t="s">
        <v>120</v>
      </c>
      <c r="C1464" t="s">
        <v>3504</v>
      </c>
      <c r="D1464">
        <v>3</v>
      </c>
      <c r="E1464" t="s">
        <v>801</v>
      </c>
      <c r="F1464" t="s">
        <v>667</v>
      </c>
      <c r="G1464" t="s">
        <v>124</v>
      </c>
      <c r="H1464" t="s">
        <v>125</v>
      </c>
      <c r="I1464">
        <v>0</v>
      </c>
      <c r="J1464" t="s">
        <v>126</v>
      </c>
      <c r="K1464" t="s">
        <v>125</v>
      </c>
      <c r="L1464" t="s">
        <v>3505</v>
      </c>
      <c r="U1464" t="s">
        <v>149</v>
      </c>
      <c r="W1464" t="s">
        <v>135</v>
      </c>
      <c r="X1464">
        <v>2</v>
      </c>
      <c r="AC1464" t="s">
        <v>136</v>
      </c>
      <c r="AE1464" t="s">
        <v>137</v>
      </c>
    </row>
    <row r="1465" spans="1:78" x14ac:dyDescent="0.2">
      <c r="A1465" t="s">
        <v>119</v>
      </c>
      <c r="B1465" t="s">
        <v>120</v>
      </c>
      <c r="C1465" t="s">
        <v>3506</v>
      </c>
      <c r="D1465">
        <v>1</v>
      </c>
      <c r="E1465" t="s">
        <v>3507</v>
      </c>
      <c r="F1465" t="s">
        <v>1306</v>
      </c>
      <c r="G1465" t="s">
        <v>124</v>
      </c>
      <c r="H1465" t="s">
        <v>125</v>
      </c>
      <c r="I1465">
        <v>0</v>
      </c>
      <c r="J1465" t="s">
        <v>126</v>
      </c>
      <c r="K1465" t="s">
        <v>125</v>
      </c>
      <c r="L1465" t="s">
        <v>3508</v>
      </c>
      <c r="U1465" t="s">
        <v>209</v>
      </c>
      <c r="W1465" t="s">
        <v>155</v>
      </c>
      <c r="X1465">
        <v>2</v>
      </c>
      <c r="AC1465" t="s">
        <v>136</v>
      </c>
      <c r="AE1465" t="s">
        <v>137</v>
      </c>
    </row>
    <row r="1466" spans="1:78" hidden="1" x14ac:dyDescent="0.2">
      <c r="A1466" t="s">
        <v>119</v>
      </c>
      <c r="B1466" t="s">
        <v>120</v>
      </c>
      <c r="C1466" t="s">
        <v>3506</v>
      </c>
      <c r="D1466">
        <v>5</v>
      </c>
      <c r="E1466" t="s">
        <v>1548</v>
      </c>
      <c r="F1466" t="s">
        <v>1399</v>
      </c>
      <c r="G1466" t="s">
        <v>124</v>
      </c>
      <c r="H1466" t="s">
        <v>125</v>
      </c>
      <c r="I1466">
        <v>1</v>
      </c>
      <c r="J1466" t="s">
        <v>264</v>
      </c>
      <c r="K1466" t="s">
        <v>125</v>
      </c>
      <c r="L1466" t="s">
        <v>3509</v>
      </c>
      <c r="T1466" t="s">
        <v>154</v>
      </c>
      <c r="W1466" t="s">
        <v>135</v>
      </c>
      <c r="AC1466" t="s">
        <v>143</v>
      </c>
      <c r="AE1466" t="s">
        <v>144</v>
      </c>
      <c r="AG1466">
        <v>4</v>
      </c>
      <c r="AH1466" t="s">
        <v>204</v>
      </c>
      <c r="AI1466" t="s">
        <v>205</v>
      </c>
      <c r="AJ1466" t="s">
        <v>131</v>
      </c>
      <c r="AK1466" t="s">
        <v>125</v>
      </c>
      <c r="AL1466">
        <v>5</v>
      </c>
      <c r="AM1466" t="s">
        <v>132</v>
      </c>
      <c r="AN1466" t="s">
        <v>125</v>
      </c>
      <c r="AO1466" t="s">
        <v>3510</v>
      </c>
      <c r="BP1466" t="s">
        <v>149</v>
      </c>
      <c r="BR1466" t="s">
        <v>135</v>
      </c>
      <c r="BS1466">
        <v>1</v>
      </c>
      <c r="BX1466" t="s">
        <v>136</v>
      </c>
      <c r="BZ1466" t="s">
        <v>137</v>
      </c>
    </row>
    <row r="1467" spans="1:78" hidden="1" x14ac:dyDescent="0.2">
      <c r="A1467" t="s">
        <v>119</v>
      </c>
      <c r="B1467" t="s">
        <v>120</v>
      </c>
      <c r="C1467" t="s">
        <v>3511</v>
      </c>
      <c r="D1467">
        <v>5</v>
      </c>
      <c r="E1467" t="s">
        <v>691</v>
      </c>
      <c r="F1467" t="s">
        <v>261</v>
      </c>
      <c r="G1467" t="s">
        <v>124</v>
      </c>
      <c r="H1467" t="s">
        <v>125</v>
      </c>
      <c r="I1467">
        <v>9</v>
      </c>
      <c r="J1467" t="s">
        <v>268</v>
      </c>
      <c r="K1467" t="s">
        <v>125</v>
      </c>
      <c r="L1467" t="s">
        <v>3512</v>
      </c>
      <c r="T1467" t="s">
        <v>154</v>
      </c>
      <c r="W1467" t="s">
        <v>135</v>
      </c>
      <c r="AC1467" t="s">
        <v>143</v>
      </c>
      <c r="AE1467" t="s">
        <v>144</v>
      </c>
      <c r="AG1467">
        <v>4</v>
      </c>
      <c r="AH1467" t="s">
        <v>232</v>
      </c>
      <c r="AI1467" t="s">
        <v>205</v>
      </c>
      <c r="AJ1467" t="s">
        <v>131</v>
      </c>
      <c r="AK1467" t="s">
        <v>125</v>
      </c>
      <c r="AL1467">
        <v>5</v>
      </c>
      <c r="AM1467" t="s">
        <v>132</v>
      </c>
      <c r="AN1467" t="s">
        <v>125</v>
      </c>
      <c r="AO1467" t="s">
        <v>3513</v>
      </c>
      <c r="BP1467" t="s">
        <v>209</v>
      </c>
      <c r="BR1467" t="s">
        <v>155</v>
      </c>
      <c r="BS1467">
        <v>1</v>
      </c>
      <c r="BX1467" t="s">
        <v>136</v>
      </c>
      <c r="BZ1467" t="s">
        <v>137</v>
      </c>
    </row>
    <row r="1468" spans="1:78" x14ac:dyDescent="0.2">
      <c r="A1468" t="s">
        <v>119</v>
      </c>
      <c r="B1468" t="s">
        <v>120</v>
      </c>
      <c r="C1468" t="s">
        <v>3511</v>
      </c>
      <c r="D1468">
        <v>9</v>
      </c>
      <c r="E1468" t="s">
        <v>218</v>
      </c>
      <c r="F1468" t="s">
        <v>205</v>
      </c>
      <c r="G1468" t="s">
        <v>124</v>
      </c>
      <c r="H1468" t="s">
        <v>125</v>
      </c>
      <c r="I1468">
        <v>0</v>
      </c>
      <c r="J1468" t="s">
        <v>126</v>
      </c>
      <c r="K1468" t="s">
        <v>125</v>
      </c>
      <c r="L1468" t="s">
        <v>3514</v>
      </c>
      <c r="U1468" t="s">
        <v>149</v>
      </c>
      <c r="W1468" t="s">
        <v>155</v>
      </c>
      <c r="X1468">
        <v>3</v>
      </c>
      <c r="AC1468" t="s">
        <v>136</v>
      </c>
      <c r="AE1468" t="s">
        <v>137</v>
      </c>
    </row>
    <row r="1469" spans="1:78" x14ac:dyDescent="0.2">
      <c r="A1469" t="s">
        <v>119</v>
      </c>
      <c r="B1469" t="s">
        <v>120</v>
      </c>
      <c r="C1469" t="s">
        <v>3515</v>
      </c>
      <c r="D1469">
        <v>6</v>
      </c>
      <c r="E1469" t="s">
        <v>3516</v>
      </c>
      <c r="F1469" t="s">
        <v>1399</v>
      </c>
      <c r="G1469" t="s">
        <v>124</v>
      </c>
      <c r="H1469" t="s">
        <v>125</v>
      </c>
      <c r="I1469">
        <v>10</v>
      </c>
      <c r="J1469" t="s">
        <v>268</v>
      </c>
      <c r="K1469" t="s">
        <v>125</v>
      </c>
      <c r="L1469" t="s">
        <v>3517</v>
      </c>
      <c r="U1469" t="s">
        <v>149</v>
      </c>
      <c r="W1469" t="s">
        <v>155</v>
      </c>
      <c r="X1469">
        <v>1</v>
      </c>
      <c r="AC1469" t="s">
        <v>136</v>
      </c>
      <c r="AE1469" t="s">
        <v>137</v>
      </c>
    </row>
    <row r="1470" spans="1:78" x14ac:dyDescent="0.2">
      <c r="A1470" t="s">
        <v>119</v>
      </c>
      <c r="B1470" t="s">
        <v>120</v>
      </c>
      <c r="C1470" t="s">
        <v>3515</v>
      </c>
      <c r="D1470">
        <v>10</v>
      </c>
      <c r="E1470" t="s">
        <v>3516</v>
      </c>
      <c r="F1470" t="s">
        <v>1399</v>
      </c>
      <c r="G1470" t="s">
        <v>124</v>
      </c>
      <c r="H1470" t="s">
        <v>125</v>
      </c>
      <c r="I1470">
        <v>0</v>
      </c>
      <c r="J1470" t="s">
        <v>126</v>
      </c>
      <c r="K1470" t="s">
        <v>125</v>
      </c>
      <c r="L1470" t="s">
        <v>284</v>
      </c>
      <c r="U1470" t="s">
        <v>149</v>
      </c>
      <c r="W1470" t="s">
        <v>155</v>
      </c>
      <c r="X1470">
        <v>1</v>
      </c>
      <c r="AC1470" t="s">
        <v>136</v>
      </c>
      <c r="AE1470" t="s">
        <v>137</v>
      </c>
    </row>
    <row r="1471" spans="1:78" hidden="1" x14ac:dyDescent="0.2">
      <c r="A1471" t="s">
        <v>119</v>
      </c>
      <c r="B1471" t="s">
        <v>120</v>
      </c>
      <c r="C1471" t="s">
        <v>3515</v>
      </c>
      <c r="D1471">
        <v>19</v>
      </c>
      <c r="E1471" t="s">
        <v>3518</v>
      </c>
      <c r="F1471" t="s">
        <v>3518</v>
      </c>
      <c r="G1471" t="s">
        <v>124</v>
      </c>
      <c r="H1471" t="s">
        <v>125</v>
      </c>
      <c r="I1471">
        <v>17</v>
      </c>
      <c r="J1471" t="s">
        <v>268</v>
      </c>
      <c r="K1471" t="s">
        <v>125</v>
      </c>
      <c r="L1471" t="s">
        <v>3519</v>
      </c>
      <c r="AE1471" t="s">
        <v>128</v>
      </c>
    </row>
    <row r="1472" spans="1:78" x14ac:dyDescent="0.2">
      <c r="A1472" t="s">
        <v>119</v>
      </c>
      <c r="B1472" t="s">
        <v>120</v>
      </c>
      <c r="C1472" t="s">
        <v>3515</v>
      </c>
      <c r="D1472">
        <v>23</v>
      </c>
      <c r="E1472" t="s">
        <v>3520</v>
      </c>
      <c r="F1472" t="s">
        <v>3521</v>
      </c>
      <c r="G1472" t="s">
        <v>124</v>
      </c>
      <c r="H1472" t="s">
        <v>125</v>
      </c>
      <c r="I1472">
        <v>21</v>
      </c>
      <c r="J1472" t="s">
        <v>170</v>
      </c>
      <c r="K1472" t="s">
        <v>125</v>
      </c>
      <c r="L1472" t="s">
        <v>3522</v>
      </c>
      <c r="U1472" t="s">
        <v>149</v>
      </c>
      <c r="W1472" t="s">
        <v>155</v>
      </c>
      <c r="X1472">
        <v>3</v>
      </c>
      <c r="AC1472" t="s">
        <v>136</v>
      </c>
      <c r="AE1472" t="s">
        <v>137</v>
      </c>
    </row>
    <row r="1473" spans="1:78" hidden="1" x14ac:dyDescent="0.2">
      <c r="A1473" t="s">
        <v>119</v>
      </c>
      <c r="B1473" t="s">
        <v>120</v>
      </c>
      <c r="C1473" t="s">
        <v>3523</v>
      </c>
      <c r="D1473">
        <v>13</v>
      </c>
      <c r="E1473" t="s">
        <v>1399</v>
      </c>
      <c r="F1473" t="s">
        <v>1399</v>
      </c>
      <c r="G1473" t="s">
        <v>124</v>
      </c>
      <c r="H1473" t="s">
        <v>125</v>
      </c>
      <c r="I1473">
        <v>11</v>
      </c>
      <c r="J1473" t="s">
        <v>268</v>
      </c>
      <c r="K1473" t="s">
        <v>125</v>
      </c>
      <c r="L1473" t="s">
        <v>3524</v>
      </c>
      <c r="AE1473" t="s">
        <v>128</v>
      </c>
    </row>
    <row r="1474" spans="1:78" x14ac:dyDescent="0.2">
      <c r="A1474" t="s">
        <v>119</v>
      </c>
      <c r="B1474" t="s">
        <v>120</v>
      </c>
      <c r="C1474" t="s">
        <v>3525</v>
      </c>
      <c r="D1474">
        <v>2</v>
      </c>
      <c r="E1474" t="s">
        <v>3526</v>
      </c>
      <c r="F1474" t="s">
        <v>3521</v>
      </c>
      <c r="G1474" t="s">
        <v>124</v>
      </c>
      <c r="H1474" t="s">
        <v>125</v>
      </c>
      <c r="I1474">
        <v>0</v>
      </c>
      <c r="J1474" t="s">
        <v>126</v>
      </c>
      <c r="K1474" t="s">
        <v>125</v>
      </c>
      <c r="L1474" t="s">
        <v>3527</v>
      </c>
      <c r="U1474" t="s">
        <v>134</v>
      </c>
      <c r="W1474" t="s">
        <v>135</v>
      </c>
      <c r="X1474">
        <v>3</v>
      </c>
      <c r="AC1474" t="s">
        <v>136</v>
      </c>
      <c r="AE1474" t="s">
        <v>137</v>
      </c>
    </row>
    <row r="1475" spans="1:78" hidden="1" x14ac:dyDescent="0.2">
      <c r="A1475" t="s">
        <v>119</v>
      </c>
      <c r="B1475" t="s">
        <v>120</v>
      </c>
      <c r="C1475" t="s">
        <v>3525</v>
      </c>
      <c r="D1475">
        <v>5</v>
      </c>
      <c r="E1475" t="s">
        <v>407</v>
      </c>
      <c r="F1475" t="s">
        <v>140</v>
      </c>
      <c r="G1475" t="s">
        <v>124</v>
      </c>
      <c r="H1475" t="s">
        <v>125</v>
      </c>
      <c r="I1475">
        <v>2</v>
      </c>
      <c r="J1475" t="s">
        <v>199</v>
      </c>
      <c r="K1475" t="s">
        <v>125</v>
      </c>
      <c r="L1475" t="s">
        <v>3528</v>
      </c>
      <c r="T1475" t="s">
        <v>154</v>
      </c>
      <c r="W1475" t="s">
        <v>135</v>
      </c>
      <c r="AC1475" t="s">
        <v>143</v>
      </c>
      <c r="AE1475" t="s">
        <v>144</v>
      </c>
      <c r="AG1475">
        <v>3</v>
      </c>
      <c r="AH1475" t="s">
        <v>145</v>
      </c>
      <c r="AI1475" t="s">
        <v>146</v>
      </c>
      <c r="AJ1475" t="s">
        <v>131</v>
      </c>
      <c r="AK1475" t="s">
        <v>125</v>
      </c>
      <c r="AL1475">
        <v>5</v>
      </c>
      <c r="AM1475" t="s">
        <v>132</v>
      </c>
      <c r="AN1475" t="s">
        <v>125</v>
      </c>
      <c r="AO1475" t="s">
        <v>3529</v>
      </c>
      <c r="BP1475" t="s">
        <v>149</v>
      </c>
      <c r="BR1475" t="s">
        <v>135</v>
      </c>
      <c r="BS1475">
        <v>3</v>
      </c>
      <c r="BX1475" t="s">
        <v>136</v>
      </c>
      <c r="BZ1475" t="s">
        <v>137</v>
      </c>
    </row>
    <row r="1476" spans="1:78" hidden="1" x14ac:dyDescent="0.2">
      <c r="A1476" t="s">
        <v>119</v>
      </c>
      <c r="B1476" t="s">
        <v>120</v>
      </c>
      <c r="C1476" t="s">
        <v>3530</v>
      </c>
      <c r="D1476">
        <v>2</v>
      </c>
      <c r="E1476" t="s">
        <v>3520</v>
      </c>
      <c r="F1476" t="s">
        <v>3521</v>
      </c>
      <c r="G1476" t="s">
        <v>124</v>
      </c>
      <c r="H1476" t="s">
        <v>125</v>
      </c>
      <c r="I1476">
        <v>0</v>
      </c>
      <c r="J1476" t="s">
        <v>126</v>
      </c>
      <c r="K1476" t="s">
        <v>125</v>
      </c>
      <c r="L1476" t="s">
        <v>3531</v>
      </c>
    </row>
    <row r="1477" spans="1:78" x14ac:dyDescent="0.2">
      <c r="A1477" t="s">
        <v>119</v>
      </c>
      <c r="B1477" t="s">
        <v>120</v>
      </c>
      <c r="C1477" t="s">
        <v>3530</v>
      </c>
      <c r="D1477">
        <v>9</v>
      </c>
      <c r="E1477" t="s">
        <v>160</v>
      </c>
      <c r="F1477" t="s">
        <v>146</v>
      </c>
      <c r="G1477" t="s">
        <v>124</v>
      </c>
      <c r="H1477" t="s">
        <v>125</v>
      </c>
      <c r="I1477">
        <v>4</v>
      </c>
      <c r="J1477" t="s">
        <v>170</v>
      </c>
      <c r="K1477" t="s">
        <v>125</v>
      </c>
      <c r="L1477" t="s">
        <v>3532</v>
      </c>
      <c r="U1477" t="s">
        <v>149</v>
      </c>
      <c r="W1477" t="s">
        <v>155</v>
      </c>
      <c r="X1477">
        <v>3</v>
      </c>
      <c r="AC1477" t="s">
        <v>136</v>
      </c>
      <c r="AE1477" t="s">
        <v>137</v>
      </c>
    </row>
    <row r="1478" spans="1:78" hidden="1" x14ac:dyDescent="0.2">
      <c r="A1478" t="s">
        <v>119</v>
      </c>
      <c r="B1478" t="s">
        <v>120</v>
      </c>
      <c r="C1478" t="s">
        <v>3533</v>
      </c>
      <c r="D1478">
        <v>11</v>
      </c>
      <c r="E1478" t="s">
        <v>1399</v>
      </c>
      <c r="F1478" t="s">
        <v>1399</v>
      </c>
      <c r="G1478" t="s">
        <v>124</v>
      </c>
      <c r="H1478" t="s">
        <v>125</v>
      </c>
      <c r="I1478">
        <v>0</v>
      </c>
      <c r="J1478" t="s">
        <v>126</v>
      </c>
      <c r="K1478" t="s">
        <v>125</v>
      </c>
      <c r="L1478" t="s">
        <v>3534</v>
      </c>
      <c r="AE1478" t="s">
        <v>128</v>
      </c>
      <c r="AG1478">
        <v>10</v>
      </c>
      <c r="AH1478" t="s">
        <v>2502</v>
      </c>
      <c r="AI1478" t="s">
        <v>572</v>
      </c>
      <c r="AJ1478" t="s">
        <v>131</v>
      </c>
      <c r="AK1478" t="s">
        <v>125</v>
      </c>
      <c r="AL1478">
        <v>11</v>
      </c>
      <c r="AM1478" t="s">
        <v>132</v>
      </c>
      <c r="AN1478" t="s">
        <v>125</v>
      </c>
      <c r="AO1478" t="s">
        <v>3535</v>
      </c>
      <c r="BP1478" t="s">
        <v>149</v>
      </c>
      <c r="BR1478" t="s">
        <v>135</v>
      </c>
      <c r="BS1478">
        <v>1</v>
      </c>
      <c r="BX1478" t="s">
        <v>136</v>
      </c>
      <c r="BZ1478" t="s">
        <v>137</v>
      </c>
    </row>
    <row r="1479" spans="1:78" hidden="1" x14ac:dyDescent="0.2">
      <c r="A1479" t="s">
        <v>119</v>
      </c>
      <c r="B1479" t="s">
        <v>120</v>
      </c>
      <c r="C1479" t="s">
        <v>3536</v>
      </c>
      <c r="D1479">
        <v>3</v>
      </c>
      <c r="E1479" t="s">
        <v>1399</v>
      </c>
      <c r="F1479" t="s">
        <v>1399</v>
      </c>
      <c r="G1479" t="s">
        <v>124</v>
      </c>
      <c r="H1479" t="s">
        <v>125</v>
      </c>
      <c r="I1479">
        <v>0</v>
      </c>
      <c r="J1479" t="s">
        <v>126</v>
      </c>
      <c r="K1479" t="s">
        <v>125</v>
      </c>
      <c r="L1479" t="s">
        <v>3537</v>
      </c>
      <c r="AE1479" t="s">
        <v>128</v>
      </c>
      <c r="AG1479">
        <v>2</v>
      </c>
      <c r="AH1479" t="s">
        <v>2502</v>
      </c>
      <c r="AI1479" t="s">
        <v>572</v>
      </c>
      <c r="AJ1479" t="s">
        <v>131</v>
      </c>
      <c r="AK1479" t="s">
        <v>125</v>
      </c>
      <c r="AL1479">
        <v>3</v>
      </c>
      <c r="AM1479" t="s">
        <v>132</v>
      </c>
      <c r="AN1479" t="s">
        <v>125</v>
      </c>
      <c r="AO1479" t="s">
        <v>3538</v>
      </c>
      <c r="BP1479" t="s">
        <v>149</v>
      </c>
      <c r="BR1479" t="s">
        <v>135</v>
      </c>
      <c r="BS1479">
        <v>1</v>
      </c>
      <c r="BX1479" t="s">
        <v>136</v>
      </c>
      <c r="BZ1479" t="s">
        <v>137</v>
      </c>
    </row>
    <row r="1480" spans="1:78" hidden="1" x14ac:dyDescent="0.2">
      <c r="A1480" t="s">
        <v>119</v>
      </c>
      <c r="B1480" t="s">
        <v>120</v>
      </c>
      <c r="C1480" t="s">
        <v>3539</v>
      </c>
      <c r="D1480">
        <v>3</v>
      </c>
      <c r="E1480" t="s">
        <v>1399</v>
      </c>
      <c r="F1480" t="s">
        <v>1399</v>
      </c>
      <c r="G1480" t="s">
        <v>124</v>
      </c>
      <c r="H1480" t="s">
        <v>125</v>
      </c>
      <c r="I1480">
        <v>0</v>
      </c>
      <c r="J1480" t="s">
        <v>126</v>
      </c>
      <c r="K1480" t="s">
        <v>125</v>
      </c>
      <c r="L1480" t="s">
        <v>3540</v>
      </c>
      <c r="AE1480" t="s">
        <v>128</v>
      </c>
      <c r="AG1480">
        <v>2</v>
      </c>
      <c r="AH1480" t="s">
        <v>2502</v>
      </c>
      <c r="AI1480" t="s">
        <v>572</v>
      </c>
      <c r="AJ1480" t="s">
        <v>131</v>
      </c>
      <c r="AK1480" t="s">
        <v>125</v>
      </c>
      <c r="AL1480">
        <v>3</v>
      </c>
      <c r="AM1480" t="s">
        <v>132</v>
      </c>
      <c r="AN1480" t="s">
        <v>125</v>
      </c>
      <c r="AO1480" t="s">
        <v>3541</v>
      </c>
      <c r="BP1480" t="s">
        <v>149</v>
      </c>
      <c r="BR1480" t="s">
        <v>135</v>
      </c>
      <c r="BS1480">
        <v>1</v>
      </c>
      <c r="BX1480" t="s">
        <v>136</v>
      </c>
      <c r="BZ1480" t="s">
        <v>137</v>
      </c>
    </row>
    <row r="1481" spans="1:78" x14ac:dyDescent="0.2">
      <c r="A1481" t="s">
        <v>119</v>
      </c>
      <c r="B1481" t="s">
        <v>120</v>
      </c>
      <c r="C1481" t="s">
        <v>3542</v>
      </c>
      <c r="D1481">
        <v>13</v>
      </c>
      <c r="E1481" t="s">
        <v>1148</v>
      </c>
      <c r="F1481" t="s">
        <v>1149</v>
      </c>
      <c r="G1481" t="s">
        <v>124</v>
      </c>
      <c r="H1481" t="s">
        <v>125</v>
      </c>
      <c r="I1481">
        <v>10</v>
      </c>
      <c r="J1481" t="s">
        <v>161</v>
      </c>
      <c r="K1481" t="s">
        <v>125</v>
      </c>
      <c r="L1481" t="s">
        <v>3543</v>
      </c>
      <c r="U1481" t="s">
        <v>149</v>
      </c>
      <c r="W1481" t="s">
        <v>135</v>
      </c>
      <c r="X1481">
        <v>3</v>
      </c>
      <c r="AC1481" t="s">
        <v>136</v>
      </c>
      <c r="AE1481" t="s">
        <v>137</v>
      </c>
    </row>
    <row r="1482" spans="1:78" hidden="1" x14ac:dyDescent="0.2">
      <c r="A1482" t="s">
        <v>119</v>
      </c>
      <c r="B1482" t="s">
        <v>120</v>
      </c>
      <c r="C1482" t="s">
        <v>3542</v>
      </c>
      <c r="D1482">
        <v>15</v>
      </c>
      <c r="E1482" t="s">
        <v>3544</v>
      </c>
      <c r="F1482" t="s">
        <v>3438</v>
      </c>
      <c r="G1482" t="s">
        <v>124</v>
      </c>
      <c r="H1482" t="s">
        <v>125</v>
      </c>
      <c r="I1482">
        <v>13</v>
      </c>
      <c r="J1482" t="s">
        <v>264</v>
      </c>
      <c r="K1482" t="s">
        <v>125</v>
      </c>
      <c r="L1482" t="s">
        <v>3545</v>
      </c>
      <c r="U1482" t="s">
        <v>149</v>
      </c>
      <c r="W1482" t="s">
        <v>135</v>
      </c>
      <c r="X1482">
        <v>3</v>
      </c>
      <c r="AC1482" t="s">
        <v>903</v>
      </c>
      <c r="AE1482" t="s">
        <v>137</v>
      </c>
    </row>
    <row r="1483" spans="1:78" hidden="1" x14ac:dyDescent="0.2">
      <c r="A1483" t="s">
        <v>119</v>
      </c>
      <c r="B1483" t="s">
        <v>120</v>
      </c>
      <c r="C1483" t="s">
        <v>3542</v>
      </c>
      <c r="D1483">
        <v>30</v>
      </c>
      <c r="E1483" t="s">
        <v>3546</v>
      </c>
      <c r="F1483" t="s">
        <v>3546</v>
      </c>
      <c r="G1483" t="s">
        <v>124</v>
      </c>
      <c r="H1483" t="s">
        <v>125</v>
      </c>
      <c r="I1483">
        <v>0</v>
      </c>
      <c r="J1483" t="s">
        <v>126</v>
      </c>
      <c r="K1483" t="s">
        <v>125</v>
      </c>
      <c r="L1483" t="s">
        <v>3547</v>
      </c>
      <c r="AE1483" t="s">
        <v>128</v>
      </c>
      <c r="AG1483">
        <v>29</v>
      </c>
      <c r="AH1483" t="s">
        <v>3548</v>
      </c>
      <c r="AI1483" t="s">
        <v>667</v>
      </c>
      <c r="AJ1483" t="s">
        <v>131</v>
      </c>
      <c r="AK1483" t="s">
        <v>125</v>
      </c>
      <c r="AL1483">
        <v>30</v>
      </c>
      <c r="AM1483" t="s">
        <v>132</v>
      </c>
      <c r="AN1483" t="s">
        <v>125</v>
      </c>
      <c r="AO1483" t="s">
        <v>3549</v>
      </c>
      <c r="BP1483" t="s">
        <v>309</v>
      </c>
      <c r="BR1483" t="s">
        <v>135</v>
      </c>
      <c r="BS1483">
        <v>3</v>
      </c>
      <c r="BX1483" t="s">
        <v>209</v>
      </c>
      <c r="BZ1483" t="s">
        <v>137</v>
      </c>
    </row>
    <row r="1484" spans="1:78" hidden="1" x14ac:dyDescent="0.2">
      <c r="A1484" t="s">
        <v>119</v>
      </c>
      <c r="B1484" t="s">
        <v>120</v>
      </c>
      <c r="C1484" t="s">
        <v>3542</v>
      </c>
      <c r="D1484">
        <v>34</v>
      </c>
      <c r="E1484" t="s">
        <v>311</v>
      </c>
      <c r="F1484" t="s">
        <v>311</v>
      </c>
      <c r="G1484" t="s">
        <v>124</v>
      </c>
      <c r="H1484" t="s">
        <v>125</v>
      </c>
      <c r="I1484">
        <v>30</v>
      </c>
      <c r="J1484" t="s">
        <v>161</v>
      </c>
      <c r="K1484" t="s">
        <v>125</v>
      </c>
      <c r="L1484" t="s">
        <v>3550</v>
      </c>
      <c r="AE1484" t="s">
        <v>128</v>
      </c>
      <c r="AG1484">
        <v>33</v>
      </c>
      <c r="AH1484" t="s">
        <v>1203</v>
      </c>
      <c r="AI1484" t="s">
        <v>130</v>
      </c>
      <c r="AJ1484" t="s">
        <v>131</v>
      </c>
      <c r="AK1484" t="s">
        <v>125</v>
      </c>
      <c r="AL1484">
        <v>34</v>
      </c>
      <c r="AM1484" t="s">
        <v>132</v>
      </c>
      <c r="AN1484" t="s">
        <v>125</v>
      </c>
      <c r="AO1484" t="s">
        <v>3551</v>
      </c>
      <c r="BP1484" t="s">
        <v>134</v>
      </c>
      <c r="BR1484" t="s">
        <v>135</v>
      </c>
      <c r="BS1484">
        <v>3</v>
      </c>
      <c r="BX1484" t="s">
        <v>136</v>
      </c>
      <c r="BZ1484" t="s">
        <v>137</v>
      </c>
    </row>
    <row r="1485" spans="1:78" hidden="1" x14ac:dyDescent="0.2">
      <c r="A1485" t="s">
        <v>119</v>
      </c>
      <c r="B1485" t="s">
        <v>120</v>
      </c>
      <c r="C1485" t="s">
        <v>3542</v>
      </c>
      <c r="D1485">
        <v>40</v>
      </c>
      <c r="E1485" t="s">
        <v>3552</v>
      </c>
      <c r="F1485" t="s">
        <v>1399</v>
      </c>
      <c r="G1485" t="s">
        <v>124</v>
      </c>
      <c r="H1485" t="s">
        <v>125</v>
      </c>
      <c r="I1485">
        <v>34</v>
      </c>
      <c r="J1485" t="s">
        <v>268</v>
      </c>
      <c r="K1485" t="s">
        <v>125</v>
      </c>
      <c r="L1485" t="s">
        <v>3553</v>
      </c>
      <c r="AE1485" t="s">
        <v>128</v>
      </c>
    </row>
    <row r="1486" spans="1:78" hidden="1" x14ac:dyDescent="0.2">
      <c r="A1486" t="s">
        <v>119</v>
      </c>
      <c r="B1486" t="s">
        <v>120</v>
      </c>
      <c r="C1486" t="s">
        <v>3554</v>
      </c>
      <c r="D1486">
        <v>7</v>
      </c>
      <c r="E1486" t="s">
        <v>3437</v>
      </c>
      <c r="F1486" t="s">
        <v>3438</v>
      </c>
      <c r="G1486" t="s">
        <v>124</v>
      </c>
      <c r="H1486" t="s">
        <v>125</v>
      </c>
      <c r="I1486">
        <v>0</v>
      </c>
      <c r="J1486" t="s">
        <v>126</v>
      </c>
      <c r="K1486" t="s">
        <v>125</v>
      </c>
      <c r="L1486" t="s">
        <v>3555</v>
      </c>
      <c r="T1486" t="s">
        <v>154</v>
      </c>
      <c r="W1486" t="s">
        <v>135</v>
      </c>
      <c r="AC1486" t="s">
        <v>143</v>
      </c>
      <c r="AE1486" t="s">
        <v>144</v>
      </c>
      <c r="AG1486">
        <v>6</v>
      </c>
      <c r="AH1486" t="s">
        <v>145</v>
      </c>
      <c r="AI1486" t="s">
        <v>146</v>
      </c>
      <c r="AJ1486" t="s">
        <v>131</v>
      </c>
      <c r="AK1486" t="s">
        <v>125</v>
      </c>
      <c r="AL1486">
        <v>7</v>
      </c>
      <c r="AM1486" t="s">
        <v>132</v>
      </c>
      <c r="AN1486" t="s">
        <v>125</v>
      </c>
      <c r="AO1486" t="s">
        <v>3556</v>
      </c>
      <c r="BP1486" t="s">
        <v>149</v>
      </c>
      <c r="BR1486" t="s">
        <v>135</v>
      </c>
      <c r="BS1486">
        <v>3</v>
      </c>
      <c r="BX1486" t="s">
        <v>136</v>
      </c>
      <c r="BZ1486" t="s">
        <v>137</v>
      </c>
    </row>
    <row r="1487" spans="1:78" x14ac:dyDescent="0.2">
      <c r="A1487" t="s">
        <v>119</v>
      </c>
      <c r="B1487" t="s">
        <v>120</v>
      </c>
      <c r="C1487" t="s">
        <v>3557</v>
      </c>
      <c r="D1487">
        <v>3</v>
      </c>
      <c r="E1487" t="s">
        <v>3558</v>
      </c>
      <c r="F1487" t="s">
        <v>954</v>
      </c>
      <c r="G1487" t="s">
        <v>124</v>
      </c>
      <c r="H1487" t="s">
        <v>125</v>
      </c>
      <c r="I1487">
        <v>0</v>
      </c>
      <c r="J1487" t="s">
        <v>126</v>
      </c>
      <c r="K1487" t="s">
        <v>125</v>
      </c>
      <c r="L1487" t="s">
        <v>336</v>
      </c>
      <c r="U1487" t="s">
        <v>149</v>
      </c>
      <c r="W1487" t="s">
        <v>155</v>
      </c>
      <c r="X1487">
        <v>1</v>
      </c>
      <c r="AC1487" t="s">
        <v>136</v>
      </c>
      <c r="AE1487" t="s">
        <v>137</v>
      </c>
    </row>
    <row r="1488" spans="1:78" hidden="1" x14ac:dyDescent="0.2">
      <c r="A1488" t="s">
        <v>119</v>
      </c>
      <c r="B1488" t="s">
        <v>120</v>
      </c>
      <c r="C1488" t="s">
        <v>3557</v>
      </c>
      <c r="D1488">
        <v>5</v>
      </c>
      <c r="E1488" t="s">
        <v>1399</v>
      </c>
      <c r="F1488" t="s">
        <v>1399</v>
      </c>
      <c r="G1488" t="s">
        <v>124</v>
      </c>
      <c r="H1488" t="s">
        <v>125</v>
      </c>
      <c r="I1488">
        <v>3</v>
      </c>
      <c r="J1488" t="s">
        <v>294</v>
      </c>
      <c r="K1488" t="s">
        <v>125</v>
      </c>
      <c r="L1488" t="s">
        <v>3559</v>
      </c>
      <c r="AE1488" t="s">
        <v>128</v>
      </c>
    </row>
    <row r="1489" spans="1:78" hidden="1" x14ac:dyDescent="0.2">
      <c r="A1489" t="s">
        <v>119</v>
      </c>
      <c r="B1489" t="s">
        <v>120</v>
      </c>
      <c r="C1489" t="s">
        <v>3560</v>
      </c>
      <c r="D1489">
        <v>2</v>
      </c>
      <c r="E1489" t="s">
        <v>3561</v>
      </c>
      <c r="F1489" t="s">
        <v>390</v>
      </c>
      <c r="G1489" t="s">
        <v>124</v>
      </c>
      <c r="H1489" t="s">
        <v>125</v>
      </c>
      <c r="I1489">
        <v>0</v>
      </c>
      <c r="J1489" t="s">
        <v>126</v>
      </c>
      <c r="K1489" t="s">
        <v>125</v>
      </c>
      <c r="L1489" t="s">
        <v>3562</v>
      </c>
      <c r="U1489" t="s">
        <v>149</v>
      </c>
      <c r="W1489" t="s">
        <v>155</v>
      </c>
      <c r="X1489">
        <v>1</v>
      </c>
      <c r="AC1489" t="s">
        <v>903</v>
      </c>
      <c r="AE1489" t="s">
        <v>137</v>
      </c>
    </row>
    <row r="1490" spans="1:78" x14ac:dyDescent="0.2">
      <c r="A1490" t="s">
        <v>119</v>
      </c>
      <c r="B1490" t="s">
        <v>120</v>
      </c>
      <c r="C1490" t="s">
        <v>3560</v>
      </c>
      <c r="D1490">
        <v>4</v>
      </c>
      <c r="E1490" t="s">
        <v>1805</v>
      </c>
      <c r="F1490" t="s">
        <v>140</v>
      </c>
      <c r="G1490" t="s">
        <v>124</v>
      </c>
      <c r="H1490" t="s">
        <v>125</v>
      </c>
      <c r="I1490">
        <v>2</v>
      </c>
      <c r="J1490" t="s">
        <v>199</v>
      </c>
      <c r="K1490" t="s">
        <v>125</v>
      </c>
      <c r="L1490" t="s">
        <v>3563</v>
      </c>
      <c r="U1490" t="s">
        <v>209</v>
      </c>
      <c r="W1490" t="s">
        <v>155</v>
      </c>
      <c r="X1490">
        <v>1</v>
      </c>
      <c r="AC1490" t="s">
        <v>136</v>
      </c>
      <c r="AE1490" t="s">
        <v>137</v>
      </c>
    </row>
    <row r="1491" spans="1:78" x14ac:dyDescent="0.2">
      <c r="A1491" t="s">
        <v>119</v>
      </c>
      <c r="B1491" t="s">
        <v>120</v>
      </c>
      <c r="C1491" t="s">
        <v>3560</v>
      </c>
      <c r="D1491">
        <v>12</v>
      </c>
      <c r="E1491" t="s">
        <v>3564</v>
      </c>
      <c r="F1491" t="s">
        <v>449</v>
      </c>
      <c r="G1491" t="s">
        <v>124</v>
      </c>
      <c r="H1491" t="s">
        <v>125</v>
      </c>
      <c r="I1491">
        <v>10</v>
      </c>
      <c r="J1491" t="s">
        <v>170</v>
      </c>
      <c r="K1491" t="s">
        <v>125</v>
      </c>
      <c r="L1491" t="s">
        <v>3565</v>
      </c>
      <c r="U1491" t="s">
        <v>149</v>
      </c>
      <c r="W1491" t="s">
        <v>155</v>
      </c>
      <c r="X1491">
        <v>1</v>
      </c>
      <c r="AC1491" t="s">
        <v>136</v>
      </c>
      <c r="AE1491" t="s">
        <v>137</v>
      </c>
    </row>
    <row r="1492" spans="1:78" x14ac:dyDescent="0.2">
      <c r="A1492" t="s">
        <v>119</v>
      </c>
      <c r="B1492" t="s">
        <v>120</v>
      </c>
      <c r="C1492" t="s">
        <v>3560</v>
      </c>
      <c r="D1492">
        <v>16</v>
      </c>
      <c r="E1492" t="s">
        <v>3566</v>
      </c>
      <c r="F1492" t="s">
        <v>3567</v>
      </c>
      <c r="G1492" t="s">
        <v>124</v>
      </c>
      <c r="H1492" t="s">
        <v>125</v>
      </c>
      <c r="I1492">
        <v>12</v>
      </c>
      <c r="J1492" t="s">
        <v>268</v>
      </c>
      <c r="K1492" t="s">
        <v>125</v>
      </c>
      <c r="L1492" t="s">
        <v>3568</v>
      </c>
      <c r="U1492" t="s">
        <v>149</v>
      </c>
      <c r="W1492" t="s">
        <v>135</v>
      </c>
      <c r="X1492">
        <v>3</v>
      </c>
      <c r="AC1492" t="s">
        <v>136</v>
      </c>
      <c r="AE1492" t="s">
        <v>137</v>
      </c>
    </row>
    <row r="1493" spans="1:78" hidden="1" x14ac:dyDescent="0.2">
      <c r="A1493" t="s">
        <v>119</v>
      </c>
      <c r="B1493" t="s">
        <v>120</v>
      </c>
      <c r="C1493" t="s">
        <v>3569</v>
      </c>
      <c r="D1493">
        <v>4</v>
      </c>
      <c r="E1493" t="s">
        <v>632</v>
      </c>
      <c r="F1493" t="s">
        <v>632</v>
      </c>
      <c r="G1493" t="s">
        <v>124</v>
      </c>
      <c r="H1493" t="s">
        <v>125</v>
      </c>
      <c r="I1493">
        <v>0</v>
      </c>
      <c r="J1493" t="s">
        <v>126</v>
      </c>
      <c r="K1493" t="s">
        <v>125</v>
      </c>
      <c r="L1493" t="s">
        <v>3570</v>
      </c>
      <c r="AE1493" t="s">
        <v>128</v>
      </c>
    </row>
    <row r="1494" spans="1:78" hidden="1" x14ac:dyDescent="0.2">
      <c r="A1494" t="s">
        <v>119</v>
      </c>
      <c r="B1494" t="s">
        <v>120</v>
      </c>
      <c r="C1494" t="s">
        <v>3571</v>
      </c>
      <c r="D1494">
        <v>2</v>
      </c>
      <c r="E1494" t="s">
        <v>202</v>
      </c>
      <c r="F1494" t="s">
        <v>202</v>
      </c>
      <c r="G1494" t="s">
        <v>124</v>
      </c>
      <c r="H1494" t="s">
        <v>125</v>
      </c>
      <c r="I1494">
        <v>0</v>
      </c>
      <c r="J1494" t="s">
        <v>126</v>
      </c>
      <c r="K1494" t="s">
        <v>125</v>
      </c>
      <c r="L1494" t="s">
        <v>3572</v>
      </c>
      <c r="AE1494" t="s">
        <v>128</v>
      </c>
    </row>
    <row r="1495" spans="1:78" x14ac:dyDescent="0.2">
      <c r="A1495" t="s">
        <v>119</v>
      </c>
      <c r="B1495" t="s">
        <v>120</v>
      </c>
      <c r="C1495" t="s">
        <v>3571</v>
      </c>
      <c r="D1495">
        <v>4</v>
      </c>
      <c r="E1495" t="s">
        <v>3573</v>
      </c>
      <c r="F1495" t="s">
        <v>3574</v>
      </c>
      <c r="G1495" t="s">
        <v>124</v>
      </c>
      <c r="H1495" t="s">
        <v>125</v>
      </c>
      <c r="I1495">
        <v>2</v>
      </c>
      <c r="J1495" t="s">
        <v>264</v>
      </c>
      <c r="K1495" t="s">
        <v>125</v>
      </c>
      <c r="L1495" t="s">
        <v>3575</v>
      </c>
      <c r="U1495" t="s">
        <v>149</v>
      </c>
      <c r="W1495" t="s">
        <v>155</v>
      </c>
      <c r="X1495">
        <v>3</v>
      </c>
      <c r="AC1495" t="s">
        <v>136</v>
      </c>
      <c r="AE1495" t="s">
        <v>137</v>
      </c>
    </row>
    <row r="1496" spans="1:78" hidden="1" x14ac:dyDescent="0.2">
      <c r="A1496" t="s">
        <v>119</v>
      </c>
      <c r="B1496" t="s">
        <v>120</v>
      </c>
      <c r="C1496" t="s">
        <v>3576</v>
      </c>
      <c r="D1496">
        <v>5</v>
      </c>
      <c r="E1496" t="s">
        <v>3181</v>
      </c>
      <c r="F1496" t="s">
        <v>3181</v>
      </c>
      <c r="G1496" t="s">
        <v>124</v>
      </c>
      <c r="H1496" t="s">
        <v>125</v>
      </c>
      <c r="I1496">
        <v>0</v>
      </c>
      <c r="J1496" t="s">
        <v>126</v>
      </c>
      <c r="K1496" t="s">
        <v>125</v>
      </c>
      <c r="L1496" t="s">
        <v>3577</v>
      </c>
      <c r="AE1496" t="s">
        <v>128</v>
      </c>
      <c r="AG1496">
        <v>4</v>
      </c>
      <c r="AH1496" t="s">
        <v>2502</v>
      </c>
      <c r="AI1496" t="s">
        <v>572</v>
      </c>
      <c r="AJ1496" t="s">
        <v>131</v>
      </c>
      <c r="AK1496" t="s">
        <v>125</v>
      </c>
      <c r="AL1496">
        <v>5</v>
      </c>
      <c r="AM1496" t="s">
        <v>132</v>
      </c>
      <c r="AN1496" t="s">
        <v>125</v>
      </c>
      <c r="AO1496" t="s">
        <v>3578</v>
      </c>
      <c r="BP1496" t="s">
        <v>149</v>
      </c>
      <c r="BR1496" t="s">
        <v>135</v>
      </c>
      <c r="BS1496">
        <v>1</v>
      </c>
      <c r="BX1496" t="s">
        <v>136</v>
      </c>
      <c r="BZ1496" t="s">
        <v>137</v>
      </c>
    </row>
    <row r="1497" spans="1:78" hidden="1" x14ac:dyDescent="0.2">
      <c r="A1497" t="s">
        <v>119</v>
      </c>
      <c r="B1497" t="s">
        <v>120</v>
      </c>
      <c r="C1497" t="s">
        <v>3579</v>
      </c>
      <c r="D1497">
        <v>6</v>
      </c>
      <c r="E1497" t="s">
        <v>140</v>
      </c>
      <c r="F1497" t="s">
        <v>140</v>
      </c>
      <c r="G1497" t="s">
        <v>124</v>
      </c>
      <c r="H1497" t="s">
        <v>125</v>
      </c>
      <c r="I1497">
        <v>4</v>
      </c>
      <c r="J1497" t="s">
        <v>294</v>
      </c>
      <c r="K1497" t="s">
        <v>125</v>
      </c>
      <c r="L1497" t="s">
        <v>3580</v>
      </c>
      <c r="AE1497" t="s">
        <v>128</v>
      </c>
    </row>
    <row r="1498" spans="1:78" x14ac:dyDescent="0.2">
      <c r="A1498" t="s">
        <v>119</v>
      </c>
      <c r="B1498" t="s">
        <v>120</v>
      </c>
      <c r="C1498" t="s">
        <v>3581</v>
      </c>
      <c r="D1498">
        <v>3</v>
      </c>
      <c r="E1498" t="s">
        <v>3582</v>
      </c>
      <c r="F1498" t="s">
        <v>3181</v>
      </c>
      <c r="G1498" t="s">
        <v>124</v>
      </c>
      <c r="H1498" t="s">
        <v>125</v>
      </c>
      <c r="I1498">
        <v>0</v>
      </c>
      <c r="J1498" t="s">
        <v>126</v>
      </c>
      <c r="K1498" t="s">
        <v>125</v>
      </c>
      <c r="L1498" t="s">
        <v>3583</v>
      </c>
      <c r="U1498" t="s">
        <v>149</v>
      </c>
      <c r="W1498" t="s">
        <v>135</v>
      </c>
      <c r="X1498">
        <v>1</v>
      </c>
      <c r="AC1498" t="s">
        <v>136</v>
      </c>
      <c r="AE1498" t="s">
        <v>137</v>
      </c>
    </row>
    <row r="1499" spans="1:78" x14ac:dyDescent="0.2">
      <c r="A1499" t="s">
        <v>119</v>
      </c>
      <c r="B1499" t="s">
        <v>120</v>
      </c>
      <c r="C1499" t="s">
        <v>3581</v>
      </c>
      <c r="D1499">
        <v>7</v>
      </c>
      <c r="E1499" t="s">
        <v>3584</v>
      </c>
      <c r="F1499" t="s">
        <v>1001</v>
      </c>
      <c r="G1499" t="s">
        <v>124</v>
      </c>
      <c r="H1499" t="s">
        <v>125</v>
      </c>
      <c r="I1499">
        <v>3</v>
      </c>
      <c r="J1499" t="s">
        <v>268</v>
      </c>
      <c r="K1499" t="s">
        <v>125</v>
      </c>
      <c r="L1499" t="s">
        <v>3585</v>
      </c>
      <c r="U1499" t="s">
        <v>149</v>
      </c>
      <c r="W1499" t="s">
        <v>155</v>
      </c>
      <c r="X1499">
        <v>3</v>
      </c>
      <c r="AC1499" t="s">
        <v>136</v>
      </c>
      <c r="AE1499" t="s">
        <v>137</v>
      </c>
    </row>
    <row r="1500" spans="1:78" x14ac:dyDescent="0.2">
      <c r="A1500" t="s">
        <v>119</v>
      </c>
      <c r="B1500" t="s">
        <v>120</v>
      </c>
      <c r="C1500" t="s">
        <v>3586</v>
      </c>
      <c r="D1500">
        <v>1</v>
      </c>
      <c r="E1500" t="s">
        <v>1805</v>
      </c>
      <c r="F1500" t="s">
        <v>140</v>
      </c>
      <c r="G1500" t="s">
        <v>124</v>
      </c>
      <c r="H1500" t="s">
        <v>125</v>
      </c>
      <c r="I1500">
        <v>0</v>
      </c>
      <c r="J1500" t="s">
        <v>126</v>
      </c>
      <c r="K1500" t="s">
        <v>125</v>
      </c>
      <c r="L1500" t="s">
        <v>3587</v>
      </c>
      <c r="U1500" t="s">
        <v>209</v>
      </c>
      <c r="W1500" t="s">
        <v>155</v>
      </c>
      <c r="X1500">
        <v>1</v>
      </c>
      <c r="AC1500" t="s">
        <v>136</v>
      </c>
      <c r="AE1500" t="s">
        <v>137</v>
      </c>
    </row>
    <row r="1501" spans="1:78" x14ac:dyDescent="0.2">
      <c r="A1501" t="s">
        <v>119</v>
      </c>
      <c r="B1501" t="s">
        <v>120</v>
      </c>
      <c r="C1501" t="s">
        <v>3586</v>
      </c>
      <c r="D1501">
        <v>6</v>
      </c>
      <c r="E1501" t="s">
        <v>3588</v>
      </c>
      <c r="F1501" t="s">
        <v>3181</v>
      </c>
      <c r="G1501" t="s">
        <v>124</v>
      </c>
      <c r="H1501" t="s">
        <v>125</v>
      </c>
      <c r="I1501">
        <v>1</v>
      </c>
      <c r="J1501" t="s">
        <v>264</v>
      </c>
      <c r="K1501" t="s">
        <v>125</v>
      </c>
      <c r="L1501" t="s">
        <v>1469</v>
      </c>
      <c r="U1501" t="s">
        <v>149</v>
      </c>
      <c r="W1501" t="s">
        <v>135</v>
      </c>
      <c r="X1501">
        <v>3</v>
      </c>
      <c r="AC1501" t="s">
        <v>136</v>
      </c>
      <c r="AE1501" t="s">
        <v>137</v>
      </c>
    </row>
    <row r="1502" spans="1:78" x14ac:dyDescent="0.2">
      <c r="A1502" t="s">
        <v>119</v>
      </c>
      <c r="B1502" t="s">
        <v>120</v>
      </c>
      <c r="C1502" t="s">
        <v>3589</v>
      </c>
      <c r="D1502">
        <v>1</v>
      </c>
      <c r="E1502" t="s">
        <v>349</v>
      </c>
      <c r="F1502" t="s">
        <v>350</v>
      </c>
      <c r="G1502" t="s">
        <v>124</v>
      </c>
      <c r="H1502" t="s">
        <v>125</v>
      </c>
      <c r="I1502">
        <v>0</v>
      </c>
      <c r="J1502" t="s">
        <v>126</v>
      </c>
      <c r="K1502" t="s">
        <v>125</v>
      </c>
      <c r="L1502" t="s">
        <v>3590</v>
      </c>
      <c r="U1502" t="s">
        <v>149</v>
      </c>
      <c r="W1502" t="s">
        <v>135</v>
      </c>
      <c r="X1502">
        <v>2</v>
      </c>
      <c r="AC1502" t="s">
        <v>136</v>
      </c>
      <c r="AE1502" t="s">
        <v>137</v>
      </c>
    </row>
    <row r="1503" spans="1:78" hidden="1" x14ac:dyDescent="0.2">
      <c r="A1503" t="s">
        <v>119</v>
      </c>
      <c r="B1503" t="s">
        <v>120</v>
      </c>
      <c r="C1503" t="s">
        <v>3589</v>
      </c>
      <c r="D1503">
        <v>2</v>
      </c>
      <c r="E1503" t="s">
        <v>3591</v>
      </c>
      <c r="F1503" t="s">
        <v>3181</v>
      </c>
      <c r="G1503" t="s">
        <v>124</v>
      </c>
      <c r="H1503" t="s">
        <v>125</v>
      </c>
      <c r="I1503">
        <v>1</v>
      </c>
      <c r="J1503" t="s">
        <v>199</v>
      </c>
      <c r="K1503" t="s">
        <v>125</v>
      </c>
      <c r="L1503" t="s">
        <v>3592</v>
      </c>
      <c r="AB1503" t="s">
        <v>149</v>
      </c>
    </row>
    <row r="1504" spans="1:78" x14ac:dyDescent="0.2">
      <c r="A1504" t="s">
        <v>119</v>
      </c>
      <c r="B1504" t="s">
        <v>120</v>
      </c>
      <c r="C1504" t="s">
        <v>3593</v>
      </c>
      <c r="D1504">
        <v>3</v>
      </c>
      <c r="E1504" t="s">
        <v>537</v>
      </c>
      <c r="F1504" t="s">
        <v>261</v>
      </c>
      <c r="G1504" t="s">
        <v>124</v>
      </c>
      <c r="H1504" t="s">
        <v>125</v>
      </c>
      <c r="I1504">
        <v>0</v>
      </c>
      <c r="J1504" t="s">
        <v>126</v>
      </c>
      <c r="K1504" t="s">
        <v>125</v>
      </c>
      <c r="L1504" t="s">
        <v>3594</v>
      </c>
      <c r="U1504" t="s">
        <v>149</v>
      </c>
      <c r="W1504" t="s">
        <v>135</v>
      </c>
      <c r="X1504">
        <v>2</v>
      </c>
      <c r="AC1504" t="s">
        <v>136</v>
      </c>
      <c r="AE1504" t="s">
        <v>137</v>
      </c>
      <c r="AG1504">
        <v>2</v>
      </c>
      <c r="AH1504" t="s">
        <v>1515</v>
      </c>
      <c r="AI1504" t="s">
        <v>572</v>
      </c>
      <c r="AJ1504" t="s">
        <v>131</v>
      </c>
      <c r="AK1504" t="s">
        <v>125</v>
      </c>
      <c r="AL1504">
        <v>3</v>
      </c>
      <c r="AM1504" t="s">
        <v>132</v>
      </c>
      <c r="AN1504" t="s">
        <v>125</v>
      </c>
      <c r="AO1504" t="s">
        <v>3595</v>
      </c>
      <c r="BP1504" t="s">
        <v>149</v>
      </c>
      <c r="BR1504" t="s">
        <v>135</v>
      </c>
      <c r="BS1504">
        <v>2</v>
      </c>
      <c r="BX1504" t="s">
        <v>136</v>
      </c>
      <c r="BZ1504" t="s">
        <v>137</v>
      </c>
    </row>
    <row r="1505" spans="1:78" x14ac:dyDescent="0.2">
      <c r="A1505" t="s">
        <v>119</v>
      </c>
      <c r="B1505" t="s">
        <v>120</v>
      </c>
      <c r="C1505" t="s">
        <v>3593</v>
      </c>
      <c r="D1505">
        <v>5</v>
      </c>
      <c r="E1505" t="s">
        <v>801</v>
      </c>
      <c r="F1505" t="s">
        <v>667</v>
      </c>
      <c r="G1505" t="s">
        <v>124</v>
      </c>
      <c r="H1505" t="s">
        <v>125</v>
      </c>
      <c r="I1505">
        <v>3</v>
      </c>
      <c r="J1505" t="s">
        <v>264</v>
      </c>
      <c r="K1505" t="s">
        <v>125</v>
      </c>
      <c r="L1505" t="s">
        <v>3596</v>
      </c>
      <c r="U1505" t="s">
        <v>149</v>
      </c>
      <c r="W1505" t="s">
        <v>135</v>
      </c>
      <c r="X1505">
        <v>2</v>
      </c>
      <c r="AC1505" t="s">
        <v>136</v>
      </c>
      <c r="AE1505" t="s">
        <v>137</v>
      </c>
    </row>
    <row r="1506" spans="1:78" x14ac:dyDescent="0.2">
      <c r="A1506" t="s">
        <v>119</v>
      </c>
      <c r="B1506" t="s">
        <v>120</v>
      </c>
      <c r="C1506" t="s">
        <v>3597</v>
      </c>
      <c r="D1506">
        <v>10</v>
      </c>
      <c r="E1506" t="s">
        <v>3598</v>
      </c>
      <c r="F1506" t="s">
        <v>3181</v>
      </c>
      <c r="G1506" t="s">
        <v>124</v>
      </c>
      <c r="H1506" t="s">
        <v>125</v>
      </c>
      <c r="I1506">
        <v>2</v>
      </c>
      <c r="J1506" t="s">
        <v>170</v>
      </c>
      <c r="K1506" t="s">
        <v>125</v>
      </c>
      <c r="L1506" t="s">
        <v>3599</v>
      </c>
      <c r="U1506" t="s">
        <v>149</v>
      </c>
      <c r="W1506" t="s">
        <v>135</v>
      </c>
      <c r="X1506">
        <v>3</v>
      </c>
      <c r="AC1506" t="s">
        <v>136</v>
      </c>
      <c r="AE1506" t="s">
        <v>137</v>
      </c>
    </row>
    <row r="1507" spans="1:78" x14ac:dyDescent="0.2">
      <c r="A1507" t="s">
        <v>119</v>
      </c>
      <c r="B1507" t="s">
        <v>120</v>
      </c>
      <c r="C1507" t="s">
        <v>3600</v>
      </c>
      <c r="D1507">
        <v>3</v>
      </c>
      <c r="E1507" t="s">
        <v>3601</v>
      </c>
      <c r="F1507" t="s">
        <v>261</v>
      </c>
      <c r="G1507" t="s">
        <v>124</v>
      </c>
      <c r="H1507" t="s">
        <v>125</v>
      </c>
      <c r="I1507">
        <v>6</v>
      </c>
      <c r="J1507" t="s">
        <v>199</v>
      </c>
      <c r="K1507" t="s">
        <v>125</v>
      </c>
      <c r="L1507" t="s">
        <v>3602</v>
      </c>
      <c r="U1507" t="s">
        <v>309</v>
      </c>
      <c r="W1507" t="s">
        <v>135</v>
      </c>
      <c r="X1507">
        <v>3</v>
      </c>
      <c r="AC1507" t="s">
        <v>136</v>
      </c>
      <c r="AE1507" t="s">
        <v>137</v>
      </c>
    </row>
    <row r="1508" spans="1:78" x14ac:dyDescent="0.2">
      <c r="A1508" t="s">
        <v>119</v>
      </c>
      <c r="B1508" t="s">
        <v>120</v>
      </c>
      <c r="C1508" t="s">
        <v>3600</v>
      </c>
      <c r="D1508">
        <v>6</v>
      </c>
      <c r="E1508" t="s">
        <v>3603</v>
      </c>
      <c r="F1508" t="s">
        <v>3604</v>
      </c>
      <c r="G1508" t="s">
        <v>124</v>
      </c>
      <c r="H1508" t="s">
        <v>125</v>
      </c>
      <c r="I1508">
        <v>0</v>
      </c>
      <c r="J1508" t="s">
        <v>126</v>
      </c>
      <c r="K1508" t="s">
        <v>125</v>
      </c>
      <c r="L1508" t="s">
        <v>3605</v>
      </c>
      <c r="U1508" t="s">
        <v>149</v>
      </c>
      <c r="W1508" t="s">
        <v>135</v>
      </c>
      <c r="X1508">
        <v>3</v>
      </c>
      <c r="AC1508" t="s">
        <v>136</v>
      </c>
      <c r="AE1508" t="s">
        <v>137</v>
      </c>
    </row>
    <row r="1509" spans="1:78" x14ac:dyDescent="0.2">
      <c r="A1509" t="s">
        <v>119</v>
      </c>
      <c r="B1509" t="s">
        <v>120</v>
      </c>
      <c r="C1509" t="s">
        <v>3600</v>
      </c>
      <c r="D1509">
        <v>9</v>
      </c>
      <c r="E1509" t="s">
        <v>3606</v>
      </c>
      <c r="F1509" t="s">
        <v>3607</v>
      </c>
      <c r="G1509" t="s">
        <v>124</v>
      </c>
      <c r="H1509" t="s">
        <v>125</v>
      </c>
      <c r="I1509">
        <v>6</v>
      </c>
      <c r="J1509" t="s">
        <v>294</v>
      </c>
      <c r="K1509" t="s">
        <v>125</v>
      </c>
      <c r="L1509" t="s">
        <v>3608</v>
      </c>
      <c r="U1509" t="s">
        <v>149</v>
      </c>
      <c r="W1509" t="s">
        <v>155</v>
      </c>
      <c r="X1509">
        <v>2</v>
      </c>
      <c r="AC1509" t="s">
        <v>136</v>
      </c>
      <c r="AE1509" t="s">
        <v>137</v>
      </c>
    </row>
    <row r="1510" spans="1:78" x14ac:dyDescent="0.2">
      <c r="A1510" t="s">
        <v>119</v>
      </c>
      <c r="B1510" t="s">
        <v>120</v>
      </c>
      <c r="C1510" t="s">
        <v>3600</v>
      </c>
      <c r="D1510">
        <v>12</v>
      </c>
      <c r="E1510" t="s">
        <v>801</v>
      </c>
      <c r="F1510" t="s">
        <v>667</v>
      </c>
      <c r="G1510" t="s">
        <v>124</v>
      </c>
      <c r="H1510" t="s">
        <v>125</v>
      </c>
      <c r="I1510">
        <v>3</v>
      </c>
      <c r="J1510" t="s">
        <v>264</v>
      </c>
      <c r="K1510" t="s">
        <v>125</v>
      </c>
      <c r="L1510" t="s">
        <v>3609</v>
      </c>
      <c r="U1510" t="s">
        <v>149</v>
      </c>
      <c r="W1510" t="s">
        <v>135</v>
      </c>
      <c r="X1510">
        <v>2</v>
      </c>
      <c r="AC1510" t="s">
        <v>136</v>
      </c>
      <c r="AE1510" t="s">
        <v>137</v>
      </c>
    </row>
    <row r="1511" spans="1:78" x14ac:dyDescent="0.2">
      <c r="A1511" t="s">
        <v>119</v>
      </c>
      <c r="B1511" t="s">
        <v>120</v>
      </c>
      <c r="C1511" t="s">
        <v>3610</v>
      </c>
      <c r="D1511">
        <v>4</v>
      </c>
      <c r="E1511" t="s">
        <v>3611</v>
      </c>
      <c r="F1511" t="s">
        <v>954</v>
      </c>
      <c r="G1511" t="s">
        <v>124</v>
      </c>
      <c r="H1511" t="s">
        <v>125</v>
      </c>
      <c r="I1511">
        <v>0</v>
      </c>
      <c r="J1511" t="s">
        <v>126</v>
      </c>
      <c r="K1511" t="s">
        <v>125</v>
      </c>
      <c r="L1511" t="s">
        <v>3612</v>
      </c>
      <c r="U1511" t="s">
        <v>134</v>
      </c>
      <c r="W1511" t="s">
        <v>155</v>
      </c>
      <c r="X1511">
        <v>2</v>
      </c>
      <c r="AC1511" t="s">
        <v>136</v>
      </c>
      <c r="AE1511" t="s">
        <v>137</v>
      </c>
    </row>
    <row r="1512" spans="1:78" hidden="1" x14ac:dyDescent="0.2">
      <c r="A1512" t="s">
        <v>119</v>
      </c>
      <c r="B1512" t="s">
        <v>120</v>
      </c>
      <c r="C1512" t="s">
        <v>3610</v>
      </c>
      <c r="D1512">
        <v>6</v>
      </c>
      <c r="E1512" t="s">
        <v>3181</v>
      </c>
      <c r="F1512" t="s">
        <v>3181</v>
      </c>
      <c r="G1512" t="s">
        <v>124</v>
      </c>
      <c r="H1512" t="s">
        <v>125</v>
      </c>
      <c r="I1512">
        <v>4</v>
      </c>
      <c r="J1512" t="s">
        <v>294</v>
      </c>
      <c r="K1512" t="s">
        <v>125</v>
      </c>
      <c r="L1512" t="s">
        <v>3613</v>
      </c>
      <c r="AE1512" t="s">
        <v>128</v>
      </c>
    </row>
    <row r="1513" spans="1:78" hidden="1" x14ac:dyDescent="0.2">
      <c r="A1513" t="s">
        <v>119</v>
      </c>
      <c r="B1513" t="s">
        <v>120</v>
      </c>
      <c r="C1513" t="s">
        <v>3610</v>
      </c>
      <c r="D1513">
        <v>11</v>
      </c>
      <c r="E1513" t="s">
        <v>140</v>
      </c>
      <c r="F1513" t="s">
        <v>140</v>
      </c>
      <c r="G1513" t="s">
        <v>124</v>
      </c>
      <c r="H1513" t="s">
        <v>125</v>
      </c>
      <c r="I1513">
        <v>7</v>
      </c>
      <c r="J1513" t="s">
        <v>642</v>
      </c>
      <c r="K1513" t="s">
        <v>125</v>
      </c>
      <c r="L1513" t="s">
        <v>3614</v>
      </c>
      <c r="AE1513" t="s">
        <v>128</v>
      </c>
      <c r="AG1513">
        <v>10</v>
      </c>
      <c r="AH1513" t="s">
        <v>3340</v>
      </c>
      <c r="AI1513" t="s">
        <v>572</v>
      </c>
      <c r="AJ1513" t="s">
        <v>131</v>
      </c>
      <c r="AK1513" t="s">
        <v>125</v>
      </c>
      <c r="AL1513">
        <v>11</v>
      </c>
      <c r="AM1513" t="s">
        <v>132</v>
      </c>
      <c r="AN1513" t="s">
        <v>125</v>
      </c>
      <c r="AO1513" t="s">
        <v>3615</v>
      </c>
      <c r="BP1513" t="s">
        <v>309</v>
      </c>
      <c r="BR1513" t="s">
        <v>135</v>
      </c>
      <c r="BS1513">
        <v>3</v>
      </c>
      <c r="BX1513" t="s">
        <v>136</v>
      </c>
      <c r="BZ1513" t="s">
        <v>137</v>
      </c>
    </row>
    <row r="1514" spans="1:78" x14ac:dyDescent="0.2">
      <c r="A1514" t="s">
        <v>119</v>
      </c>
      <c r="B1514" t="s">
        <v>120</v>
      </c>
      <c r="C1514" t="s">
        <v>3616</v>
      </c>
      <c r="D1514">
        <v>8</v>
      </c>
      <c r="E1514" t="s">
        <v>232</v>
      </c>
      <c r="F1514" t="s">
        <v>205</v>
      </c>
      <c r="G1514" t="s">
        <v>124</v>
      </c>
      <c r="H1514" t="s">
        <v>125</v>
      </c>
      <c r="I1514">
        <v>0</v>
      </c>
      <c r="J1514" t="s">
        <v>126</v>
      </c>
      <c r="K1514" t="s">
        <v>125</v>
      </c>
      <c r="L1514" t="s">
        <v>3617</v>
      </c>
      <c r="U1514" t="s">
        <v>149</v>
      </c>
      <c r="W1514" t="s">
        <v>155</v>
      </c>
      <c r="X1514">
        <v>1</v>
      </c>
      <c r="AC1514" t="s">
        <v>136</v>
      </c>
      <c r="AE1514" t="s">
        <v>137</v>
      </c>
    </row>
    <row r="1515" spans="1:78" x14ac:dyDescent="0.2">
      <c r="A1515" t="s">
        <v>119</v>
      </c>
      <c r="B1515" t="s">
        <v>120</v>
      </c>
      <c r="C1515" t="s">
        <v>3618</v>
      </c>
      <c r="D1515">
        <v>3</v>
      </c>
      <c r="E1515" t="s">
        <v>145</v>
      </c>
      <c r="F1515" t="s">
        <v>146</v>
      </c>
      <c r="G1515" t="s">
        <v>124</v>
      </c>
      <c r="H1515" t="s">
        <v>125</v>
      </c>
      <c r="I1515">
        <v>0</v>
      </c>
      <c r="J1515" t="s">
        <v>126</v>
      </c>
      <c r="K1515" t="s">
        <v>125</v>
      </c>
      <c r="L1515" t="s">
        <v>482</v>
      </c>
      <c r="U1515" t="s">
        <v>149</v>
      </c>
      <c r="W1515" t="s">
        <v>135</v>
      </c>
      <c r="X1515">
        <v>3</v>
      </c>
      <c r="AC1515" t="s">
        <v>136</v>
      </c>
      <c r="AE1515" t="s">
        <v>137</v>
      </c>
    </row>
    <row r="1516" spans="1:78" hidden="1" x14ac:dyDescent="0.2">
      <c r="A1516" t="s">
        <v>119</v>
      </c>
      <c r="B1516" t="s">
        <v>120</v>
      </c>
      <c r="C1516" t="s">
        <v>3618</v>
      </c>
      <c r="D1516">
        <v>5</v>
      </c>
      <c r="E1516" t="s">
        <v>261</v>
      </c>
      <c r="F1516" t="s">
        <v>261</v>
      </c>
      <c r="G1516" t="s">
        <v>124</v>
      </c>
      <c r="H1516" t="s">
        <v>125</v>
      </c>
      <c r="I1516">
        <v>3</v>
      </c>
      <c r="J1516" t="s">
        <v>268</v>
      </c>
      <c r="K1516" t="s">
        <v>125</v>
      </c>
      <c r="L1516" t="s">
        <v>3619</v>
      </c>
      <c r="AE1516" t="s">
        <v>128</v>
      </c>
    </row>
    <row r="1517" spans="1:78" hidden="1" x14ac:dyDescent="0.2">
      <c r="A1517" t="s">
        <v>119</v>
      </c>
      <c r="B1517" t="s">
        <v>120</v>
      </c>
      <c r="C1517" t="s">
        <v>3620</v>
      </c>
      <c r="D1517">
        <v>7</v>
      </c>
      <c r="E1517" t="s">
        <v>448</v>
      </c>
      <c r="F1517" t="s">
        <v>449</v>
      </c>
      <c r="G1517" t="s">
        <v>124</v>
      </c>
      <c r="H1517" t="s">
        <v>125</v>
      </c>
      <c r="I1517">
        <v>5</v>
      </c>
      <c r="J1517" t="s">
        <v>386</v>
      </c>
      <c r="K1517" t="s">
        <v>125</v>
      </c>
      <c r="L1517" t="s">
        <v>3621</v>
      </c>
      <c r="T1517" t="s">
        <v>154</v>
      </c>
      <c r="W1517" t="s">
        <v>135</v>
      </c>
      <c r="AC1517" t="s">
        <v>143</v>
      </c>
      <c r="AE1517" t="s">
        <v>144</v>
      </c>
    </row>
    <row r="1518" spans="1:78" x14ac:dyDescent="0.2">
      <c r="A1518" t="s">
        <v>119</v>
      </c>
      <c r="B1518" t="s">
        <v>120</v>
      </c>
      <c r="C1518" t="s">
        <v>3620</v>
      </c>
      <c r="D1518">
        <v>8</v>
      </c>
      <c r="E1518" t="s">
        <v>3622</v>
      </c>
      <c r="F1518" t="s">
        <v>3623</v>
      </c>
      <c r="G1518" t="s">
        <v>124</v>
      </c>
      <c r="H1518" t="s">
        <v>125</v>
      </c>
      <c r="I1518">
        <v>0</v>
      </c>
      <c r="J1518" t="s">
        <v>126</v>
      </c>
      <c r="K1518" t="s">
        <v>125</v>
      </c>
      <c r="L1518" t="s">
        <v>3624</v>
      </c>
      <c r="U1518" t="s">
        <v>149</v>
      </c>
      <c r="W1518" t="s">
        <v>135</v>
      </c>
      <c r="X1518">
        <v>3</v>
      </c>
      <c r="AC1518" t="s">
        <v>136</v>
      </c>
      <c r="AE1518" t="s">
        <v>137</v>
      </c>
    </row>
    <row r="1519" spans="1:78" hidden="1" x14ac:dyDescent="0.2">
      <c r="A1519" t="s">
        <v>119</v>
      </c>
      <c r="B1519" t="s">
        <v>120</v>
      </c>
      <c r="C1519" t="s">
        <v>3620</v>
      </c>
      <c r="D1519">
        <v>10</v>
      </c>
      <c r="E1519" t="s">
        <v>494</v>
      </c>
      <c r="F1519" t="s">
        <v>494</v>
      </c>
      <c r="G1519" t="s">
        <v>124</v>
      </c>
      <c r="H1519" t="s">
        <v>125</v>
      </c>
      <c r="I1519">
        <v>8</v>
      </c>
      <c r="J1519" t="s">
        <v>294</v>
      </c>
      <c r="K1519" t="s">
        <v>125</v>
      </c>
      <c r="L1519" t="s">
        <v>3625</v>
      </c>
      <c r="AE1519" t="s">
        <v>128</v>
      </c>
    </row>
    <row r="1520" spans="1:78" hidden="1" x14ac:dyDescent="0.2">
      <c r="A1520" t="s">
        <v>119</v>
      </c>
      <c r="B1520" t="s">
        <v>120</v>
      </c>
      <c r="C1520" t="s">
        <v>3626</v>
      </c>
      <c r="D1520">
        <v>2</v>
      </c>
      <c r="E1520" t="s">
        <v>407</v>
      </c>
      <c r="F1520" t="s">
        <v>140</v>
      </c>
      <c r="G1520" t="s">
        <v>124</v>
      </c>
      <c r="H1520" t="s">
        <v>125</v>
      </c>
      <c r="I1520">
        <v>0</v>
      </c>
      <c r="J1520" t="s">
        <v>126</v>
      </c>
      <c r="K1520" t="s">
        <v>125</v>
      </c>
      <c r="L1520" t="s">
        <v>3627</v>
      </c>
      <c r="T1520" t="s">
        <v>154</v>
      </c>
      <c r="W1520" t="s">
        <v>135</v>
      </c>
      <c r="AC1520" t="s">
        <v>143</v>
      </c>
      <c r="AE1520" t="s">
        <v>144</v>
      </c>
      <c r="AG1520">
        <v>1</v>
      </c>
      <c r="AH1520" t="s">
        <v>145</v>
      </c>
      <c r="AI1520" t="s">
        <v>146</v>
      </c>
      <c r="AJ1520" t="s">
        <v>131</v>
      </c>
      <c r="AK1520" t="s">
        <v>125</v>
      </c>
      <c r="AL1520">
        <v>2</v>
      </c>
      <c r="AM1520" t="s">
        <v>147</v>
      </c>
      <c r="AN1520" t="s">
        <v>125</v>
      </c>
      <c r="AO1520" t="s">
        <v>3628</v>
      </c>
      <c r="BP1520" t="s">
        <v>149</v>
      </c>
      <c r="BR1520" t="s">
        <v>135</v>
      </c>
      <c r="BS1520">
        <v>3</v>
      </c>
      <c r="BX1520" t="s">
        <v>136</v>
      </c>
      <c r="BZ1520" t="s">
        <v>137</v>
      </c>
    </row>
    <row r="1521" spans="1:31" x14ac:dyDescent="0.2">
      <c r="A1521" t="s">
        <v>119</v>
      </c>
      <c r="B1521" t="s">
        <v>120</v>
      </c>
      <c r="C1521" t="s">
        <v>3629</v>
      </c>
      <c r="D1521">
        <v>8</v>
      </c>
      <c r="E1521" t="s">
        <v>3622</v>
      </c>
      <c r="F1521" t="s">
        <v>3623</v>
      </c>
      <c r="G1521" t="s">
        <v>124</v>
      </c>
      <c r="H1521" t="s">
        <v>125</v>
      </c>
      <c r="I1521">
        <v>6</v>
      </c>
      <c r="J1521" t="s">
        <v>170</v>
      </c>
      <c r="K1521" t="s">
        <v>125</v>
      </c>
      <c r="L1521" t="s">
        <v>3630</v>
      </c>
      <c r="U1521" t="s">
        <v>149</v>
      </c>
      <c r="W1521" t="s">
        <v>135</v>
      </c>
      <c r="X1521">
        <v>3</v>
      </c>
      <c r="AC1521" t="s">
        <v>136</v>
      </c>
      <c r="AE1521" t="s">
        <v>137</v>
      </c>
    </row>
    <row r="1522" spans="1:31" hidden="1" x14ac:dyDescent="0.2">
      <c r="A1522" t="s">
        <v>119</v>
      </c>
      <c r="B1522" t="s">
        <v>120</v>
      </c>
      <c r="C1522" t="s">
        <v>3629</v>
      </c>
      <c r="D1522">
        <v>10</v>
      </c>
      <c r="E1522" t="s">
        <v>811</v>
      </c>
      <c r="F1522" t="s">
        <v>811</v>
      </c>
      <c r="G1522" t="s">
        <v>124</v>
      </c>
      <c r="H1522" t="s">
        <v>125</v>
      </c>
      <c r="I1522">
        <v>8</v>
      </c>
      <c r="J1522" t="s">
        <v>294</v>
      </c>
      <c r="K1522" t="s">
        <v>125</v>
      </c>
      <c r="L1522" t="s">
        <v>3631</v>
      </c>
      <c r="AE1522" t="s">
        <v>128</v>
      </c>
    </row>
    <row r="1523" spans="1:31" hidden="1" x14ac:dyDescent="0.2">
      <c r="A1523" t="s">
        <v>119</v>
      </c>
      <c r="B1523" t="s">
        <v>120</v>
      </c>
      <c r="C1523" t="s">
        <v>3632</v>
      </c>
      <c r="D1523">
        <v>5</v>
      </c>
      <c r="E1523" t="s">
        <v>667</v>
      </c>
      <c r="F1523" t="s">
        <v>667</v>
      </c>
      <c r="G1523" t="s">
        <v>124</v>
      </c>
      <c r="H1523" t="s">
        <v>125</v>
      </c>
      <c r="I1523">
        <v>4</v>
      </c>
      <c r="J1523" t="s">
        <v>3633</v>
      </c>
      <c r="K1523" t="s">
        <v>125</v>
      </c>
      <c r="L1523" t="s">
        <v>3634</v>
      </c>
      <c r="AE1523" t="s">
        <v>128</v>
      </c>
    </row>
    <row r="1524" spans="1:31" x14ac:dyDescent="0.2">
      <c r="A1524" t="s">
        <v>119</v>
      </c>
      <c r="B1524" t="s">
        <v>120</v>
      </c>
      <c r="C1524" t="s">
        <v>3632</v>
      </c>
      <c r="D1524">
        <v>6</v>
      </c>
      <c r="E1524" t="s">
        <v>3622</v>
      </c>
      <c r="F1524" t="s">
        <v>3623</v>
      </c>
      <c r="G1524" t="s">
        <v>124</v>
      </c>
      <c r="H1524" t="s">
        <v>125</v>
      </c>
      <c r="I1524">
        <v>0</v>
      </c>
      <c r="J1524" t="s">
        <v>126</v>
      </c>
      <c r="K1524" t="s">
        <v>125</v>
      </c>
      <c r="L1524" t="s">
        <v>3635</v>
      </c>
      <c r="U1524" t="s">
        <v>149</v>
      </c>
      <c r="W1524" t="s">
        <v>135</v>
      </c>
      <c r="X1524">
        <v>3</v>
      </c>
      <c r="AC1524" t="s">
        <v>136</v>
      </c>
      <c r="AE1524" t="s">
        <v>137</v>
      </c>
    </row>
    <row r="1525" spans="1:31" hidden="1" x14ac:dyDescent="0.2">
      <c r="A1525" t="s">
        <v>119</v>
      </c>
      <c r="B1525" t="s">
        <v>120</v>
      </c>
      <c r="C1525" t="s">
        <v>3632</v>
      </c>
      <c r="D1525">
        <v>8</v>
      </c>
      <c r="E1525" t="s">
        <v>494</v>
      </c>
      <c r="F1525" t="s">
        <v>494</v>
      </c>
      <c r="G1525" t="s">
        <v>124</v>
      </c>
      <c r="H1525" t="s">
        <v>125</v>
      </c>
      <c r="I1525">
        <v>6</v>
      </c>
      <c r="J1525" t="s">
        <v>294</v>
      </c>
      <c r="K1525" t="s">
        <v>125</v>
      </c>
      <c r="L1525" t="s">
        <v>3636</v>
      </c>
      <c r="AE1525" t="s">
        <v>128</v>
      </c>
    </row>
    <row r="1526" spans="1:31" hidden="1" x14ac:dyDescent="0.2">
      <c r="A1526" t="s">
        <v>119</v>
      </c>
      <c r="B1526" t="s">
        <v>120</v>
      </c>
      <c r="C1526" t="s">
        <v>3637</v>
      </c>
      <c r="D1526">
        <v>3</v>
      </c>
      <c r="E1526" t="s">
        <v>3638</v>
      </c>
      <c r="F1526" t="s">
        <v>202</v>
      </c>
      <c r="G1526" t="s">
        <v>124</v>
      </c>
      <c r="H1526" t="s">
        <v>125</v>
      </c>
      <c r="I1526">
        <v>4</v>
      </c>
      <c r="J1526" t="s">
        <v>210</v>
      </c>
      <c r="K1526" t="s">
        <v>125</v>
      </c>
      <c r="L1526" t="s">
        <v>3639</v>
      </c>
    </row>
    <row r="1527" spans="1:31" x14ac:dyDescent="0.2">
      <c r="A1527" t="s">
        <v>119</v>
      </c>
      <c r="B1527" t="s">
        <v>120</v>
      </c>
      <c r="C1527" t="s">
        <v>3637</v>
      </c>
      <c r="D1527">
        <v>4</v>
      </c>
      <c r="E1527" t="s">
        <v>3638</v>
      </c>
      <c r="F1527" t="s">
        <v>202</v>
      </c>
      <c r="G1527" t="s">
        <v>124</v>
      </c>
      <c r="H1527" t="s">
        <v>125</v>
      </c>
      <c r="I1527">
        <v>0</v>
      </c>
      <c r="J1527" t="s">
        <v>126</v>
      </c>
      <c r="K1527" t="s">
        <v>125</v>
      </c>
      <c r="L1527" t="s">
        <v>3640</v>
      </c>
      <c r="U1527" t="s">
        <v>209</v>
      </c>
      <c r="W1527" t="s">
        <v>155</v>
      </c>
      <c r="X1527">
        <v>2</v>
      </c>
      <c r="AC1527" t="s">
        <v>136</v>
      </c>
      <c r="AE1527" t="s">
        <v>137</v>
      </c>
    </row>
    <row r="1528" spans="1:31" x14ac:dyDescent="0.2">
      <c r="A1528" t="s">
        <v>119</v>
      </c>
      <c r="B1528" t="s">
        <v>120</v>
      </c>
      <c r="C1528" t="s">
        <v>3641</v>
      </c>
      <c r="D1528">
        <v>3</v>
      </c>
      <c r="E1528" t="s">
        <v>229</v>
      </c>
      <c r="F1528" t="s">
        <v>205</v>
      </c>
      <c r="G1528" t="s">
        <v>124</v>
      </c>
      <c r="H1528" t="s">
        <v>125</v>
      </c>
      <c r="I1528">
        <v>0</v>
      </c>
      <c r="J1528" t="s">
        <v>126</v>
      </c>
      <c r="K1528" t="s">
        <v>125</v>
      </c>
      <c r="L1528" t="s">
        <v>3642</v>
      </c>
      <c r="U1528" t="s">
        <v>149</v>
      </c>
      <c r="W1528" t="s">
        <v>155</v>
      </c>
      <c r="X1528">
        <v>2</v>
      </c>
      <c r="AC1528" t="s">
        <v>136</v>
      </c>
      <c r="AE1528" t="s">
        <v>137</v>
      </c>
    </row>
    <row r="1529" spans="1:31" x14ac:dyDescent="0.2">
      <c r="A1529" t="s">
        <v>119</v>
      </c>
      <c r="B1529" t="s">
        <v>120</v>
      </c>
      <c r="C1529" t="s">
        <v>3643</v>
      </c>
      <c r="D1529">
        <v>3</v>
      </c>
      <c r="E1529" t="s">
        <v>3644</v>
      </c>
      <c r="F1529" t="s">
        <v>3645</v>
      </c>
      <c r="G1529" t="s">
        <v>124</v>
      </c>
      <c r="H1529" t="s">
        <v>125</v>
      </c>
      <c r="I1529">
        <v>1</v>
      </c>
      <c r="J1529" t="s">
        <v>170</v>
      </c>
      <c r="K1529" t="s">
        <v>125</v>
      </c>
      <c r="L1529" t="s">
        <v>3646</v>
      </c>
      <c r="U1529" t="s">
        <v>149</v>
      </c>
      <c r="W1529" t="s">
        <v>135</v>
      </c>
      <c r="X1529">
        <v>3</v>
      </c>
      <c r="AC1529" t="s">
        <v>136</v>
      </c>
      <c r="AE1529" t="s">
        <v>137</v>
      </c>
    </row>
    <row r="1530" spans="1:31" hidden="1" x14ac:dyDescent="0.2">
      <c r="A1530" t="s">
        <v>119</v>
      </c>
      <c r="B1530" t="s">
        <v>120</v>
      </c>
      <c r="C1530" t="s">
        <v>3647</v>
      </c>
      <c r="D1530">
        <v>2</v>
      </c>
      <c r="E1530" t="s">
        <v>667</v>
      </c>
      <c r="F1530" t="s">
        <v>667</v>
      </c>
      <c r="G1530" t="s">
        <v>124</v>
      </c>
      <c r="H1530" t="s">
        <v>125</v>
      </c>
      <c r="I1530">
        <v>0</v>
      </c>
      <c r="J1530" t="s">
        <v>126</v>
      </c>
      <c r="K1530" t="s">
        <v>125</v>
      </c>
      <c r="L1530" t="s">
        <v>3648</v>
      </c>
      <c r="T1530" t="s">
        <v>154</v>
      </c>
      <c r="W1530" t="s">
        <v>135</v>
      </c>
    </row>
    <row r="1531" spans="1:31" x14ac:dyDescent="0.2">
      <c r="A1531" t="s">
        <v>119</v>
      </c>
      <c r="B1531" t="s">
        <v>120</v>
      </c>
      <c r="C1531" t="s">
        <v>3649</v>
      </c>
      <c r="D1531">
        <v>11</v>
      </c>
      <c r="E1531" t="s">
        <v>3650</v>
      </c>
      <c r="F1531" t="s">
        <v>3651</v>
      </c>
      <c r="G1531" t="s">
        <v>124</v>
      </c>
      <c r="H1531" t="s">
        <v>125</v>
      </c>
      <c r="I1531">
        <v>8</v>
      </c>
      <c r="J1531" t="s">
        <v>367</v>
      </c>
      <c r="K1531" t="s">
        <v>125</v>
      </c>
      <c r="L1531" t="s">
        <v>3652</v>
      </c>
      <c r="U1531" t="s">
        <v>209</v>
      </c>
      <c r="W1531" t="s">
        <v>155</v>
      </c>
      <c r="X1531">
        <v>3</v>
      </c>
      <c r="AC1531" t="s">
        <v>136</v>
      </c>
      <c r="AE1531" t="s">
        <v>137</v>
      </c>
    </row>
    <row r="1532" spans="1:31" x14ac:dyDescent="0.2">
      <c r="A1532" t="s">
        <v>119</v>
      </c>
      <c r="B1532" t="s">
        <v>120</v>
      </c>
      <c r="C1532" t="s">
        <v>3653</v>
      </c>
      <c r="D1532">
        <v>2</v>
      </c>
      <c r="E1532" t="s">
        <v>1674</v>
      </c>
      <c r="F1532" t="s">
        <v>261</v>
      </c>
      <c r="G1532" t="s">
        <v>124</v>
      </c>
      <c r="H1532" t="s">
        <v>125</v>
      </c>
      <c r="I1532">
        <v>0</v>
      </c>
      <c r="J1532" t="s">
        <v>126</v>
      </c>
      <c r="K1532" t="s">
        <v>125</v>
      </c>
      <c r="L1532" t="s">
        <v>3654</v>
      </c>
      <c r="U1532" t="s">
        <v>149</v>
      </c>
      <c r="W1532" t="s">
        <v>135</v>
      </c>
      <c r="X1532">
        <v>1</v>
      </c>
      <c r="AC1532" t="s">
        <v>136</v>
      </c>
      <c r="AE1532" t="s">
        <v>137</v>
      </c>
    </row>
    <row r="1533" spans="1:31" x14ac:dyDescent="0.2">
      <c r="A1533" t="s">
        <v>119</v>
      </c>
      <c r="B1533" t="s">
        <v>120</v>
      </c>
      <c r="C1533" t="s">
        <v>3653</v>
      </c>
      <c r="D1533">
        <v>19</v>
      </c>
      <c r="E1533" t="s">
        <v>145</v>
      </c>
      <c r="F1533" t="s">
        <v>146</v>
      </c>
      <c r="G1533" t="s">
        <v>124</v>
      </c>
      <c r="H1533" t="s">
        <v>125</v>
      </c>
      <c r="I1533">
        <v>2</v>
      </c>
      <c r="J1533" t="s">
        <v>367</v>
      </c>
      <c r="K1533" t="s">
        <v>125</v>
      </c>
      <c r="L1533" t="s">
        <v>3655</v>
      </c>
      <c r="U1533" t="s">
        <v>149</v>
      </c>
      <c r="W1533" t="s">
        <v>135</v>
      </c>
      <c r="X1533">
        <v>3</v>
      </c>
      <c r="AC1533" t="s">
        <v>136</v>
      </c>
      <c r="AE1533" t="s">
        <v>137</v>
      </c>
    </row>
    <row r="1534" spans="1:31" x14ac:dyDescent="0.2">
      <c r="A1534" t="s">
        <v>119</v>
      </c>
      <c r="B1534" t="s">
        <v>120</v>
      </c>
      <c r="C1534" t="s">
        <v>3656</v>
      </c>
      <c r="D1534">
        <v>2</v>
      </c>
      <c r="E1534" t="s">
        <v>145</v>
      </c>
      <c r="F1534" t="s">
        <v>146</v>
      </c>
      <c r="G1534" t="s">
        <v>124</v>
      </c>
      <c r="H1534" t="s">
        <v>125</v>
      </c>
      <c r="I1534">
        <v>0</v>
      </c>
      <c r="J1534" t="s">
        <v>126</v>
      </c>
      <c r="K1534" t="s">
        <v>125</v>
      </c>
      <c r="L1534" t="s">
        <v>3657</v>
      </c>
      <c r="U1534" t="s">
        <v>149</v>
      </c>
      <c r="W1534" t="s">
        <v>135</v>
      </c>
      <c r="X1534">
        <v>3</v>
      </c>
      <c r="AC1534" t="s">
        <v>136</v>
      </c>
      <c r="AE1534" t="s">
        <v>137</v>
      </c>
    </row>
    <row r="1535" spans="1:31" x14ac:dyDescent="0.2">
      <c r="A1535" t="s">
        <v>119</v>
      </c>
      <c r="B1535" t="s">
        <v>120</v>
      </c>
      <c r="C1535" t="s">
        <v>3658</v>
      </c>
      <c r="D1535">
        <v>2</v>
      </c>
      <c r="E1535" t="s">
        <v>232</v>
      </c>
      <c r="F1535" t="s">
        <v>205</v>
      </c>
      <c r="G1535" t="s">
        <v>124</v>
      </c>
      <c r="H1535" t="s">
        <v>125</v>
      </c>
      <c r="I1535">
        <v>0</v>
      </c>
      <c r="J1535" t="s">
        <v>126</v>
      </c>
      <c r="K1535" t="s">
        <v>125</v>
      </c>
      <c r="L1535" t="s">
        <v>532</v>
      </c>
      <c r="U1535" t="s">
        <v>149</v>
      </c>
      <c r="W1535" t="s">
        <v>155</v>
      </c>
      <c r="X1535">
        <v>1</v>
      </c>
      <c r="AC1535" t="s">
        <v>136</v>
      </c>
      <c r="AE1535" t="s">
        <v>137</v>
      </c>
    </row>
    <row r="1536" spans="1:31" hidden="1" x14ac:dyDescent="0.2">
      <c r="A1536" t="s">
        <v>119</v>
      </c>
      <c r="B1536" t="s">
        <v>120</v>
      </c>
      <c r="C1536" t="s">
        <v>3659</v>
      </c>
      <c r="D1536">
        <v>2</v>
      </c>
      <c r="E1536" t="s">
        <v>3660</v>
      </c>
      <c r="F1536" t="s">
        <v>3661</v>
      </c>
      <c r="G1536" t="s">
        <v>124</v>
      </c>
      <c r="H1536" t="s">
        <v>125</v>
      </c>
      <c r="I1536">
        <v>0</v>
      </c>
      <c r="J1536" t="s">
        <v>126</v>
      </c>
      <c r="K1536" t="s">
        <v>125</v>
      </c>
      <c r="L1536" t="s">
        <v>3662</v>
      </c>
    </row>
    <row r="1537" spans="1:78" hidden="1" x14ac:dyDescent="0.2">
      <c r="A1537" t="s">
        <v>119</v>
      </c>
      <c r="B1537" t="s">
        <v>120</v>
      </c>
      <c r="C1537" t="s">
        <v>3663</v>
      </c>
      <c r="D1537">
        <v>2</v>
      </c>
      <c r="E1537" t="s">
        <v>3664</v>
      </c>
      <c r="F1537" t="s">
        <v>123</v>
      </c>
      <c r="G1537" t="s">
        <v>124</v>
      </c>
      <c r="H1537" t="s">
        <v>125</v>
      </c>
      <c r="I1537">
        <v>0</v>
      </c>
      <c r="J1537" t="s">
        <v>126</v>
      </c>
      <c r="K1537" t="s">
        <v>125</v>
      </c>
      <c r="L1537" t="s">
        <v>3665</v>
      </c>
      <c r="AE1537" t="s">
        <v>394</v>
      </c>
      <c r="AG1537">
        <v>1</v>
      </c>
      <c r="AH1537" t="s">
        <v>282</v>
      </c>
      <c r="AI1537" t="s">
        <v>146</v>
      </c>
      <c r="AJ1537" t="s">
        <v>131</v>
      </c>
      <c r="AK1537" t="s">
        <v>125</v>
      </c>
      <c r="AL1537">
        <v>2</v>
      </c>
      <c r="AM1537" t="s">
        <v>132</v>
      </c>
      <c r="AN1537" t="s">
        <v>125</v>
      </c>
      <c r="AO1537" t="s">
        <v>3666</v>
      </c>
      <c r="BP1537" t="s">
        <v>149</v>
      </c>
      <c r="BR1537" t="s">
        <v>155</v>
      </c>
      <c r="BS1537">
        <v>1</v>
      </c>
      <c r="BX1537" t="s">
        <v>136</v>
      </c>
      <c r="BZ1537" t="s">
        <v>137</v>
      </c>
    </row>
    <row r="1538" spans="1:78" x14ac:dyDescent="0.2">
      <c r="A1538" t="s">
        <v>119</v>
      </c>
      <c r="B1538" t="s">
        <v>120</v>
      </c>
      <c r="C1538" t="s">
        <v>3667</v>
      </c>
      <c r="D1538">
        <v>2</v>
      </c>
      <c r="E1538" t="s">
        <v>974</v>
      </c>
      <c r="F1538" t="s">
        <v>350</v>
      </c>
      <c r="G1538" t="s">
        <v>124</v>
      </c>
      <c r="H1538" t="s">
        <v>125</v>
      </c>
      <c r="I1538">
        <v>0</v>
      </c>
      <c r="J1538" t="s">
        <v>126</v>
      </c>
      <c r="K1538" t="s">
        <v>125</v>
      </c>
      <c r="L1538" t="s">
        <v>3668</v>
      </c>
      <c r="U1538" t="s">
        <v>149</v>
      </c>
      <c r="W1538" t="s">
        <v>135</v>
      </c>
      <c r="X1538">
        <v>1</v>
      </c>
      <c r="AC1538" t="s">
        <v>136</v>
      </c>
      <c r="AE1538" t="s">
        <v>137</v>
      </c>
    </row>
    <row r="1539" spans="1:78" hidden="1" x14ac:dyDescent="0.2">
      <c r="A1539" t="s">
        <v>119</v>
      </c>
      <c r="B1539" t="s">
        <v>120</v>
      </c>
      <c r="C1539" t="s">
        <v>3667</v>
      </c>
      <c r="D1539">
        <v>4</v>
      </c>
      <c r="E1539" t="s">
        <v>2948</v>
      </c>
      <c r="F1539" t="s">
        <v>2948</v>
      </c>
      <c r="G1539" t="s">
        <v>124</v>
      </c>
      <c r="H1539" t="s">
        <v>125</v>
      </c>
      <c r="I1539">
        <v>2</v>
      </c>
      <c r="J1539" t="s">
        <v>294</v>
      </c>
      <c r="K1539" t="s">
        <v>125</v>
      </c>
      <c r="L1539" t="s">
        <v>3669</v>
      </c>
      <c r="AE1539" t="s">
        <v>128</v>
      </c>
    </row>
    <row r="1540" spans="1:78" x14ac:dyDescent="0.2">
      <c r="A1540" t="s">
        <v>119</v>
      </c>
      <c r="B1540" t="s">
        <v>120</v>
      </c>
      <c r="C1540" t="s">
        <v>3667</v>
      </c>
      <c r="D1540">
        <v>7</v>
      </c>
      <c r="E1540" t="s">
        <v>3670</v>
      </c>
      <c r="F1540" t="s">
        <v>3438</v>
      </c>
      <c r="G1540" t="s">
        <v>124</v>
      </c>
      <c r="H1540" t="s">
        <v>125</v>
      </c>
      <c r="I1540">
        <v>5</v>
      </c>
      <c r="J1540" t="s">
        <v>170</v>
      </c>
      <c r="K1540" t="s">
        <v>125</v>
      </c>
      <c r="L1540" t="s">
        <v>3671</v>
      </c>
      <c r="U1540" t="s">
        <v>149</v>
      </c>
      <c r="W1540" t="s">
        <v>135</v>
      </c>
      <c r="X1540">
        <v>3</v>
      </c>
      <c r="AC1540" t="s">
        <v>136</v>
      </c>
      <c r="AE1540" t="s">
        <v>137</v>
      </c>
    </row>
    <row r="1541" spans="1:78" x14ac:dyDescent="0.2">
      <c r="A1541" t="s">
        <v>119</v>
      </c>
      <c r="B1541" t="s">
        <v>120</v>
      </c>
      <c r="C1541" t="s">
        <v>3672</v>
      </c>
      <c r="D1541">
        <v>2</v>
      </c>
      <c r="E1541" t="s">
        <v>974</v>
      </c>
      <c r="F1541" t="s">
        <v>350</v>
      </c>
      <c r="G1541" t="s">
        <v>124</v>
      </c>
      <c r="H1541" t="s">
        <v>125</v>
      </c>
      <c r="I1541">
        <v>5</v>
      </c>
      <c r="J1541" t="s">
        <v>268</v>
      </c>
      <c r="K1541" t="s">
        <v>125</v>
      </c>
      <c r="L1541" t="s">
        <v>3673</v>
      </c>
      <c r="U1541" t="s">
        <v>149</v>
      </c>
      <c r="W1541" t="s">
        <v>135</v>
      </c>
      <c r="X1541">
        <v>1</v>
      </c>
      <c r="AC1541" t="s">
        <v>136</v>
      </c>
      <c r="AE1541" t="s">
        <v>137</v>
      </c>
    </row>
    <row r="1542" spans="1:78" x14ac:dyDescent="0.2">
      <c r="A1542" t="s">
        <v>119</v>
      </c>
      <c r="B1542" t="s">
        <v>120</v>
      </c>
      <c r="C1542" t="s">
        <v>3672</v>
      </c>
      <c r="D1542">
        <v>5</v>
      </c>
      <c r="E1542" t="s">
        <v>3674</v>
      </c>
      <c r="F1542" t="s">
        <v>915</v>
      </c>
      <c r="G1542" t="s">
        <v>124</v>
      </c>
      <c r="H1542" t="s">
        <v>125</v>
      </c>
      <c r="I1542">
        <v>0</v>
      </c>
      <c r="J1542" t="s">
        <v>126</v>
      </c>
      <c r="K1542" t="s">
        <v>125</v>
      </c>
      <c r="L1542" t="s">
        <v>3675</v>
      </c>
      <c r="U1542" t="s">
        <v>149</v>
      </c>
      <c r="W1542" t="s">
        <v>135</v>
      </c>
      <c r="X1542">
        <v>1</v>
      </c>
      <c r="AC1542" t="s">
        <v>136</v>
      </c>
      <c r="AE1542" t="s">
        <v>137</v>
      </c>
    </row>
    <row r="1543" spans="1:78" hidden="1" x14ac:dyDescent="0.2">
      <c r="A1543" t="s">
        <v>119</v>
      </c>
      <c r="B1543" t="s">
        <v>120</v>
      </c>
      <c r="C1543" t="s">
        <v>3672</v>
      </c>
      <c r="D1543">
        <v>6</v>
      </c>
      <c r="E1543" t="s">
        <v>350</v>
      </c>
      <c r="F1543" t="s">
        <v>350</v>
      </c>
      <c r="G1543" t="s">
        <v>124</v>
      </c>
      <c r="H1543" t="s">
        <v>125</v>
      </c>
      <c r="I1543">
        <v>5</v>
      </c>
      <c r="J1543" t="s">
        <v>264</v>
      </c>
      <c r="K1543" t="s">
        <v>125</v>
      </c>
      <c r="L1543" t="s">
        <v>3676</v>
      </c>
      <c r="AE1543" t="s">
        <v>128</v>
      </c>
    </row>
    <row r="1544" spans="1:78" hidden="1" x14ac:dyDescent="0.2">
      <c r="A1544" t="s">
        <v>119</v>
      </c>
      <c r="B1544" t="s">
        <v>120</v>
      </c>
      <c r="C1544" t="s">
        <v>3672</v>
      </c>
      <c r="D1544">
        <v>8</v>
      </c>
      <c r="E1544" t="s">
        <v>373</v>
      </c>
      <c r="F1544" t="s">
        <v>373</v>
      </c>
      <c r="G1544" t="s">
        <v>124</v>
      </c>
      <c r="H1544" t="s">
        <v>125</v>
      </c>
      <c r="I1544">
        <v>6</v>
      </c>
      <c r="J1544" t="s">
        <v>294</v>
      </c>
      <c r="K1544" t="s">
        <v>125</v>
      </c>
      <c r="L1544" t="s">
        <v>3677</v>
      </c>
      <c r="AE1544" t="s">
        <v>128</v>
      </c>
    </row>
    <row r="1545" spans="1:78" x14ac:dyDescent="0.2">
      <c r="A1545" t="s">
        <v>119</v>
      </c>
      <c r="B1545" t="s">
        <v>120</v>
      </c>
      <c r="C1545" t="s">
        <v>3678</v>
      </c>
      <c r="D1545">
        <v>4</v>
      </c>
      <c r="E1545" t="s">
        <v>3679</v>
      </c>
      <c r="F1545" t="s">
        <v>3680</v>
      </c>
      <c r="G1545" t="s">
        <v>124</v>
      </c>
      <c r="H1545" t="s">
        <v>125</v>
      </c>
      <c r="I1545">
        <v>0</v>
      </c>
      <c r="J1545" t="s">
        <v>126</v>
      </c>
      <c r="K1545" t="s">
        <v>125</v>
      </c>
      <c r="L1545" t="s">
        <v>3681</v>
      </c>
      <c r="U1545" t="s">
        <v>149</v>
      </c>
      <c r="W1545" t="s">
        <v>135</v>
      </c>
      <c r="X1545">
        <v>3</v>
      </c>
      <c r="AC1545" t="s">
        <v>136</v>
      </c>
      <c r="AE1545" t="s">
        <v>137</v>
      </c>
    </row>
    <row r="1546" spans="1:78" hidden="1" x14ac:dyDescent="0.2">
      <c r="A1546" t="s">
        <v>119</v>
      </c>
      <c r="B1546" t="s">
        <v>120</v>
      </c>
      <c r="C1546" t="s">
        <v>3682</v>
      </c>
      <c r="D1546">
        <v>3</v>
      </c>
      <c r="E1546" t="s">
        <v>407</v>
      </c>
      <c r="F1546" t="s">
        <v>140</v>
      </c>
      <c r="G1546" t="s">
        <v>124</v>
      </c>
      <c r="H1546" t="s">
        <v>125</v>
      </c>
      <c r="I1546">
        <v>0</v>
      </c>
      <c r="J1546" t="s">
        <v>126</v>
      </c>
      <c r="K1546" t="s">
        <v>125</v>
      </c>
      <c r="L1546" t="s">
        <v>3683</v>
      </c>
      <c r="T1546" t="s">
        <v>154</v>
      </c>
      <c r="W1546" t="s">
        <v>135</v>
      </c>
      <c r="AC1546" t="s">
        <v>143</v>
      </c>
      <c r="AE1546" t="s">
        <v>144</v>
      </c>
      <c r="AG1546">
        <v>2</v>
      </c>
      <c r="AH1546" t="s">
        <v>204</v>
      </c>
      <c r="AI1546" t="s">
        <v>205</v>
      </c>
      <c r="AJ1546" t="s">
        <v>131</v>
      </c>
      <c r="AK1546" t="s">
        <v>125</v>
      </c>
      <c r="AL1546">
        <v>3</v>
      </c>
      <c r="AM1546" t="s">
        <v>132</v>
      </c>
      <c r="AN1546" t="s">
        <v>125</v>
      </c>
      <c r="AO1546" t="s">
        <v>3684</v>
      </c>
      <c r="BP1546" t="s">
        <v>149</v>
      </c>
      <c r="BR1546" t="s">
        <v>135</v>
      </c>
      <c r="BS1546">
        <v>1</v>
      </c>
      <c r="BX1546" t="s">
        <v>136</v>
      </c>
      <c r="BZ1546" t="s">
        <v>137</v>
      </c>
    </row>
    <row r="1547" spans="1:78" x14ac:dyDescent="0.2">
      <c r="A1547" t="s">
        <v>119</v>
      </c>
      <c r="B1547" t="s">
        <v>120</v>
      </c>
      <c r="C1547" t="s">
        <v>3685</v>
      </c>
      <c r="D1547">
        <v>1</v>
      </c>
      <c r="E1547" t="s">
        <v>229</v>
      </c>
      <c r="F1547" t="s">
        <v>205</v>
      </c>
      <c r="G1547" t="s">
        <v>124</v>
      </c>
      <c r="H1547" t="s">
        <v>125</v>
      </c>
      <c r="I1547">
        <v>0</v>
      </c>
      <c r="J1547" t="s">
        <v>126</v>
      </c>
      <c r="K1547" t="s">
        <v>125</v>
      </c>
      <c r="L1547" t="s">
        <v>3686</v>
      </c>
      <c r="U1547" t="s">
        <v>149</v>
      </c>
      <c r="W1547" t="s">
        <v>155</v>
      </c>
      <c r="X1547">
        <v>2</v>
      </c>
      <c r="AC1547" t="s">
        <v>136</v>
      </c>
      <c r="AE1547" t="s">
        <v>137</v>
      </c>
    </row>
    <row r="1548" spans="1:78" hidden="1" x14ac:dyDescent="0.2">
      <c r="A1548" t="s">
        <v>119</v>
      </c>
      <c r="B1548" t="s">
        <v>120</v>
      </c>
      <c r="C1548" t="s">
        <v>3687</v>
      </c>
      <c r="D1548">
        <v>2</v>
      </c>
      <c r="E1548" t="s">
        <v>3688</v>
      </c>
      <c r="F1548" t="s">
        <v>3688</v>
      </c>
      <c r="G1548" t="s">
        <v>124</v>
      </c>
      <c r="H1548" t="s">
        <v>125</v>
      </c>
      <c r="I1548">
        <v>9</v>
      </c>
      <c r="J1548" t="s">
        <v>268</v>
      </c>
      <c r="K1548" t="s">
        <v>125</v>
      </c>
      <c r="L1548" t="s">
        <v>3689</v>
      </c>
      <c r="T1548" t="s">
        <v>154</v>
      </c>
      <c r="W1548" t="s">
        <v>135</v>
      </c>
    </row>
    <row r="1549" spans="1:78" x14ac:dyDescent="0.2">
      <c r="A1549" t="s">
        <v>119</v>
      </c>
      <c r="B1549" t="s">
        <v>120</v>
      </c>
      <c r="C1549" t="s">
        <v>3687</v>
      </c>
      <c r="D1549">
        <v>9</v>
      </c>
      <c r="E1549" t="s">
        <v>218</v>
      </c>
      <c r="F1549" t="s">
        <v>205</v>
      </c>
      <c r="G1549" t="s">
        <v>124</v>
      </c>
      <c r="H1549" t="s">
        <v>125</v>
      </c>
      <c r="I1549">
        <v>0</v>
      </c>
      <c r="J1549" t="s">
        <v>126</v>
      </c>
      <c r="K1549" t="s">
        <v>125</v>
      </c>
      <c r="L1549" t="s">
        <v>3385</v>
      </c>
      <c r="U1549" t="s">
        <v>149</v>
      </c>
      <c r="W1549" t="s">
        <v>155</v>
      </c>
      <c r="X1549">
        <v>3</v>
      </c>
      <c r="AC1549" t="s">
        <v>136</v>
      </c>
      <c r="AE1549" t="s">
        <v>137</v>
      </c>
    </row>
    <row r="1550" spans="1:78" x14ac:dyDescent="0.2">
      <c r="A1550" t="s">
        <v>119</v>
      </c>
      <c r="B1550" t="s">
        <v>120</v>
      </c>
      <c r="C1550" t="s">
        <v>3690</v>
      </c>
      <c r="D1550">
        <v>4</v>
      </c>
      <c r="E1550" t="s">
        <v>2354</v>
      </c>
      <c r="F1550" t="s">
        <v>350</v>
      </c>
      <c r="G1550" t="s">
        <v>124</v>
      </c>
      <c r="H1550" t="s">
        <v>125</v>
      </c>
      <c r="I1550">
        <v>0</v>
      </c>
      <c r="J1550" t="s">
        <v>126</v>
      </c>
      <c r="K1550" t="s">
        <v>125</v>
      </c>
      <c r="L1550" t="s">
        <v>3691</v>
      </c>
      <c r="U1550" t="s">
        <v>149</v>
      </c>
      <c r="W1550" t="s">
        <v>155</v>
      </c>
      <c r="X1550">
        <v>3</v>
      </c>
      <c r="AC1550" t="s">
        <v>136</v>
      </c>
      <c r="AE1550" t="s">
        <v>137</v>
      </c>
    </row>
    <row r="1551" spans="1:78" x14ac:dyDescent="0.2">
      <c r="A1551" t="s">
        <v>119</v>
      </c>
      <c r="B1551" t="s">
        <v>120</v>
      </c>
      <c r="C1551" t="s">
        <v>3692</v>
      </c>
      <c r="D1551">
        <v>6</v>
      </c>
      <c r="E1551" t="s">
        <v>218</v>
      </c>
      <c r="F1551" t="s">
        <v>205</v>
      </c>
      <c r="G1551" t="s">
        <v>124</v>
      </c>
      <c r="H1551" t="s">
        <v>125</v>
      </c>
      <c r="I1551">
        <v>0</v>
      </c>
      <c r="J1551" t="s">
        <v>126</v>
      </c>
      <c r="K1551" t="s">
        <v>125</v>
      </c>
      <c r="L1551" t="s">
        <v>3693</v>
      </c>
      <c r="U1551" t="s">
        <v>149</v>
      </c>
      <c r="W1551" t="s">
        <v>155</v>
      </c>
      <c r="X1551">
        <v>3</v>
      </c>
      <c r="AC1551" t="s">
        <v>136</v>
      </c>
      <c r="AE1551" t="s">
        <v>137</v>
      </c>
    </row>
    <row r="1552" spans="1:78" x14ac:dyDescent="0.2">
      <c r="A1552" t="s">
        <v>119</v>
      </c>
      <c r="B1552" t="s">
        <v>120</v>
      </c>
      <c r="C1552" t="s">
        <v>3694</v>
      </c>
      <c r="D1552">
        <v>2</v>
      </c>
      <c r="E1552" t="s">
        <v>1368</v>
      </c>
      <c r="F1552" t="s">
        <v>123</v>
      </c>
      <c r="G1552" t="s">
        <v>124</v>
      </c>
      <c r="H1552" t="s">
        <v>125</v>
      </c>
      <c r="I1552">
        <v>0</v>
      </c>
      <c r="J1552" t="s">
        <v>126</v>
      </c>
      <c r="K1552" t="s">
        <v>125</v>
      </c>
      <c r="L1552" t="s">
        <v>3695</v>
      </c>
      <c r="U1552" t="s">
        <v>149</v>
      </c>
      <c r="W1552" t="s">
        <v>135</v>
      </c>
      <c r="X1552">
        <v>3</v>
      </c>
      <c r="AC1552" t="s">
        <v>136</v>
      </c>
      <c r="AE1552" t="s">
        <v>137</v>
      </c>
    </row>
    <row r="1553" spans="1:78" x14ac:dyDescent="0.2">
      <c r="A1553" t="s">
        <v>119</v>
      </c>
      <c r="B1553" t="s">
        <v>120</v>
      </c>
      <c r="C1553" t="s">
        <v>3696</v>
      </c>
      <c r="D1553">
        <v>8</v>
      </c>
      <c r="E1553" t="s">
        <v>232</v>
      </c>
      <c r="F1553" t="s">
        <v>205</v>
      </c>
      <c r="G1553" t="s">
        <v>124</v>
      </c>
      <c r="H1553" t="s">
        <v>125</v>
      </c>
      <c r="I1553">
        <v>0</v>
      </c>
      <c r="J1553" t="s">
        <v>126</v>
      </c>
      <c r="K1553" t="s">
        <v>125</v>
      </c>
      <c r="L1553" t="s">
        <v>3697</v>
      </c>
      <c r="U1553" t="s">
        <v>149</v>
      </c>
      <c r="W1553" t="s">
        <v>155</v>
      </c>
      <c r="X1553">
        <v>1</v>
      </c>
      <c r="AC1553" t="s">
        <v>136</v>
      </c>
      <c r="AE1553" t="s">
        <v>137</v>
      </c>
    </row>
    <row r="1554" spans="1:78" x14ac:dyDescent="0.2">
      <c r="A1554" t="s">
        <v>119</v>
      </c>
      <c r="B1554" t="s">
        <v>120</v>
      </c>
      <c r="C1554" t="s">
        <v>3698</v>
      </c>
      <c r="D1554">
        <v>2</v>
      </c>
      <c r="E1554" t="s">
        <v>3638</v>
      </c>
      <c r="F1554" t="s">
        <v>202</v>
      </c>
      <c r="G1554" t="s">
        <v>124</v>
      </c>
      <c r="H1554" t="s">
        <v>125</v>
      </c>
      <c r="I1554">
        <v>0</v>
      </c>
      <c r="J1554" t="s">
        <v>126</v>
      </c>
      <c r="K1554" t="s">
        <v>125</v>
      </c>
      <c r="L1554" t="s">
        <v>3699</v>
      </c>
      <c r="U1554" t="s">
        <v>149</v>
      </c>
      <c r="W1554" t="s">
        <v>155</v>
      </c>
      <c r="X1554">
        <v>2</v>
      </c>
      <c r="AC1554" t="s">
        <v>136</v>
      </c>
      <c r="AE1554" t="s">
        <v>137</v>
      </c>
    </row>
    <row r="1555" spans="1:78" x14ac:dyDescent="0.2">
      <c r="A1555" t="s">
        <v>119</v>
      </c>
      <c r="B1555" t="s">
        <v>120</v>
      </c>
      <c r="C1555" t="s">
        <v>3698</v>
      </c>
      <c r="D1555">
        <v>5</v>
      </c>
      <c r="E1555" t="s">
        <v>229</v>
      </c>
      <c r="F1555" t="s">
        <v>205</v>
      </c>
      <c r="G1555" t="s">
        <v>124</v>
      </c>
      <c r="H1555" t="s">
        <v>125</v>
      </c>
      <c r="I1555">
        <v>2</v>
      </c>
      <c r="J1555" t="s">
        <v>264</v>
      </c>
      <c r="K1555" t="s">
        <v>125</v>
      </c>
      <c r="L1555" t="s">
        <v>3700</v>
      </c>
      <c r="U1555" t="s">
        <v>149</v>
      </c>
      <c r="W1555" t="s">
        <v>155</v>
      </c>
      <c r="X1555">
        <v>2</v>
      </c>
      <c r="AC1555" t="s">
        <v>136</v>
      </c>
      <c r="AE1555" t="s">
        <v>137</v>
      </c>
    </row>
    <row r="1556" spans="1:78" x14ac:dyDescent="0.2">
      <c r="A1556" t="s">
        <v>119</v>
      </c>
      <c r="B1556" t="s">
        <v>120</v>
      </c>
      <c r="C1556" t="s">
        <v>3701</v>
      </c>
      <c r="D1556">
        <v>1</v>
      </c>
      <c r="E1556" t="s">
        <v>229</v>
      </c>
      <c r="F1556" t="s">
        <v>205</v>
      </c>
      <c r="G1556" t="s">
        <v>124</v>
      </c>
      <c r="H1556" t="s">
        <v>125</v>
      </c>
      <c r="I1556">
        <v>0</v>
      </c>
      <c r="J1556" t="s">
        <v>126</v>
      </c>
      <c r="K1556" t="s">
        <v>125</v>
      </c>
      <c r="L1556" t="s">
        <v>3702</v>
      </c>
      <c r="U1556" t="s">
        <v>149</v>
      </c>
      <c r="W1556" t="s">
        <v>155</v>
      </c>
      <c r="X1556">
        <v>2</v>
      </c>
      <c r="AC1556" t="s">
        <v>136</v>
      </c>
      <c r="AE1556" t="s">
        <v>137</v>
      </c>
    </row>
    <row r="1557" spans="1:78" x14ac:dyDescent="0.2">
      <c r="A1557" t="s">
        <v>119</v>
      </c>
      <c r="B1557" t="s">
        <v>120</v>
      </c>
      <c r="C1557" t="s">
        <v>3703</v>
      </c>
      <c r="D1557">
        <v>1</v>
      </c>
      <c r="E1557" t="s">
        <v>229</v>
      </c>
      <c r="F1557" t="s">
        <v>205</v>
      </c>
      <c r="G1557" t="s">
        <v>124</v>
      </c>
      <c r="H1557" t="s">
        <v>125</v>
      </c>
      <c r="I1557">
        <v>0</v>
      </c>
      <c r="J1557" t="s">
        <v>126</v>
      </c>
      <c r="K1557" t="s">
        <v>125</v>
      </c>
      <c r="L1557" t="s">
        <v>3704</v>
      </c>
      <c r="U1557" t="s">
        <v>149</v>
      </c>
      <c r="W1557" t="s">
        <v>155</v>
      </c>
      <c r="X1557">
        <v>2</v>
      </c>
      <c r="AC1557" t="s">
        <v>136</v>
      </c>
      <c r="AE1557" t="s">
        <v>137</v>
      </c>
    </row>
    <row r="1558" spans="1:78" hidden="1" x14ac:dyDescent="0.2">
      <c r="A1558" t="s">
        <v>119</v>
      </c>
      <c r="B1558" t="s">
        <v>120</v>
      </c>
      <c r="C1558" t="s">
        <v>3703</v>
      </c>
      <c r="D1558">
        <v>8</v>
      </c>
      <c r="E1558" t="s">
        <v>415</v>
      </c>
      <c r="F1558" t="s">
        <v>415</v>
      </c>
      <c r="G1558" t="s">
        <v>124</v>
      </c>
      <c r="H1558" t="s">
        <v>125</v>
      </c>
      <c r="I1558">
        <v>4</v>
      </c>
      <c r="J1558" t="s">
        <v>170</v>
      </c>
      <c r="K1558" t="s">
        <v>125</v>
      </c>
      <c r="L1558" t="s">
        <v>3705</v>
      </c>
      <c r="AE1558" t="s">
        <v>128</v>
      </c>
      <c r="AG1558">
        <v>7</v>
      </c>
      <c r="AH1558" t="s">
        <v>571</v>
      </c>
      <c r="AI1558" t="s">
        <v>572</v>
      </c>
      <c r="AJ1558" t="s">
        <v>131</v>
      </c>
      <c r="AK1558" t="s">
        <v>125</v>
      </c>
      <c r="AL1558">
        <v>8</v>
      </c>
      <c r="AM1558" t="s">
        <v>132</v>
      </c>
      <c r="AN1558" t="s">
        <v>125</v>
      </c>
      <c r="AO1558" t="s">
        <v>3706</v>
      </c>
      <c r="BP1558" t="s">
        <v>149</v>
      </c>
      <c r="BR1558" t="s">
        <v>155</v>
      </c>
      <c r="BS1558">
        <v>3</v>
      </c>
      <c r="BX1558" t="s">
        <v>136</v>
      </c>
      <c r="BZ1558" t="s">
        <v>137</v>
      </c>
    </row>
    <row r="1559" spans="1:78" x14ac:dyDescent="0.2">
      <c r="A1559" t="s">
        <v>119</v>
      </c>
      <c r="B1559" t="s">
        <v>120</v>
      </c>
      <c r="C1559" t="s">
        <v>3707</v>
      </c>
      <c r="D1559">
        <v>5</v>
      </c>
      <c r="E1559" t="s">
        <v>3638</v>
      </c>
      <c r="F1559" t="s">
        <v>202</v>
      </c>
      <c r="G1559" t="s">
        <v>124</v>
      </c>
      <c r="H1559" t="s">
        <v>125</v>
      </c>
      <c r="I1559">
        <v>0</v>
      </c>
      <c r="J1559" t="s">
        <v>126</v>
      </c>
      <c r="K1559" t="s">
        <v>125</v>
      </c>
      <c r="L1559" t="s">
        <v>3708</v>
      </c>
      <c r="U1559" t="s">
        <v>149</v>
      </c>
      <c r="W1559" t="s">
        <v>155</v>
      </c>
      <c r="X1559">
        <v>2</v>
      </c>
      <c r="AC1559" t="s">
        <v>136</v>
      </c>
      <c r="AE1559" t="s">
        <v>137</v>
      </c>
    </row>
    <row r="1560" spans="1:78" x14ac:dyDescent="0.2">
      <c r="A1560" t="s">
        <v>119</v>
      </c>
      <c r="B1560" t="s">
        <v>120</v>
      </c>
      <c r="C1560" t="s">
        <v>3709</v>
      </c>
      <c r="D1560">
        <v>1</v>
      </c>
      <c r="E1560" t="s">
        <v>229</v>
      </c>
      <c r="F1560" t="s">
        <v>205</v>
      </c>
      <c r="G1560" t="s">
        <v>124</v>
      </c>
      <c r="H1560" t="s">
        <v>125</v>
      </c>
      <c r="I1560">
        <v>0</v>
      </c>
      <c r="J1560" t="s">
        <v>126</v>
      </c>
      <c r="K1560" t="s">
        <v>125</v>
      </c>
      <c r="L1560" t="s">
        <v>3710</v>
      </c>
      <c r="U1560" t="s">
        <v>149</v>
      </c>
      <c r="W1560" t="s">
        <v>155</v>
      </c>
      <c r="X1560">
        <v>2</v>
      </c>
      <c r="AC1560" t="s">
        <v>136</v>
      </c>
      <c r="AE1560" t="s">
        <v>137</v>
      </c>
    </row>
    <row r="1561" spans="1:78" x14ac:dyDescent="0.2">
      <c r="A1561" t="s">
        <v>119</v>
      </c>
      <c r="B1561" t="s">
        <v>120</v>
      </c>
      <c r="C1561" t="s">
        <v>3711</v>
      </c>
      <c r="D1561">
        <v>8</v>
      </c>
      <c r="E1561" t="s">
        <v>3712</v>
      </c>
      <c r="F1561" t="s">
        <v>424</v>
      </c>
      <c r="G1561" t="s">
        <v>124</v>
      </c>
      <c r="H1561" t="s">
        <v>125</v>
      </c>
      <c r="I1561">
        <v>6</v>
      </c>
      <c r="J1561" t="s">
        <v>268</v>
      </c>
      <c r="K1561" t="s">
        <v>125</v>
      </c>
      <c r="L1561" t="s">
        <v>3713</v>
      </c>
      <c r="U1561" t="s">
        <v>149</v>
      </c>
      <c r="W1561" t="s">
        <v>155</v>
      </c>
      <c r="X1561">
        <v>2</v>
      </c>
      <c r="AC1561" t="s">
        <v>136</v>
      </c>
      <c r="AE1561" t="s">
        <v>137</v>
      </c>
    </row>
    <row r="1562" spans="1:78" x14ac:dyDescent="0.2">
      <c r="A1562" t="s">
        <v>119</v>
      </c>
      <c r="B1562" t="s">
        <v>120</v>
      </c>
      <c r="C1562" t="s">
        <v>3711</v>
      </c>
      <c r="D1562">
        <v>11</v>
      </c>
      <c r="E1562" t="s">
        <v>2559</v>
      </c>
      <c r="F1562" t="s">
        <v>350</v>
      </c>
      <c r="G1562" t="s">
        <v>124</v>
      </c>
      <c r="H1562" t="s">
        <v>125</v>
      </c>
      <c r="I1562">
        <v>0</v>
      </c>
      <c r="J1562" t="s">
        <v>126</v>
      </c>
      <c r="K1562" t="s">
        <v>125</v>
      </c>
      <c r="L1562" t="s">
        <v>3714</v>
      </c>
      <c r="U1562" t="s">
        <v>149</v>
      </c>
      <c r="W1562" t="s">
        <v>155</v>
      </c>
      <c r="X1562">
        <v>2</v>
      </c>
      <c r="AC1562" t="s">
        <v>136</v>
      </c>
      <c r="AE1562" t="s">
        <v>137</v>
      </c>
    </row>
    <row r="1563" spans="1:78" hidden="1" x14ac:dyDescent="0.2">
      <c r="A1563" t="s">
        <v>119</v>
      </c>
      <c r="B1563" t="s">
        <v>120</v>
      </c>
      <c r="C1563" t="s">
        <v>3711</v>
      </c>
      <c r="D1563">
        <v>15</v>
      </c>
      <c r="E1563" t="s">
        <v>861</v>
      </c>
      <c r="F1563" t="s">
        <v>140</v>
      </c>
      <c r="G1563" t="s">
        <v>124</v>
      </c>
      <c r="H1563" t="s">
        <v>125</v>
      </c>
      <c r="I1563">
        <v>11</v>
      </c>
      <c r="J1563" t="s">
        <v>294</v>
      </c>
      <c r="K1563" t="s">
        <v>125</v>
      </c>
      <c r="L1563" t="s">
        <v>3715</v>
      </c>
      <c r="AE1563" t="s">
        <v>128</v>
      </c>
    </row>
    <row r="1564" spans="1:78" hidden="1" x14ac:dyDescent="0.2">
      <c r="A1564" t="s">
        <v>119</v>
      </c>
      <c r="B1564" t="s">
        <v>120</v>
      </c>
      <c r="C1564" t="s">
        <v>3716</v>
      </c>
      <c r="D1564">
        <v>5</v>
      </c>
      <c r="E1564" t="s">
        <v>632</v>
      </c>
      <c r="F1564" t="s">
        <v>632</v>
      </c>
      <c r="G1564" t="s">
        <v>124</v>
      </c>
      <c r="H1564" t="s">
        <v>125</v>
      </c>
      <c r="I1564">
        <v>0</v>
      </c>
      <c r="J1564" t="s">
        <v>126</v>
      </c>
      <c r="K1564" t="s">
        <v>125</v>
      </c>
      <c r="L1564" t="s">
        <v>605</v>
      </c>
      <c r="AE1564" t="s">
        <v>128</v>
      </c>
      <c r="AG1564">
        <v>4</v>
      </c>
      <c r="AH1564" t="s">
        <v>3717</v>
      </c>
      <c r="AI1564" t="s">
        <v>572</v>
      </c>
      <c r="AJ1564" t="s">
        <v>131</v>
      </c>
      <c r="AK1564" t="s">
        <v>125</v>
      </c>
      <c r="AL1564">
        <v>5</v>
      </c>
      <c r="AM1564" t="s">
        <v>132</v>
      </c>
      <c r="AN1564" t="s">
        <v>125</v>
      </c>
      <c r="AO1564" t="s">
        <v>3718</v>
      </c>
      <c r="BP1564" t="s">
        <v>149</v>
      </c>
      <c r="BR1564" t="s">
        <v>155</v>
      </c>
      <c r="BS1564">
        <v>2</v>
      </c>
      <c r="BX1564" t="s">
        <v>136</v>
      </c>
      <c r="BZ1564" t="s">
        <v>137</v>
      </c>
    </row>
    <row r="1565" spans="1:78" x14ac:dyDescent="0.2">
      <c r="A1565" t="s">
        <v>119</v>
      </c>
      <c r="B1565" t="s">
        <v>120</v>
      </c>
      <c r="C1565" t="s">
        <v>3719</v>
      </c>
      <c r="D1565">
        <v>4</v>
      </c>
      <c r="E1565" t="s">
        <v>145</v>
      </c>
      <c r="F1565" t="s">
        <v>146</v>
      </c>
      <c r="G1565" t="s">
        <v>124</v>
      </c>
      <c r="H1565" t="s">
        <v>125</v>
      </c>
      <c r="I1565">
        <v>0</v>
      </c>
      <c r="J1565" t="s">
        <v>126</v>
      </c>
      <c r="K1565" t="s">
        <v>125</v>
      </c>
      <c r="L1565" t="s">
        <v>3720</v>
      </c>
      <c r="U1565" t="s">
        <v>149</v>
      </c>
      <c r="W1565" t="s">
        <v>135</v>
      </c>
      <c r="X1565">
        <v>3</v>
      </c>
      <c r="AC1565" t="s">
        <v>136</v>
      </c>
      <c r="AE1565" t="s">
        <v>137</v>
      </c>
    </row>
    <row r="1566" spans="1:78" x14ac:dyDescent="0.2">
      <c r="A1566" t="s">
        <v>119</v>
      </c>
      <c r="B1566" t="s">
        <v>120</v>
      </c>
      <c r="C1566" t="s">
        <v>3721</v>
      </c>
      <c r="D1566">
        <v>4</v>
      </c>
      <c r="E1566" t="s">
        <v>229</v>
      </c>
      <c r="F1566" t="s">
        <v>205</v>
      </c>
      <c r="G1566" t="s">
        <v>124</v>
      </c>
      <c r="H1566" t="s">
        <v>125</v>
      </c>
      <c r="I1566">
        <v>0</v>
      </c>
      <c r="J1566" t="s">
        <v>126</v>
      </c>
      <c r="K1566" t="s">
        <v>125</v>
      </c>
      <c r="L1566" t="s">
        <v>3422</v>
      </c>
      <c r="U1566" t="s">
        <v>149</v>
      </c>
      <c r="W1566" t="s">
        <v>155</v>
      </c>
      <c r="X1566">
        <v>2</v>
      </c>
      <c r="AC1566" t="s">
        <v>136</v>
      </c>
      <c r="AE1566" t="s">
        <v>137</v>
      </c>
    </row>
    <row r="1567" spans="1:78" x14ac:dyDescent="0.2">
      <c r="A1567" t="s">
        <v>119</v>
      </c>
      <c r="B1567" t="s">
        <v>120</v>
      </c>
      <c r="C1567" t="s">
        <v>3722</v>
      </c>
      <c r="D1567">
        <v>3</v>
      </c>
      <c r="E1567" t="s">
        <v>229</v>
      </c>
      <c r="F1567" t="s">
        <v>205</v>
      </c>
      <c r="G1567" t="s">
        <v>124</v>
      </c>
      <c r="H1567" t="s">
        <v>125</v>
      </c>
      <c r="I1567">
        <v>0</v>
      </c>
      <c r="J1567" t="s">
        <v>126</v>
      </c>
      <c r="K1567" t="s">
        <v>125</v>
      </c>
      <c r="L1567" t="s">
        <v>3723</v>
      </c>
      <c r="U1567" t="s">
        <v>149</v>
      </c>
      <c r="W1567" t="s">
        <v>155</v>
      </c>
      <c r="X1567">
        <v>2</v>
      </c>
      <c r="AC1567" t="s">
        <v>136</v>
      </c>
      <c r="AE1567" t="s">
        <v>137</v>
      </c>
    </row>
    <row r="1568" spans="1:78" x14ac:dyDescent="0.2">
      <c r="A1568" t="s">
        <v>119</v>
      </c>
      <c r="B1568" t="s">
        <v>120</v>
      </c>
      <c r="C1568" t="s">
        <v>3724</v>
      </c>
      <c r="D1568">
        <v>4</v>
      </c>
      <c r="E1568" t="s">
        <v>3013</v>
      </c>
      <c r="F1568" t="s">
        <v>3014</v>
      </c>
      <c r="G1568" t="s">
        <v>124</v>
      </c>
      <c r="H1568" t="s">
        <v>125</v>
      </c>
      <c r="I1568">
        <v>2</v>
      </c>
      <c r="J1568" t="s">
        <v>170</v>
      </c>
      <c r="K1568" t="s">
        <v>125</v>
      </c>
      <c r="L1568" t="s">
        <v>3725</v>
      </c>
      <c r="U1568" t="s">
        <v>149</v>
      </c>
      <c r="W1568" t="s">
        <v>135</v>
      </c>
      <c r="X1568">
        <v>3</v>
      </c>
      <c r="AC1568" t="s">
        <v>136</v>
      </c>
      <c r="AE1568" t="s">
        <v>137</v>
      </c>
    </row>
    <row r="1569" spans="1:78" x14ac:dyDescent="0.2">
      <c r="A1569" t="s">
        <v>119</v>
      </c>
      <c r="B1569" t="s">
        <v>120</v>
      </c>
      <c r="C1569" t="s">
        <v>3726</v>
      </c>
      <c r="D1569">
        <v>1</v>
      </c>
      <c r="E1569" t="s">
        <v>229</v>
      </c>
      <c r="F1569" t="s">
        <v>205</v>
      </c>
      <c r="G1569" t="s">
        <v>124</v>
      </c>
      <c r="H1569" t="s">
        <v>125</v>
      </c>
      <c r="I1569">
        <v>0</v>
      </c>
      <c r="J1569" t="s">
        <v>126</v>
      </c>
      <c r="K1569" t="s">
        <v>125</v>
      </c>
      <c r="L1569" t="s">
        <v>3727</v>
      </c>
      <c r="U1569" t="s">
        <v>149</v>
      </c>
      <c r="W1569" t="s">
        <v>155</v>
      </c>
      <c r="X1569">
        <v>2</v>
      </c>
      <c r="AC1569" t="s">
        <v>136</v>
      </c>
      <c r="AE1569" t="s">
        <v>137</v>
      </c>
    </row>
    <row r="1570" spans="1:78" x14ac:dyDescent="0.2">
      <c r="A1570" t="s">
        <v>119</v>
      </c>
      <c r="B1570" t="s">
        <v>120</v>
      </c>
      <c r="C1570" t="s">
        <v>3728</v>
      </c>
      <c r="D1570">
        <v>6</v>
      </c>
      <c r="E1570" t="s">
        <v>1000</v>
      </c>
      <c r="F1570" t="s">
        <v>1001</v>
      </c>
      <c r="G1570" t="s">
        <v>124</v>
      </c>
      <c r="H1570" t="s">
        <v>125</v>
      </c>
      <c r="I1570">
        <v>12</v>
      </c>
      <c r="J1570" t="s">
        <v>268</v>
      </c>
      <c r="K1570" t="s">
        <v>125</v>
      </c>
      <c r="L1570" t="s">
        <v>3729</v>
      </c>
      <c r="U1570" t="s">
        <v>149</v>
      </c>
      <c r="W1570" t="s">
        <v>135</v>
      </c>
      <c r="X1570">
        <v>3</v>
      </c>
      <c r="AC1570" t="s">
        <v>136</v>
      </c>
      <c r="AE1570" t="s">
        <v>137</v>
      </c>
    </row>
    <row r="1571" spans="1:78" x14ac:dyDescent="0.2">
      <c r="A1571" t="s">
        <v>119</v>
      </c>
      <c r="B1571" t="s">
        <v>120</v>
      </c>
      <c r="C1571" t="s">
        <v>3728</v>
      </c>
      <c r="D1571">
        <v>12</v>
      </c>
      <c r="E1571" t="s">
        <v>327</v>
      </c>
      <c r="F1571" t="s">
        <v>198</v>
      </c>
      <c r="G1571" t="s">
        <v>124</v>
      </c>
      <c r="H1571" t="s">
        <v>125</v>
      </c>
      <c r="I1571">
        <v>0</v>
      </c>
      <c r="J1571" t="s">
        <v>126</v>
      </c>
      <c r="K1571" t="s">
        <v>125</v>
      </c>
      <c r="L1571" t="s">
        <v>3730</v>
      </c>
      <c r="U1571" t="s">
        <v>149</v>
      </c>
      <c r="W1571" t="s">
        <v>135</v>
      </c>
      <c r="X1571">
        <v>3</v>
      </c>
      <c r="AC1571" t="s">
        <v>136</v>
      </c>
      <c r="AE1571" t="s">
        <v>137</v>
      </c>
    </row>
    <row r="1572" spans="1:78" x14ac:dyDescent="0.2">
      <c r="A1572" t="s">
        <v>119</v>
      </c>
      <c r="B1572" t="s">
        <v>120</v>
      </c>
      <c r="C1572" t="s">
        <v>3731</v>
      </c>
      <c r="D1572">
        <v>1</v>
      </c>
      <c r="E1572" t="s">
        <v>229</v>
      </c>
      <c r="F1572" t="s">
        <v>205</v>
      </c>
      <c r="G1572" t="s">
        <v>124</v>
      </c>
      <c r="H1572" t="s">
        <v>125</v>
      </c>
      <c r="I1572">
        <v>0</v>
      </c>
      <c r="J1572" t="s">
        <v>126</v>
      </c>
      <c r="K1572" t="s">
        <v>125</v>
      </c>
      <c r="L1572" t="s">
        <v>3732</v>
      </c>
      <c r="U1572" t="s">
        <v>149</v>
      </c>
      <c r="W1572" t="s">
        <v>155</v>
      </c>
      <c r="X1572">
        <v>2</v>
      </c>
      <c r="AC1572" t="s">
        <v>136</v>
      </c>
      <c r="AE1572" t="s">
        <v>137</v>
      </c>
    </row>
    <row r="1573" spans="1:78" hidden="1" x14ac:dyDescent="0.2">
      <c r="A1573" t="s">
        <v>119</v>
      </c>
      <c r="B1573" t="s">
        <v>120</v>
      </c>
      <c r="C1573" t="s">
        <v>3733</v>
      </c>
      <c r="D1573">
        <v>4</v>
      </c>
      <c r="E1573" t="s">
        <v>261</v>
      </c>
      <c r="F1573" t="s">
        <v>261</v>
      </c>
      <c r="G1573" t="s">
        <v>124</v>
      </c>
      <c r="H1573" t="s">
        <v>125</v>
      </c>
      <c r="I1573">
        <v>2</v>
      </c>
      <c r="J1573" t="s">
        <v>386</v>
      </c>
      <c r="K1573" t="s">
        <v>125</v>
      </c>
      <c r="L1573" t="s">
        <v>3734</v>
      </c>
      <c r="AE1573" t="s">
        <v>128</v>
      </c>
    </row>
    <row r="1574" spans="1:78" x14ac:dyDescent="0.2">
      <c r="A1574" t="s">
        <v>119</v>
      </c>
      <c r="B1574" t="s">
        <v>120</v>
      </c>
      <c r="C1574" t="s">
        <v>3735</v>
      </c>
      <c r="D1574">
        <v>19</v>
      </c>
      <c r="E1574" t="s">
        <v>1625</v>
      </c>
      <c r="F1574" t="s">
        <v>261</v>
      </c>
      <c r="G1574" t="s">
        <v>124</v>
      </c>
      <c r="H1574" t="s">
        <v>125</v>
      </c>
      <c r="I1574">
        <v>5</v>
      </c>
      <c r="J1574" t="s">
        <v>161</v>
      </c>
      <c r="K1574" t="s">
        <v>125</v>
      </c>
      <c r="L1574" t="s">
        <v>3736</v>
      </c>
      <c r="U1574" t="s">
        <v>149</v>
      </c>
      <c r="W1574" t="s">
        <v>155</v>
      </c>
      <c r="X1574">
        <v>3</v>
      </c>
      <c r="AC1574" t="s">
        <v>136</v>
      </c>
      <c r="AE1574" t="s">
        <v>137</v>
      </c>
    </row>
    <row r="1575" spans="1:78" hidden="1" x14ac:dyDescent="0.2">
      <c r="A1575" t="s">
        <v>119</v>
      </c>
      <c r="B1575" t="s">
        <v>120</v>
      </c>
      <c r="C1575" t="s">
        <v>3737</v>
      </c>
      <c r="D1575">
        <v>2</v>
      </c>
      <c r="E1575" t="s">
        <v>261</v>
      </c>
      <c r="F1575" t="s">
        <v>261</v>
      </c>
      <c r="G1575" t="s">
        <v>124</v>
      </c>
      <c r="H1575" t="s">
        <v>125</v>
      </c>
      <c r="I1575">
        <v>0</v>
      </c>
      <c r="J1575" t="s">
        <v>126</v>
      </c>
      <c r="K1575" t="s">
        <v>125</v>
      </c>
      <c r="L1575" t="s">
        <v>3738</v>
      </c>
      <c r="AE1575" t="s">
        <v>128</v>
      </c>
    </row>
    <row r="1576" spans="1:78" x14ac:dyDescent="0.2">
      <c r="A1576" t="s">
        <v>119</v>
      </c>
      <c r="B1576" t="s">
        <v>120</v>
      </c>
      <c r="C1576" t="s">
        <v>3739</v>
      </c>
      <c r="D1576">
        <v>9</v>
      </c>
      <c r="E1576" t="s">
        <v>614</v>
      </c>
      <c r="F1576" t="s">
        <v>205</v>
      </c>
      <c r="G1576" t="s">
        <v>124</v>
      </c>
      <c r="H1576" t="s">
        <v>125</v>
      </c>
      <c r="I1576">
        <v>5</v>
      </c>
      <c r="J1576" t="s">
        <v>170</v>
      </c>
      <c r="K1576" t="s">
        <v>125</v>
      </c>
      <c r="L1576" t="s">
        <v>3740</v>
      </c>
      <c r="U1576" t="s">
        <v>149</v>
      </c>
      <c r="W1576" t="s">
        <v>135</v>
      </c>
      <c r="X1576">
        <v>3</v>
      </c>
      <c r="AC1576" t="s">
        <v>136</v>
      </c>
      <c r="AE1576" t="s">
        <v>137</v>
      </c>
    </row>
    <row r="1577" spans="1:78" x14ac:dyDescent="0.2">
      <c r="A1577" t="s">
        <v>119</v>
      </c>
      <c r="B1577" t="s">
        <v>120</v>
      </c>
      <c r="C1577" t="s">
        <v>3741</v>
      </c>
      <c r="D1577">
        <v>1</v>
      </c>
      <c r="E1577" t="s">
        <v>229</v>
      </c>
      <c r="F1577" t="s">
        <v>205</v>
      </c>
      <c r="G1577" t="s">
        <v>124</v>
      </c>
      <c r="H1577" t="s">
        <v>125</v>
      </c>
      <c r="I1577">
        <v>0</v>
      </c>
      <c r="J1577" t="s">
        <v>126</v>
      </c>
      <c r="K1577" t="s">
        <v>125</v>
      </c>
      <c r="L1577" t="s">
        <v>3742</v>
      </c>
      <c r="U1577" t="s">
        <v>149</v>
      </c>
      <c r="W1577" t="s">
        <v>155</v>
      </c>
      <c r="X1577">
        <v>2</v>
      </c>
      <c r="AC1577" t="s">
        <v>136</v>
      </c>
      <c r="AE1577" t="s">
        <v>137</v>
      </c>
    </row>
    <row r="1578" spans="1:78" x14ac:dyDescent="0.2">
      <c r="A1578" t="s">
        <v>119</v>
      </c>
      <c r="B1578" t="s">
        <v>120</v>
      </c>
      <c r="C1578" t="s">
        <v>3743</v>
      </c>
      <c r="D1578">
        <v>2</v>
      </c>
      <c r="E1578" t="s">
        <v>3744</v>
      </c>
      <c r="F1578" t="s">
        <v>3745</v>
      </c>
      <c r="G1578" t="s">
        <v>124</v>
      </c>
      <c r="H1578" t="s">
        <v>125</v>
      </c>
      <c r="I1578">
        <v>0</v>
      </c>
      <c r="J1578" t="s">
        <v>126</v>
      </c>
      <c r="K1578" t="s">
        <v>125</v>
      </c>
      <c r="L1578" t="s">
        <v>3746</v>
      </c>
      <c r="U1578" t="s">
        <v>149</v>
      </c>
      <c r="W1578" t="s">
        <v>155</v>
      </c>
      <c r="X1578">
        <v>1</v>
      </c>
      <c r="AC1578" t="s">
        <v>136</v>
      </c>
      <c r="AE1578" t="s">
        <v>137</v>
      </c>
    </row>
    <row r="1579" spans="1:78" hidden="1" x14ac:dyDescent="0.2">
      <c r="A1579" t="s">
        <v>119</v>
      </c>
      <c r="B1579" t="s">
        <v>120</v>
      </c>
      <c r="C1579" t="s">
        <v>3743</v>
      </c>
      <c r="D1579">
        <v>13</v>
      </c>
      <c r="E1579" t="s">
        <v>186</v>
      </c>
      <c r="F1579" t="s">
        <v>186</v>
      </c>
      <c r="G1579" t="s">
        <v>124</v>
      </c>
      <c r="H1579" t="s">
        <v>125</v>
      </c>
      <c r="I1579">
        <v>2</v>
      </c>
      <c r="J1579" t="s">
        <v>268</v>
      </c>
      <c r="K1579" t="s">
        <v>125</v>
      </c>
      <c r="L1579" t="s">
        <v>3747</v>
      </c>
      <c r="AE1579" t="s">
        <v>128</v>
      </c>
      <c r="AG1579">
        <v>12</v>
      </c>
      <c r="AH1579" t="s">
        <v>3461</v>
      </c>
      <c r="AI1579" t="s">
        <v>572</v>
      </c>
      <c r="AJ1579" t="s">
        <v>131</v>
      </c>
      <c r="AK1579" t="s">
        <v>125</v>
      </c>
      <c r="AL1579">
        <v>13</v>
      </c>
      <c r="AM1579" t="s">
        <v>132</v>
      </c>
      <c r="AN1579" t="s">
        <v>125</v>
      </c>
      <c r="AO1579" t="s">
        <v>3748</v>
      </c>
      <c r="BP1579" t="s">
        <v>149</v>
      </c>
      <c r="BR1579" t="s">
        <v>155</v>
      </c>
      <c r="BS1579">
        <v>1</v>
      </c>
      <c r="BX1579" t="s">
        <v>136</v>
      </c>
      <c r="BZ1579" t="s">
        <v>137</v>
      </c>
    </row>
    <row r="1580" spans="1:78" hidden="1" x14ac:dyDescent="0.2">
      <c r="A1580" t="s">
        <v>119</v>
      </c>
      <c r="B1580" t="s">
        <v>120</v>
      </c>
      <c r="C1580" t="s">
        <v>3743</v>
      </c>
      <c r="D1580">
        <v>20</v>
      </c>
      <c r="E1580" t="s">
        <v>3749</v>
      </c>
      <c r="F1580" t="s">
        <v>3750</v>
      </c>
      <c r="G1580" t="s">
        <v>124</v>
      </c>
      <c r="H1580" t="s">
        <v>125</v>
      </c>
      <c r="I1580">
        <v>19</v>
      </c>
      <c r="J1580" t="s">
        <v>386</v>
      </c>
      <c r="K1580" t="s">
        <v>125</v>
      </c>
      <c r="L1580" t="s">
        <v>3751</v>
      </c>
      <c r="T1580" t="s">
        <v>154</v>
      </c>
      <c r="W1580" t="s">
        <v>135</v>
      </c>
      <c r="AC1580" t="s">
        <v>143</v>
      </c>
      <c r="AE1580" t="s">
        <v>144</v>
      </c>
    </row>
    <row r="1581" spans="1:78" x14ac:dyDescent="0.2">
      <c r="A1581" t="s">
        <v>119</v>
      </c>
      <c r="B1581" t="s">
        <v>120</v>
      </c>
      <c r="C1581" t="s">
        <v>3743</v>
      </c>
      <c r="D1581">
        <v>24</v>
      </c>
      <c r="E1581" t="s">
        <v>218</v>
      </c>
      <c r="F1581" t="s">
        <v>205</v>
      </c>
      <c r="G1581" t="s">
        <v>124</v>
      </c>
      <c r="H1581" t="s">
        <v>125</v>
      </c>
      <c r="I1581">
        <v>14</v>
      </c>
      <c r="J1581" t="s">
        <v>170</v>
      </c>
      <c r="K1581" t="s">
        <v>125</v>
      </c>
      <c r="L1581" t="s">
        <v>3752</v>
      </c>
      <c r="U1581" t="s">
        <v>149</v>
      </c>
      <c r="W1581" t="s">
        <v>155</v>
      </c>
      <c r="X1581">
        <v>3</v>
      </c>
      <c r="AC1581" t="s">
        <v>136</v>
      </c>
      <c r="AE1581" t="s">
        <v>137</v>
      </c>
    </row>
    <row r="1582" spans="1:78" hidden="1" x14ac:dyDescent="0.2">
      <c r="A1582" t="s">
        <v>119</v>
      </c>
      <c r="B1582" t="s">
        <v>120</v>
      </c>
      <c r="C1582" t="s">
        <v>3753</v>
      </c>
      <c r="D1582">
        <v>3</v>
      </c>
      <c r="E1582" t="s">
        <v>3754</v>
      </c>
      <c r="F1582" t="s">
        <v>3467</v>
      </c>
      <c r="G1582" t="s">
        <v>124</v>
      </c>
      <c r="H1582" t="s">
        <v>125</v>
      </c>
      <c r="I1582">
        <v>0</v>
      </c>
      <c r="J1582" t="s">
        <v>126</v>
      </c>
      <c r="K1582" t="s">
        <v>125</v>
      </c>
      <c r="L1582" t="s">
        <v>3755</v>
      </c>
      <c r="U1582" t="s">
        <v>149</v>
      </c>
      <c r="W1582" t="s">
        <v>155</v>
      </c>
      <c r="X1582">
        <v>1</v>
      </c>
      <c r="AC1582" t="s">
        <v>903</v>
      </c>
      <c r="AE1582" t="s">
        <v>137</v>
      </c>
    </row>
    <row r="1583" spans="1:78" hidden="1" x14ac:dyDescent="0.2">
      <c r="A1583" t="s">
        <v>119</v>
      </c>
      <c r="B1583" t="s">
        <v>120</v>
      </c>
      <c r="C1583" t="s">
        <v>3753</v>
      </c>
      <c r="D1583">
        <v>5</v>
      </c>
      <c r="E1583" t="s">
        <v>2918</v>
      </c>
      <c r="F1583" t="s">
        <v>2918</v>
      </c>
      <c r="G1583" t="s">
        <v>124</v>
      </c>
      <c r="H1583" t="s">
        <v>125</v>
      </c>
      <c r="I1583">
        <v>3</v>
      </c>
      <c r="J1583" t="s">
        <v>294</v>
      </c>
      <c r="K1583" t="s">
        <v>125</v>
      </c>
      <c r="L1583" t="s">
        <v>3756</v>
      </c>
      <c r="AE1583" t="s">
        <v>128</v>
      </c>
    </row>
    <row r="1584" spans="1:78" x14ac:dyDescent="0.2">
      <c r="A1584" t="s">
        <v>119</v>
      </c>
      <c r="B1584" t="s">
        <v>120</v>
      </c>
      <c r="C1584" t="s">
        <v>3757</v>
      </c>
      <c r="D1584">
        <v>1</v>
      </c>
      <c r="E1584" t="s">
        <v>3758</v>
      </c>
      <c r="F1584" t="s">
        <v>811</v>
      </c>
      <c r="G1584" t="s">
        <v>124</v>
      </c>
      <c r="H1584" t="s">
        <v>125</v>
      </c>
      <c r="I1584">
        <v>0</v>
      </c>
      <c r="J1584" t="s">
        <v>126</v>
      </c>
      <c r="K1584" t="s">
        <v>125</v>
      </c>
      <c r="L1584" t="s">
        <v>3759</v>
      </c>
      <c r="U1584" t="s">
        <v>149</v>
      </c>
      <c r="W1584" t="s">
        <v>135</v>
      </c>
      <c r="X1584">
        <v>3</v>
      </c>
      <c r="AC1584" t="s">
        <v>136</v>
      </c>
      <c r="AE1584" t="s">
        <v>137</v>
      </c>
    </row>
    <row r="1585" spans="1:78" hidden="1" x14ac:dyDescent="0.2">
      <c r="A1585" t="s">
        <v>119</v>
      </c>
      <c r="B1585" t="s">
        <v>120</v>
      </c>
      <c r="C1585" t="s">
        <v>3760</v>
      </c>
      <c r="D1585">
        <v>3</v>
      </c>
      <c r="E1585" t="s">
        <v>1283</v>
      </c>
      <c r="F1585" t="s">
        <v>123</v>
      </c>
      <c r="G1585" t="s">
        <v>124</v>
      </c>
      <c r="H1585" t="s">
        <v>125</v>
      </c>
      <c r="I1585">
        <v>0</v>
      </c>
      <c r="J1585" t="s">
        <v>126</v>
      </c>
      <c r="K1585" t="s">
        <v>125</v>
      </c>
      <c r="L1585" t="s">
        <v>1665</v>
      </c>
      <c r="T1585" t="s">
        <v>154</v>
      </c>
      <c r="W1585" t="s">
        <v>135</v>
      </c>
      <c r="AC1585" t="s">
        <v>143</v>
      </c>
      <c r="AE1585" t="s">
        <v>144</v>
      </c>
      <c r="AG1585">
        <v>2</v>
      </c>
      <c r="AH1585" t="s">
        <v>232</v>
      </c>
      <c r="AI1585" t="s">
        <v>205</v>
      </c>
      <c r="AJ1585" t="s">
        <v>131</v>
      </c>
      <c r="AK1585" t="s">
        <v>125</v>
      </c>
      <c r="AL1585">
        <v>3</v>
      </c>
      <c r="AM1585" t="s">
        <v>132</v>
      </c>
      <c r="AN1585" t="s">
        <v>125</v>
      </c>
      <c r="AO1585" t="s">
        <v>3761</v>
      </c>
      <c r="BP1585" t="s">
        <v>209</v>
      </c>
      <c r="BR1585" t="s">
        <v>155</v>
      </c>
      <c r="BS1585">
        <v>1</v>
      </c>
      <c r="BX1585" t="s">
        <v>136</v>
      </c>
      <c r="BZ1585" t="s">
        <v>137</v>
      </c>
    </row>
    <row r="1586" spans="1:78" x14ac:dyDescent="0.2">
      <c r="A1586" t="s">
        <v>119</v>
      </c>
      <c r="B1586" t="s">
        <v>120</v>
      </c>
      <c r="C1586" t="s">
        <v>3762</v>
      </c>
      <c r="D1586">
        <v>1</v>
      </c>
      <c r="E1586" t="s">
        <v>3763</v>
      </c>
      <c r="F1586" t="s">
        <v>3467</v>
      </c>
      <c r="G1586" t="s">
        <v>124</v>
      </c>
      <c r="H1586" t="s">
        <v>125</v>
      </c>
      <c r="I1586">
        <v>0</v>
      </c>
      <c r="J1586" t="s">
        <v>126</v>
      </c>
      <c r="K1586" t="s">
        <v>125</v>
      </c>
      <c r="L1586" t="s">
        <v>3764</v>
      </c>
      <c r="U1586" t="s">
        <v>209</v>
      </c>
      <c r="W1586" t="s">
        <v>155</v>
      </c>
      <c r="X1586">
        <v>1</v>
      </c>
      <c r="AC1586" t="s">
        <v>136</v>
      </c>
      <c r="AE1586" t="s">
        <v>137</v>
      </c>
    </row>
    <row r="1587" spans="1:78" hidden="1" x14ac:dyDescent="0.2">
      <c r="A1587" t="s">
        <v>119</v>
      </c>
      <c r="B1587" t="s">
        <v>120</v>
      </c>
      <c r="C1587" t="s">
        <v>3762</v>
      </c>
      <c r="D1587">
        <v>3</v>
      </c>
      <c r="E1587" t="s">
        <v>1538</v>
      </c>
      <c r="F1587" t="s">
        <v>1538</v>
      </c>
      <c r="G1587" t="s">
        <v>124</v>
      </c>
      <c r="H1587" t="s">
        <v>125</v>
      </c>
      <c r="I1587">
        <v>1</v>
      </c>
      <c r="J1587" t="s">
        <v>294</v>
      </c>
      <c r="K1587" t="s">
        <v>125</v>
      </c>
      <c r="L1587" t="s">
        <v>3765</v>
      </c>
      <c r="AE1587" t="s">
        <v>128</v>
      </c>
    </row>
    <row r="1588" spans="1:78" hidden="1" x14ac:dyDescent="0.2">
      <c r="A1588" t="s">
        <v>119</v>
      </c>
      <c r="B1588" t="s">
        <v>120</v>
      </c>
      <c r="C1588" t="s">
        <v>3766</v>
      </c>
      <c r="D1588">
        <v>3</v>
      </c>
      <c r="E1588" t="s">
        <v>261</v>
      </c>
      <c r="F1588" t="s">
        <v>261</v>
      </c>
      <c r="G1588" t="s">
        <v>124</v>
      </c>
      <c r="H1588" t="s">
        <v>125</v>
      </c>
      <c r="I1588">
        <v>2</v>
      </c>
      <c r="J1588" t="s">
        <v>294</v>
      </c>
      <c r="K1588" t="s">
        <v>125</v>
      </c>
      <c r="L1588" t="s">
        <v>3767</v>
      </c>
      <c r="AE1588" t="s">
        <v>128</v>
      </c>
    </row>
    <row r="1589" spans="1:78" x14ac:dyDescent="0.2">
      <c r="A1589" t="s">
        <v>119</v>
      </c>
      <c r="B1589" t="s">
        <v>120</v>
      </c>
      <c r="C1589" t="s">
        <v>3766</v>
      </c>
      <c r="D1589">
        <v>4</v>
      </c>
      <c r="E1589" t="s">
        <v>1360</v>
      </c>
      <c r="F1589" t="s">
        <v>350</v>
      </c>
      <c r="G1589" t="s">
        <v>124</v>
      </c>
      <c r="H1589" t="s">
        <v>125</v>
      </c>
      <c r="I1589">
        <v>3</v>
      </c>
      <c r="J1589" t="s">
        <v>1249</v>
      </c>
      <c r="K1589" t="s">
        <v>125</v>
      </c>
      <c r="L1589" t="s">
        <v>3768</v>
      </c>
      <c r="U1589" t="s">
        <v>149</v>
      </c>
      <c r="W1589" t="s">
        <v>135</v>
      </c>
      <c r="X1589">
        <v>3</v>
      </c>
      <c r="AC1589" t="s">
        <v>136</v>
      </c>
      <c r="AE1589" t="s">
        <v>137</v>
      </c>
    </row>
    <row r="1590" spans="1:78" x14ac:dyDescent="0.2">
      <c r="A1590" t="s">
        <v>119</v>
      </c>
      <c r="B1590" t="s">
        <v>120</v>
      </c>
      <c r="C1590" t="s">
        <v>3769</v>
      </c>
      <c r="D1590">
        <v>8</v>
      </c>
      <c r="E1590" t="s">
        <v>160</v>
      </c>
      <c r="F1590" t="s">
        <v>146</v>
      </c>
      <c r="G1590" t="s">
        <v>124</v>
      </c>
      <c r="H1590" t="s">
        <v>125</v>
      </c>
      <c r="I1590">
        <v>0</v>
      </c>
      <c r="J1590" t="s">
        <v>126</v>
      </c>
      <c r="K1590" t="s">
        <v>125</v>
      </c>
      <c r="L1590" t="s">
        <v>3770</v>
      </c>
      <c r="U1590" t="s">
        <v>149</v>
      </c>
      <c r="W1590" t="s">
        <v>155</v>
      </c>
      <c r="X1590">
        <v>3</v>
      </c>
      <c r="AC1590" t="s">
        <v>136</v>
      </c>
      <c r="AE1590" t="s">
        <v>137</v>
      </c>
    </row>
    <row r="1591" spans="1:78" hidden="1" x14ac:dyDescent="0.2">
      <c r="A1591" t="s">
        <v>119</v>
      </c>
      <c r="B1591" t="s">
        <v>120</v>
      </c>
      <c r="C1591" t="s">
        <v>3771</v>
      </c>
      <c r="D1591">
        <v>2</v>
      </c>
      <c r="E1591" t="s">
        <v>3772</v>
      </c>
      <c r="F1591" t="s">
        <v>723</v>
      </c>
      <c r="G1591" t="s">
        <v>124</v>
      </c>
      <c r="H1591" t="s">
        <v>125</v>
      </c>
      <c r="I1591">
        <v>0</v>
      </c>
      <c r="J1591" t="s">
        <v>126</v>
      </c>
      <c r="K1591" t="s">
        <v>125</v>
      </c>
      <c r="L1591" t="s">
        <v>749</v>
      </c>
      <c r="U1591" t="s">
        <v>149</v>
      </c>
      <c r="W1591" t="s">
        <v>155</v>
      </c>
      <c r="X1591">
        <v>1</v>
      </c>
      <c r="AC1591" t="s">
        <v>903</v>
      </c>
      <c r="AE1591" t="s">
        <v>137</v>
      </c>
    </row>
    <row r="1592" spans="1:78" hidden="1" x14ac:dyDescent="0.2">
      <c r="A1592" t="s">
        <v>119</v>
      </c>
      <c r="B1592" t="s">
        <v>120</v>
      </c>
      <c r="C1592" t="s">
        <v>3771</v>
      </c>
      <c r="D1592">
        <v>5</v>
      </c>
      <c r="E1592" t="s">
        <v>1696</v>
      </c>
      <c r="F1592" t="s">
        <v>194</v>
      </c>
      <c r="G1592" t="s">
        <v>124</v>
      </c>
      <c r="H1592" t="s">
        <v>125</v>
      </c>
      <c r="I1592">
        <v>2</v>
      </c>
      <c r="J1592" t="s">
        <v>294</v>
      </c>
      <c r="K1592" t="s">
        <v>125</v>
      </c>
      <c r="L1592" t="s">
        <v>3773</v>
      </c>
      <c r="AE1592" t="s">
        <v>128</v>
      </c>
    </row>
    <row r="1593" spans="1:78" x14ac:dyDescent="0.2">
      <c r="A1593" t="s">
        <v>119</v>
      </c>
      <c r="B1593" t="s">
        <v>120</v>
      </c>
      <c r="C1593" t="s">
        <v>3774</v>
      </c>
      <c r="D1593">
        <v>2</v>
      </c>
      <c r="E1593" t="s">
        <v>1805</v>
      </c>
      <c r="F1593" t="s">
        <v>140</v>
      </c>
      <c r="G1593" t="s">
        <v>124</v>
      </c>
      <c r="H1593" t="s">
        <v>125</v>
      </c>
      <c r="I1593">
        <v>0</v>
      </c>
      <c r="J1593" t="s">
        <v>126</v>
      </c>
      <c r="K1593" t="s">
        <v>125</v>
      </c>
      <c r="L1593" t="s">
        <v>3775</v>
      </c>
      <c r="U1593" t="s">
        <v>209</v>
      </c>
      <c r="W1593" t="s">
        <v>155</v>
      </c>
      <c r="X1593">
        <v>1</v>
      </c>
      <c r="AC1593" t="s">
        <v>136</v>
      </c>
      <c r="AE1593" t="s">
        <v>137</v>
      </c>
    </row>
    <row r="1594" spans="1:78" x14ac:dyDescent="0.2">
      <c r="A1594" t="s">
        <v>119</v>
      </c>
      <c r="B1594" t="s">
        <v>120</v>
      </c>
      <c r="C1594" t="s">
        <v>3776</v>
      </c>
      <c r="D1594">
        <v>1</v>
      </c>
      <c r="E1594" t="s">
        <v>3777</v>
      </c>
      <c r="F1594" t="s">
        <v>390</v>
      </c>
      <c r="G1594" t="s">
        <v>124</v>
      </c>
      <c r="H1594" t="s">
        <v>125</v>
      </c>
      <c r="I1594">
        <v>0</v>
      </c>
      <c r="J1594" t="s">
        <v>126</v>
      </c>
      <c r="K1594" t="s">
        <v>125</v>
      </c>
      <c r="L1594" t="s">
        <v>3778</v>
      </c>
      <c r="U1594" t="s">
        <v>209</v>
      </c>
      <c r="W1594" t="s">
        <v>155</v>
      </c>
      <c r="X1594">
        <v>1</v>
      </c>
      <c r="AC1594" t="s">
        <v>136</v>
      </c>
      <c r="AE1594" t="s">
        <v>137</v>
      </c>
    </row>
    <row r="1595" spans="1:78" x14ac:dyDescent="0.2">
      <c r="A1595" t="s">
        <v>119</v>
      </c>
      <c r="B1595" t="s">
        <v>120</v>
      </c>
      <c r="C1595" t="s">
        <v>3779</v>
      </c>
      <c r="D1595">
        <v>16</v>
      </c>
      <c r="E1595" t="s">
        <v>218</v>
      </c>
      <c r="F1595" t="s">
        <v>205</v>
      </c>
      <c r="G1595" t="s">
        <v>124</v>
      </c>
      <c r="H1595" t="s">
        <v>125</v>
      </c>
      <c r="I1595">
        <v>13</v>
      </c>
      <c r="J1595" t="s">
        <v>161</v>
      </c>
      <c r="K1595" t="s">
        <v>125</v>
      </c>
      <c r="L1595" t="s">
        <v>3780</v>
      </c>
      <c r="U1595" t="s">
        <v>149</v>
      </c>
      <c r="W1595" t="s">
        <v>155</v>
      </c>
      <c r="X1595">
        <v>3</v>
      </c>
      <c r="AC1595" t="s">
        <v>136</v>
      </c>
      <c r="AE1595" t="s">
        <v>137</v>
      </c>
    </row>
    <row r="1596" spans="1:78" x14ac:dyDescent="0.2">
      <c r="A1596" t="s">
        <v>119</v>
      </c>
      <c r="B1596" t="s">
        <v>120</v>
      </c>
      <c r="C1596" t="s">
        <v>3781</v>
      </c>
      <c r="D1596">
        <v>5</v>
      </c>
      <c r="E1596" t="s">
        <v>218</v>
      </c>
      <c r="F1596" t="s">
        <v>205</v>
      </c>
      <c r="G1596" t="s">
        <v>124</v>
      </c>
      <c r="H1596" t="s">
        <v>125</v>
      </c>
      <c r="I1596">
        <v>0</v>
      </c>
      <c r="J1596" t="s">
        <v>126</v>
      </c>
      <c r="K1596" t="s">
        <v>125</v>
      </c>
      <c r="L1596" t="s">
        <v>3782</v>
      </c>
      <c r="U1596" t="s">
        <v>149</v>
      </c>
      <c r="W1596" t="s">
        <v>155</v>
      </c>
      <c r="X1596">
        <v>3</v>
      </c>
      <c r="AC1596" t="s">
        <v>136</v>
      </c>
      <c r="AE1596" t="s">
        <v>137</v>
      </c>
    </row>
    <row r="1597" spans="1:78" x14ac:dyDescent="0.2">
      <c r="A1597" t="s">
        <v>119</v>
      </c>
      <c r="B1597" t="s">
        <v>120</v>
      </c>
      <c r="C1597" t="s">
        <v>3783</v>
      </c>
      <c r="D1597">
        <v>3</v>
      </c>
      <c r="E1597" t="s">
        <v>3784</v>
      </c>
      <c r="F1597" t="s">
        <v>3651</v>
      </c>
      <c r="G1597" t="s">
        <v>124</v>
      </c>
      <c r="H1597" t="s">
        <v>125</v>
      </c>
      <c r="I1597">
        <v>0</v>
      </c>
      <c r="J1597" t="s">
        <v>126</v>
      </c>
      <c r="K1597" t="s">
        <v>125</v>
      </c>
      <c r="L1597" t="s">
        <v>3785</v>
      </c>
      <c r="U1597" t="s">
        <v>149</v>
      </c>
      <c r="W1597" t="s">
        <v>155</v>
      </c>
      <c r="X1597">
        <v>3</v>
      </c>
      <c r="AC1597" t="s">
        <v>136</v>
      </c>
      <c r="AE1597" t="s">
        <v>137</v>
      </c>
    </row>
    <row r="1598" spans="1:78" hidden="1" x14ac:dyDescent="0.2">
      <c r="A1598" t="s">
        <v>119</v>
      </c>
      <c r="B1598" t="s">
        <v>120</v>
      </c>
      <c r="C1598" t="s">
        <v>3786</v>
      </c>
      <c r="D1598">
        <v>3</v>
      </c>
      <c r="E1598" t="s">
        <v>261</v>
      </c>
      <c r="F1598" t="s">
        <v>261</v>
      </c>
      <c r="G1598" t="s">
        <v>124</v>
      </c>
      <c r="H1598" t="s">
        <v>125</v>
      </c>
      <c r="I1598">
        <v>0</v>
      </c>
      <c r="J1598" t="s">
        <v>126</v>
      </c>
      <c r="K1598" t="s">
        <v>125</v>
      </c>
      <c r="L1598" t="s">
        <v>3787</v>
      </c>
      <c r="AE1598" t="s">
        <v>128</v>
      </c>
      <c r="AG1598">
        <v>2</v>
      </c>
      <c r="AH1598" t="s">
        <v>1935</v>
      </c>
      <c r="AI1598" t="s">
        <v>667</v>
      </c>
      <c r="AJ1598" t="s">
        <v>131</v>
      </c>
      <c r="AK1598" t="s">
        <v>125</v>
      </c>
      <c r="AL1598">
        <v>3</v>
      </c>
      <c r="AM1598" t="s">
        <v>132</v>
      </c>
      <c r="AN1598" t="s">
        <v>125</v>
      </c>
      <c r="AO1598" t="s">
        <v>3788</v>
      </c>
      <c r="BP1598" t="s">
        <v>149</v>
      </c>
      <c r="BR1598" t="s">
        <v>135</v>
      </c>
      <c r="BS1598">
        <v>3</v>
      </c>
      <c r="BX1598" t="s">
        <v>136</v>
      </c>
      <c r="BZ1598" t="s">
        <v>137</v>
      </c>
    </row>
    <row r="1599" spans="1:78" x14ac:dyDescent="0.2">
      <c r="A1599" t="s">
        <v>119</v>
      </c>
      <c r="B1599" t="s">
        <v>120</v>
      </c>
      <c r="C1599" t="s">
        <v>3789</v>
      </c>
      <c r="D1599">
        <v>1</v>
      </c>
      <c r="E1599" t="s">
        <v>3790</v>
      </c>
      <c r="F1599" t="s">
        <v>198</v>
      </c>
      <c r="G1599" t="s">
        <v>124</v>
      </c>
      <c r="H1599" t="s">
        <v>125</v>
      </c>
      <c r="I1599">
        <v>0</v>
      </c>
      <c r="J1599" t="s">
        <v>126</v>
      </c>
      <c r="K1599" t="s">
        <v>125</v>
      </c>
      <c r="L1599" t="s">
        <v>3791</v>
      </c>
      <c r="U1599" t="s">
        <v>209</v>
      </c>
      <c r="W1599" t="s">
        <v>155</v>
      </c>
      <c r="X1599">
        <v>2</v>
      </c>
      <c r="AC1599" t="s">
        <v>136</v>
      </c>
      <c r="AE1599" t="s">
        <v>137</v>
      </c>
    </row>
    <row r="1600" spans="1:78" hidden="1" x14ac:dyDescent="0.2">
      <c r="A1600" t="s">
        <v>119</v>
      </c>
      <c r="B1600" t="s">
        <v>120</v>
      </c>
      <c r="C1600" t="s">
        <v>3789</v>
      </c>
      <c r="D1600">
        <v>7</v>
      </c>
      <c r="E1600" t="s">
        <v>139</v>
      </c>
      <c r="F1600" t="s">
        <v>140</v>
      </c>
      <c r="G1600" t="s">
        <v>124</v>
      </c>
      <c r="H1600" t="s">
        <v>125</v>
      </c>
      <c r="I1600">
        <v>1</v>
      </c>
      <c r="J1600" t="s">
        <v>264</v>
      </c>
      <c r="K1600" t="s">
        <v>125</v>
      </c>
      <c r="L1600" t="s">
        <v>3792</v>
      </c>
      <c r="T1600" t="s">
        <v>142</v>
      </c>
      <c r="W1600" t="s">
        <v>135</v>
      </c>
      <c r="AC1600" t="s">
        <v>143</v>
      </c>
      <c r="AE1600" t="s">
        <v>144</v>
      </c>
      <c r="AG1600">
        <v>5</v>
      </c>
      <c r="AH1600" t="s">
        <v>145</v>
      </c>
      <c r="AI1600" t="s">
        <v>146</v>
      </c>
      <c r="AJ1600" t="s">
        <v>131</v>
      </c>
      <c r="AK1600" t="s">
        <v>125</v>
      </c>
      <c r="AL1600">
        <v>7</v>
      </c>
      <c r="AM1600" t="s">
        <v>132</v>
      </c>
      <c r="AN1600" t="s">
        <v>125</v>
      </c>
      <c r="AO1600" t="s">
        <v>3793</v>
      </c>
      <c r="BP1600" t="s">
        <v>149</v>
      </c>
      <c r="BR1600" t="s">
        <v>135</v>
      </c>
      <c r="BS1600">
        <v>3</v>
      </c>
      <c r="BX1600" t="s">
        <v>136</v>
      </c>
      <c r="BZ1600" t="s">
        <v>137</v>
      </c>
    </row>
    <row r="1601" spans="1:78" hidden="1" x14ac:dyDescent="0.2">
      <c r="A1601" t="s">
        <v>119</v>
      </c>
      <c r="B1601" t="s">
        <v>120</v>
      </c>
      <c r="C1601" t="s">
        <v>3794</v>
      </c>
      <c r="D1601">
        <v>3</v>
      </c>
      <c r="E1601" t="s">
        <v>407</v>
      </c>
      <c r="F1601" t="s">
        <v>140</v>
      </c>
      <c r="G1601" t="s">
        <v>124</v>
      </c>
      <c r="H1601" t="s">
        <v>125</v>
      </c>
      <c r="I1601">
        <v>9</v>
      </c>
      <c r="J1601" t="s">
        <v>268</v>
      </c>
      <c r="K1601" t="s">
        <v>125</v>
      </c>
      <c r="L1601" t="s">
        <v>3795</v>
      </c>
      <c r="T1601" t="s">
        <v>154</v>
      </c>
      <c r="W1601" t="s">
        <v>135</v>
      </c>
      <c r="AC1601" t="s">
        <v>143</v>
      </c>
      <c r="AE1601" t="s">
        <v>144</v>
      </c>
      <c r="AG1601">
        <v>2</v>
      </c>
      <c r="AH1601" t="s">
        <v>229</v>
      </c>
      <c r="AI1601" t="s">
        <v>205</v>
      </c>
      <c r="AJ1601" t="s">
        <v>131</v>
      </c>
      <c r="AK1601" t="s">
        <v>125</v>
      </c>
      <c r="AL1601">
        <v>3</v>
      </c>
      <c r="AM1601" t="s">
        <v>132</v>
      </c>
      <c r="AN1601" t="s">
        <v>125</v>
      </c>
      <c r="AO1601" t="s">
        <v>3796</v>
      </c>
      <c r="BP1601" t="s">
        <v>149</v>
      </c>
      <c r="BR1601" t="s">
        <v>155</v>
      </c>
      <c r="BS1601">
        <v>2</v>
      </c>
      <c r="BX1601" t="s">
        <v>136</v>
      </c>
      <c r="BZ1601" t="s">
        <v>137</v>
      </c>
    </row>
    <row r="1602" spans="1:78" x14ac:dyDescent="0.2">
      <c r="A1602" t="s">
        <v>119</v>
      </c>
      <c r="B1602" t="s">
        <v>120</v>
      </c>
      <c r="C1602" t="s">
        <v>3794</v>
      </c>
      <c r="D1602">
        <v>9</v>
      </c>
      <c r="E1602" t="s">
        <v>3790</v>
      </c>
      <c r="F1602" t="s">
        <v>198</v>
      </c>
      <c r="G1602" t="s">
        <v>124</v>
      </c>
      <c r="H1602" t="s">
        <v>125</v>
      </c>
      <c r="I1602">
        <v>0</v>
      </c>
      <c r="J1602" t="s">
        <v>126</v>
      </c>
      <c r="K1602" t="s">
        <v>125</v>
      </c>
      <c r="L1602" t="s">
        <v>3797</v>
      </c>
      <c r="U1602" t="s">
        <v>209</v>
      </c>
      <c r="W1602" t="s">
        <v>155</v>
      </c>
      <c r="X1602">
        <v>2</v>
      </c>
      <c r="AC1602" t="s">
        <v>136</v>
      </c>
      <c r="AE1602" t="s">
        <v>137</v>
      </c>
    </row>
    <row r="1603" spans="1:78" hidden="1" x14ac:dyDescent="0.2">
      <c r="A1603" t="s">
        <v>119</v>
      </c>
      <c r="B1603" t="s">
        <v>120</v>
      </c>
      <c r="C1603" t="s">
        <v>3794</v>
      </c>
      <c r="D1603">
        <v>18</v>
      </c>
      <c r="E1603" t="s">
        <v>3798</v>
      </c>
      <c r="F1603" t="s">
        <v>1006</v>
      </c>
      <c r="G1603" t="s">
        <v>124</v>
      </c>
      <c r="H1603" t="s">
        <v>125</v>
      </c>
      <c r="I1603">
        <v>9</v>
      </c>
      <c r="J1603" t="s">
        <v>264</v>
      </c>
      <c r="K1603" t="s">
        <v>125</v>
      </c>
      <c r="L1603" t="s">
        <v>3799</v>
      </c>
      <c r="T1603" t="s">
        <v>154</v>
      </c>
      <c r="W1603" t="s">
        <v>135</v>
      </c>
      <c r="AC1603" t="s">
        <v>143</v>
      </c>
      <c r="AE1603" t="s">
        <v>144</v>
      </c>
      <c r="AG1603">
        <v>17</v>
      </c>
      <c r="AH1603" t="s">
        <v>145</v>
      </c>
      <c r="AI1603" t="s">
        <v>146</v>
      </c>
      <c r="AJ1603" t="s">
        <v>131</v>
      </c>
      <c r="AK1603" t="s">
        <v>125</v>
      </c>
      <c r="AL1603">
        <v>18</v>
      </c>
      <c r="AM1603" t="s">
        <v>132</v>
      </c>
      <c r="AN1603" t="s">
        <v>125</v>
      </c>
      <c r="AO1603" t="s">
        <v>3800</v>
      </c>
      <c r="BP1603" t="s">
        <v>149</v>
      </c>
      <c r="BR1603" t="s">
        <v>135</v>
      </c>
      <c r="BS1603">
        <v>3</v>
      </c>
      <c r="BX1603" t="s">
        <v>136</v>
      </c>
      <c r="BZ1603" t="s">
        <v>137</v>
      </c>
    </row>
    <row r="1604" spans="1:78" x14ac:dyDescent="0.2">
      <c r="A1604" t="s">
        <v>119</v>
      </c>
      <c r="B1604" t="s">
        <v>120</v>
      </c>
      <c r="C1604" t="s">
        <v>3801</v>
      </c>
      <c r="D1604">
        <v>4</v>
      </c>
      <c r="E1604" t="s">
        <v>3802</v>
      </c>
      <c r="F1604" t="s">
        <v>3803</v>
      </c>
      <c r="G1604" t="s">
        <v>124</v>
      </c>
      <c r="H1604" t="s">
        <v>125</v>
      </c>
      <c r="I1604">
        <v>0</v>
      </c>
      <c r="J1604" t="s">
        <v>126</v>
      </c>
      <c r="K1604" t="s">
        <v>125</v>
      </c>
      <c r="L1604" t="s">
        <v>785</v>
      </c>
      <c r="U1604" t="s">
        <v>149</v>
      </c>
      <c r="W1604" t="s">
        <v>135</v>
      </c>
      <c r="X1604">
        <v>3</v>
      </c>
      <c r="AC1604" t="s">
        <v>136</v>
      </c>
      <c r="AE1604" t="s">
        <v>137</v>
      </c>
    </row>
    <row r="1605" spans="1:78" x14ac:dyDescent="0.2">
      <c r="A1605" t="s">
        <v>119</v>
      </c>
      <c r="B1605" t="s">
        <v>120</v>
      </c>
      <c r="C1605" t="s">
        <v>3801</v>
      </c>
      <c r="D1605">
        <v>11</v>
      </c>
      <c r="E1605" t="s">
        <v>3802</v>
      </c>
      <c r="F1605" t="s">
        <v>3803</v>
      </c>
      <c r="G1605" t="s">
        <v>124</v>
      </c>
      <c r="H1605" t="s">
        <v>125</v>
      </c>
      <c r="I1605">
        <v>9</v>
      </c>
      <c r="J1605" t="s">
        <v>170</v>
      </c>
      <c r="K1605" t="s">
        <v>125</v>
      </c>
      <c r="L1605" t="s">
        <v>3804</v>
      </c>
      <c r="U1605" t="s">
        <v>149</v>
      </c>
      <c r="W1605" t="s">
        <v>135</v>
      </c>
      <c r="X1605">
        <v>3</v>
      </c>
      <c r="AC1605" t="s">
        <v>136</v>
      </c>
      <c r="AE1605" t="s">
        <v>137</v>
      </c>
    </row>
    <row r="1606" spans="1:78" x14ac:dyDescent="0.2">
      <c r="A1606" t="s">
        <v>119</v>
      </c>
      <c r="B1606" t="s">
        <v>120</v>
      </c>
      <c r="C1606" t="s">
        <v>3801</v>
      </c>
      <c r="D1606">
        <v>18</v>
      </c>
      <c r="E1606" t="s">
        <v>3802</v>
      </c>
      <c r="F1606" t="s">
        <v>3803</v>
      </c>
      <c r="G1606" t="s">
        <v>124</v>
      </c>
      <c r="H1606" t="s">
        <v>125</v>
      </c>
      <c r="I1606">
        <v>16</v>
      </c>
      <c r="J1606" t="s">
        <v>170</v>
      </c>
      <c r="K1606" t="s">
        <v>125</v>
      </c>
      <c r="L1606" t="s">
        <v>3805</v>
      </c>
      <c r="U1606" t="s">
        <v>149</v>
      </c>
      <c r="W1606" t="s">
        <v>135</v>
      </c>
      <c r="X1606">
        <v>3</v>
      </c>
      <c r="AC1606" t="s">
        <v>136</v>
      </c>
      <c r="AE1606" t="s">
        <v>137</v>
      </c>
    </row>
    <row r="1607" spans="1:78" x14ac:dyDescent="0.2">
      <c r="A1607" t="s">
        <v>119</v>
      </c>
      <c r="B1607" t="s">
        <v>120</v>
      </c>
      <c r="C1607" t="s">
        <v>3806</v>
      </c>
      <c r="D1607">
        <v>4</v>
      </c>
      <c r="E1607" t="s">
        <v>218</v>
      </c>
      <c r="F1607" t="s">
        <v>205</v>
      </c>
      <c r="G1607" t="s">
        <v>124</v>
      </c>
      <c r="H1607" t="s">
        <v>125</v>
      </c>
      <c r="I1607">
        <v>0</v>
      </c>
      <c r="J1607" t="s">
        <v>126</v>
      </c>
      <c r="K1607" t="s">
        <v>125</v>
      </c>
      <c r="L1607" t="s">
        <v>3807</v>
      </c>
      <c r="U1607" t="s">
        <v>149</v>
      </c>
      <c r="W1607" t="s">
        <v>155</v>
      </c>
      <c r="X1607">
        <v>3</v>
      </c>
      <c r="AC1607" t="s">
        <v>136</v>
      </c>
      <c r="AE1607" t="s">
        <v>137</v>
      </c>
    </row>
    <row r="1608" spans="1:78" hidden="1" x14ac:dyDescent="0.2">
      <c r="A1608" t="s">
        <v>119</v>
      </c>
      <c r="B1608" t="s">
        <v>120</v>
      </c>
      <c r="C1608" t="s">
        <v>3806</v>
      </c>
      <c r="D1608">
        <v>9</v>
      </c>
      <c r="E1608" t="s">
        <v>2341</v>
      </c>
      <c r="F1608" t="s">
        <v>598</v>
      </c>
      <c r="G1608" t="s">
        <v>124</v>
      </c>
      <c r="H1608" t="s">
        <v>125</v>
      </c>
      <c r="I1608">
        <v>4</v>
      </c>
      <c r="J1608" t="s">
        <v>161</v>
      </c>
      <c r="K1608" t="s">
        <v>125</v>
      </c>
      <c r="L1608" t="s">
        <v>3808</v>
      </c>
      <c r="T1608" t="s">
        <v>154</v>
      </c>
      <c r="W1608" t="s">
        <v>135</v>
      </c>
      <c r="AC1608" t="s">
        <v>143</v>
      </c>
      <c r="AE1608" t="s">
        <v>144</v>
      </c>
      <c r="AG1608">
        <v>8</v>
      </c>
      <c r="AH1608" t="s">
        <v>218</v>
      </c>
      <c r="AI1608" t="s">
        <v>205</v>
      </c>
      <c r="AJ1608" t="s">
        <v>131</v>
      </c>
      <c r="AK1608" t="s">
        <v>125</v>
      </c>
      <c r="AL1608">
        <v>9</v>
      </c>
      <c r="AM1608" t="s">
        <v>132</v>
      </c>
      <c r="AN1608" t="s">
        <v>125</v>
      </c>
      <c r="AO1608" t="s">
        <v>3809</v>
      </c>
      <c r="BP1608" t="s">
        <v>149</v>
      </c>
      <c r="BR1608" t="s">
        <v>155</v>
      </c>
      <c r="BS1608">
        <v>3</v>
      </c>
      <c r="BX1608" t="s">
        <v>136</v>
      </c>
      <c r="BZ1608" t="s">
        <v>137</v>
      </c>
    </row>
    <row r="1609" spans="1:78" hidden="1" x14ac:dyDescent="0.2">
      <c r="A1609" t="s">
        <v>119</v>
      </c>
      <c r="B1609" t="s">
        <v>120</v>
      </c>
      <c r="C1609" t="s">
        <v>3806</v>
      </c>
      <c r="D1609">
        <v>13</v>
      </c>
      <c r="E1609" t="s">
        <v>140</v>
      </c>
      <c r="F1609" t="s">
        <v>140</v>
      </c>
      <c r="G1609" t="s">
        <v>124</v>
      </c>
      <c r="H1609" t="s">
        <v>125</v>
      </c>
      <c r="I1609">
        <v>9</v>
      </c>
      <c r="J1609" t="s">
        <v>294</v>
      </c>
      <c r="K1609" t="s">
        <v>125</v>
      </c>
      <c r="L1609" t="s">
        <v>3810</v>
      </c>
      <c r="AE1609" t="s">
        <v>128</v>
      </c>
    </row>
    <row r="1610" spans="1:78" hidden="1" x14ac:dyDescent="0.2">
      <c r="A1610" t="s">
        <v>119</v>
      </c>
      <c r="B1610" t="s">
        <v>120</v>
      </c>
      <c r="C1610" t="s">
        <v>3806</v>
      </c>
      <c r="D1610">
        <v>20</v>
      </c>
      <c r="E1610" t="s">
        <v>3811</v>
      </c>
      <c r="F1610" t="s">
        <v>3812</v>
      </c>
      <c r="G1610" t="s">
        <v>124</v>
      </c>
      <c r="H1610" t="s">
        <v>125</v>
      </c>
      <c r="I1610">
        <v>9</v>
      </c>
      <c r="J1610" t="s">
        <v>268</v>
      </c>
      <c r="K1610" t="s">
        <v>125</v>
      </c>
      <c r="L1610" t="s">
        <v>3813</v>
      </c>
      <c r="T1610" t="s">
        <v>154</v>
      </c>
      <c r="W1610" t="s">
        <v>135</v>
      </c>
      <c r="AC1610" t="s">
        <v>143</v>
      </c>
      <c r="AE1610" t="s">
        <v>144</v>
      </c>
      <c r="AG1610">
        <v>19</v>
      </c>
      <c r="AH1610" t="s">
        <v>218</v>
      </c>
      <c r="AI1610" t="s">
        <v>205</v>
      </c>
      <c r="AJ1610" t="s">
        <v>131</v>
      </c>
      <c r="AK1610" t="s">
        <v>125</v>
      </c>
      <c r="AL1610">
        <v>20</v>
      </c>
      <c r="AM1610" t="s">
        <v>132</v>
      </c>
      <c r="AN1610" t="s">
        <v>125</v>
      </c>
      <c r="AO1610" t="s">
        <v>3814</v>
      </c>
      <c r="BP1610" t="s">
        <v>149</v>
      </c>
      <c r="BR1610" t="s">
        <v>155</v>
      </c>
      <c r="BS1610">
        <v>3</v>
      </c>
      <c r="BX1610" t="s">
        <v>136</v>
      </c>
      <c r="BZ1610" t="s">
        <v>137</v>
      </c>
    </row>
    <row r="1611" spans="1:78" x14ac:dyDescent="0.2">
      <c r="A1611" t="s">
        <v>119</v>
      </c>
      <c r="B1611" t="s">
        <v>120</v>
      </c>
      <c r="C1611" t="s">
        <v>3806</v>
      </c>
      <c r="D1611">
        <v>25</v>
      </c>
      <c r="E1611" t="s">
        <v>218</v>
      </c>
      <c r="F1611" t="s">
        <v>205</v>
      </c>
      <c r="G1611" t="s">
        <v>124</v>
      </c>
      <c r="H1611" t="s">
        <v>125</v>
      </c>
      <c r="I1611">
        <v>20</v>
      </c>
      <c r="J1611" t="s">
        <v>264</v>
      </c>
      <c r="K1611" t="s">
        <v>125</v>
      </c>
      <c r="L1611" t="s">
        <v>3815</v>
      </c>
      <c r="U1611" t="s">
        <v>149</v>
      </c>
      <c r="W1611" t="s">
        <v>155</v>
      </c>
      <c r="X1611">
        <v>3</v>
      </c>
      <c r="AC1611" t="s">
        <v>136</v>
      </c>
      <c r="AE1611" t="s">
        <v>137</v>
      </c>
    </row>
    <row r="1612" spans="1:78" hidden="1" x14ac:dyDescent="0.2">
      <c r="A1612" t="s">
        <v>119</v>
      </c>
      <c r="B1612" t="s">
        <v>120</v>
      </c>
      <c r="C1612" t="s">
        <v>3816</v>
      </c>
      <c r="D1612">
        <v>4</v>
      </c>
      <c r="E1612" t="s">
        <v>3817</v>
      </c>
      <c r="F1612" t="s">
        <v>3818</v>
      </c>
      <c r="G1612" t="s">
        <v>124</v>
      </c>
      <c r="H1612" t="s">
        <v>125</v>
      </c>
      <c r="I1612">
        <v>0</v>
      </c>
      <c r="J1612" t="s">
        <v>126</v>
      </c>
      <c r="K1612" t="s">
        <v>125</v>
      </c>
      <c r="L1612" t="s">
        <v>792</v>
      </c>
      <c r="T1612" t="s">
        <v>154</v>
      </c>
      <c r="W1612" t="s">
        <v>135</v>
      </c>
      <c r="AC1612" t="s">
        <v>143</v>
      </c>
      <c r="AE1612" t="s">
        <v>144</v>
      </c>
      <c r="AG1612">
        <v>2</v>
      </c>
      <c r="AH1612" t="s">
        <v>218</v>
      </c>
      <c r="AI1612" t="s">
        <v>205</v>
      </c>
      <c r="AJ1612" t="s">
        <v>131</v>
      </c>
      <c r="AK1612" t="s">
        <v>125</v>
      </c>
      <c r="AL1612">
        <v>4</v>
      </c>
      <c r="AM1612" t="s">
        <v>132</v>
      </c>
      <c r="AN1612" t="s">
        <v>125</v>
      </c>
      <c r="AO1612" t="s">
        <v>3819</v>
      </c>
      <c r="BP1612" t="s">
        <v>149</v>
      </c>
      <c r="BR1612" t="s">
        <v>155</v>
      </c>
      <c r="BS1612">
        <v>3</v>
      </c>
      <c r="BX1612" t="s">
        <v>136</v>
      </c>
      <c r="BZ1612" t="s">
        <v>137</v>
      </c>
    </row>
    <row r="1613" spans="1:78" x14ac:dyDescent="0.2">
      <c r="A1613" t="s">
        <v>119</v>
      </c>
      <c r="B1613" t="s">
        <v>120</v>
      </c>
      <c r="C1613" t="s">
        <v>3820</v>
      </c>
      <c r="D1613">
        <v>15</v>
      </c>
      <c r="E1613" t="s">
        <v>3821</v>
      </c>
      <c r="F1613" t="s">
        <v>773</v>
      </c>
      <c r="G1613" t="s">
        <v>124</v>
      </c>
      <c r="H1613" t="s">
        <v>125</v>
      </c>
      <c r="I1613">
        <v>2</v>
      </c>
      <c r="J1613" t="s">
        <v>170</v>
      </c>
      <c r="K1613" t="s">
        <v>125</v>
      </c>
      <c r="L1613" t="s">
        <v>3822</v>
      </c>
      <c r="U1613" t="s">
        <v>134</v>
      </c>
      <c r="W1613" t="s">
        <v>135</v>
      </c>
      <c r="X1613">
        <v>3</v>
      </c>
      <c r="AC1613" t="s">
        <v>136</v>
      </c>
      <c r="AE1613" t="s">
        <v>137</v>
      </c>
    </row>
    <row r="1614" spans="1:78" hidden="1" x14ac:dyDescent="0.2">
      <c r="A1614" t="s">
        <v>119</v>
      </c>
      <c r="B1614" t="s">
        <v>120</v>
      </c>
      <c r="C1614" t="s">
        <v>3823</v>
      </c>
      <c r="D1614">
        <v>10</v>
      </c>
      <c r="E1614" t="s">
        <v>198</v>
      </c>
      <c r="F1614" t="s">
        <v>198</v>
      </c>
      <c r="G1614" t="s">
        <v>124</v>
      </c>
      <c r="H1614" t="s">
        <v>125</v>
      </c>
      <c r="I1614">
        <v>2</v>
      </c>
      <c r="J1614" t="s">
        <v>161</v>
      </c>
      <c r="K1614" t="s">
        <v>125</v>
      </c>
      <c r="L1614" t="s">
        <v>3824</v>
      </c>
      <c r="AE1614" t="s">
        <v>128</v>
      </c>
      <c r="AG1614">
        <v>9</v>
      </c>
      <c r="AH1614" t="s">
        <v>3461</v>
      </c>
      <c r="AI1614" t="s">
        <v>572</v>
      </c>
      <c r="AJ1614" t="s">
        <v>131</v>
      </c>
      <c r="AK1614" t="s">
        <v>125</v>
      </c>
      <c r="AL1614">
        <v>10</v>
      </c>
      <c r="AM1614" t="s">
        <v>132</v>
      </c>
      <c r="AN1614" t="s">
        <v>125</v>
      </c>
      <c r="AO1614" t="s">
        <v>3825</v>
      </c>
      <c r="BP1614" t="s">
        <v>149</v>
      </c>
      <c r="BR1614" t="s">
        <v>155</v>
      </c>
      <c r="BS1614">
        <v>1</v>
      </c>
      <c r="BX1614" t="s">
        <v>136</v>
      </c>
      <c r="BZ1614" t="s">
        <v>137</v>
      </c>
    </row>
    <row r="1615" spans="1:78" hidden="1" x14ac:dyDescent="0.2">
      <c r="A1615" t="s">
        <v>119</v>
      </c>
      <c r="B1615" t="s">
        <v>120</v>
      </c>
      <c r="C1615" t="s">
        <v>3823</v>
      </c>
      <c r="D1615">
        <v>12</v>
      </c>
      <c r="E1615" t="s">
        <v>207</v>
      </c>
      <c r="F1615" t="s">
        <v>146</v>
      </c>
      <c r="G1615" t="s">
        <v>124</v>
      </c>
      <c r="H1615" t="s">
        <v>125</v>
      </c>
      <c r="I1615">
        <v>10</v>
      </c>
      <c r="J1615" t="s">
        <v>268</v>
      </c>
      <c r="K1615" t="s">
        <v>125</v>
      </c>
      <c r="L1615" t="s">
        <v>3826</v>
      </c>
      <c r="U1615" t="s">
        <v>149</v>
      </c>
      <c r="W1615" t="s">
        <v>135</v>
      </c>
      <c r="X1615">
        <v>3</v>
      </c>
      <c r="AC1615" t="s">
        <v>209</v>
      </c>
      <c r="AE1615" t="s">
        <v>137</v>
      </c>
    </row>
    <row r="1616" spans="1:78" x14ac:dyDescent="0.2">
      <c r="A1616" t="s">
        <v>119</v>
      </c>
      <c r="B1616" t="s">
        <v>120</v>
      </c>
      <c r="C1616" t="s">
        <v>3827</v>
      </c>
      <c r="D1616">
        <v>2</v>
      </c>
      <c r="E1616" t="s">
        <v>3828</v>
      </c>
      <c r="F1616" t="s">
        <v>3829</v>
      </c>
      <c r="G1616" t="s">
        <v>124</v>
      </c>
      <c r="H1616" t="s">
        <v>125</v>
      </c>
      <c r="I1616">
        <v>0</v>
      </c>
      <c r="J1616" t="s">
        <v>126</v>
      </c>
      <c r="K1616" t="s">
        <v>125</v>
      </c>
      <c r="L1616" t="s">
        <v>3830</v>
      </c>
      <c r="U1616" t="s">
        <v>149</v>
      </c>
      <c r="W1616" t="s">
        <v>135</v>
      </c>
      <c r="X1616">
        <v>3</v>
      </c>
      <c r="AC1616" t="s">
        <v>136</v>
      </c>
      <c r="AE1616" t="s">
        <v>137</v>
      </c>
    </row>
    <row r="1617" spans="1:78" x14ac:dyDescent="0.2">
      <c r="A1617" t="s">
        <v>119</v>
      </c>
      <c r="B1617" t="s">
        <v>120</v>
      </c>
      <c r="C1617" t="s">
        <v>3827</v>
      </c>
      <c r="D1617">
        <v>6</v>
      </c>
      <c r="E1617" t="s">
        <v>1708</v>
      </c>
      <c r="F1617" t="s">
        <v>773</v>
      </c>
      <c r="G1617" t="s">
        <v>124</v>
      </c>
      <c r="H1617" t="s">
        <v>125</v>
      </c>
      <c r="I1617">
        <v>3</v>
      </c>
      <c r="J1617" t="s">
        <v>170</v>
      </c>
      <c r="K1617" t="s">
        <v>125</v>
      </c>
      <c r="L1617" t="s">
        <v>3831</v>
      </c>
      <c r="U1617" t="s">
        <v>149</v>
      </c>
      <c r="W1617" t="s">
        <v>135</v>
      </c>
      <c r="X1617">
        <v>3</v>
      </c>
      <c r="AC1617" t="s">
        <v>136</v>
      </c>
      <c r="AE1617" t="s">
        <v>137</v>
      </c>
    </row>
    <row r="1618" spans="1:78" x14ac:dyDescent="0.2">
      <c r="A1618" t="s">
        <v>119</v>
      </c>
      <c r="B1618" t="s">
        <v>120</v>
      </c>
      <c r="C1618" t="s">
        <v>3832</v>
      </c>
      <c r="D1618">
        <v>2</v>
      </c>
      <c r="E1618" t="s">
        <v>160</v>
      </c>
      <c r="F1618" t="s">
        <v>146</v>
      </c>
      <c r="G1618" t="s">
        <v>124</v>
      </c>
      <c r="H1618" t="s">
        <v>125</v>
      </c>
      <c r="I1618">
        <v>0</v>
      </c>
      <c r="J1618" t="s">
        <v>126</v>
      </c>
      <c r="K1618" t="s">
        <v>125</v>
      </c>
      <c r="L1618" t="s">
        <v>3833</v>
      </c>
      <c r="U1618" t="s">
        <v>149</v>
      </c>
      <c r="W1618" t="s">
        <v>155</v>
      </c>
      <c r="X1618">
        <v>3</v>
      </c>
      <c r="AC1618" t="s">
        <v>136</v>
      </c>
      <c r="AE1618" t="s">
        <v>137</v>
      </c>
    </row>
    <row r="1619" spans="1:78" hidden="1" x14ac:dyDescent="0.2">
      <c r="A1619" t="s">
        <v>119</v>
      </c>
      <c r="B1619" t="s">
        <v>120</v>
      </c>
      <c r="C1619" t="s">
        <v>3834</v>
      </c>
      <c r="D1619">
        <v>8</v>
      </c>
      <c r="E1619" t="s">
        <v>3835</v>
      </c>
      <c r="F1619" t="s">
        <v>602</v>
      </c>
      <c r="G1619" t="s">
        <v>124</v>
      </c>
      <c r="H1619" t="s">
        <v>125</v>
      </c>
      <c r="I1619">
        <v>0</v>
      </c>
      <c r="J1619" t="s">
        <v>126</v>
      </c>
      <c r="K1619" t="s">
        <v>125</v>
      </c>
      <c r="L1619" t="s">
        <v>3836</v>
      </c>
      <c r="T1619" t="s">
        <v>142</v>
      </c>
      <c r="W1619" t="s">
        <v>155</v>
      </c>
      <c r="AC1619" t="s">
        <v>143</v>
      </c>
      <c r="AE1619" t="s">
        <v>144</v>
      </c>
      <c r="AG1619">
        <v>6</v>
      </c>
      <c r="AH1619" t="s">
        <v>160</v>
      </c>
      <c r="AI1619" t="s">
        <v>146</v>
      </c>
      <c r="AJ1619" t="s">
        <v>131</v>
      </c>
      <c r="AK1619" t="s">
        <v>125</v>
      </c>
      <c r="AL1619">
        <v>8</v>
      </c>
      <c r="AM1619" t="s">
        <v>132</v>
      </c>
      <c r="AN1619" t="s">
        <v>125</v>
      </c>
      <c r="AO1619" t="s">
        <v>815</v>
      </c>
      <c r="BP1619" t="s">
        <v>149</v>
      </c>
      <c r="BR1619" t="s">
        <v>135</v>
      </c>
      <c r="BS1619">
        <v>1</v>
      </c>
      <c r="BX1619" t="s">
        <v>136</v>
      </c>
      <c r="BZ1619" t="s">
        <v>137</v>
      </c>
    </row>
    <row r="1620" spans="1:78" x14ac:dyDescent="0.2">
      <c r="A1620" t="s">
        <v>119</v>
      </c>
      <c r="B1620" t="s">
        <v>120</v>
      </c>
      <c r="C1620" t="s">
        <v>3837</v>
      </c>
      <c r="D1620">
        <v>3</v>
      </c>
      <c r="E1620" t="s">
        <v>3838</v>
      </c>
      <c r="F1620" t="s">
        <v>3467</v>
      </c>
      <c r="G1620" t="s">
        <v>124</v>
      </c>
      <c r="H1620" t="s">
        <v>125</v>
      </c>
      <c r="I1620">
        <v>0</v>
      </c>
      <c r="J1620" t="s">
        <v>126</v>
      </c>
      <c r="K1620" t="s">
        <v>125</v>
      </c>
      <c r="L1620" t="s">
        <v>3839</v>
      </c>
      <c r="U1620" t="s">
        <v>149</v>
      </c>
      <c r="W1620" t="s">
        <v>135</v>
      </c>
      <c r="X1620">
        <v>3</v>
      </c>
      <c r="AC1620" t="s">
        <v>136</v>
      </c>
      <c r="AE1620" t="s">
        <v>137</v>
      </c>
    </row>
    <row r="1621" spans="1:78" hidden="1" x14ac:dyDescent="0.2">
      <c r="A1621" t="s">
        <v>119</v>
      </c>
      <c r="B1621" t="s">
        <v>120</v>
      </c>
      <c r="C1621" t="s">
        <v>3837</v>
      </c>
      <c r="D1621">
        <v>5</v>
      </c>
      <c r="E1621" t="s">
        <v>3840</v>
      </c>
      <c r="F1621" t="s">
        <v>3840</v>
      </c>
      <c r="G1621" t="s">
        <v>124</v>
      </c>
      <c r="H1621" t="s">
        <v>125</v>
      </c>
      <c r="I1621">
        <v>3</v>
      </c>
      <c r="J1621" t="s">
        <v>294</v>
      </c>
      <c r="K1621" t="s">
        <v>125</v>
      </c>
      <c r="L1621" t="s">
        <v>3841</v>
      </c>
      <c r="AE1621" t="s">
        <v>128</v>
      </c>
    </row>
    <row r="1622" spans="1:78" hidden="1" x14ac:dyDescent="0.2">
      <c r="A1622" t="s">
        <v>119</v>
      </c>
      <c r="B1622" t="s">
        <v>120</v>
      </c>
      <c r="C1622" t="s">
        <v>3837</v>
      </c>
      <c r="D1622">
        <v>9</v>
      </c>
      <c r="E1622" t="s">
        <v>3842</v>
      </c>
      <c r="F1622" t="s">
        <v>2279</v>
      </c>
      <c r="G1622" t="s">
        <v>124</v>
      </c>
      <c r="H1622" t="s">
        <v>125</v>
      </c>
      <c r="I1622">
        <v>5</v>
      </c>
      <c r="J1622" t="s">
        <v>268</v>
      </c>
      <c r="K1622" t="s">
        <v>125</v>
      </c>
      <c r="L1622" t="s">
        <v>3843</v>
      </c>
      <c r="AE1622" t="s">
        <v>394</v>
      </c>
    </row>
    <row r="1623" spans="1:78" x14ac:dyDescent="0.2">
      <c r="A1623" t="s">
        <v>119</v>
      </c>
      <c r="B1623" t="s">
        <v>120</v>
      </c>
      <c r="C1623" t="s">
        <v>3837</v>
      </c>
      <c r="D1623">
        <v>13</v>
      </c>
      <c r="E1623" t="s">
        <v>232</v>
      </c>
      <c r="F1623" t="s">
        <v>205</v>
      </c>
      <c r="G1623" t="s">
        <v>124</v>
      </c>
      <c r="H1623" t="s">
        <v>125</v>
      </c>
      <c r="I1623">
        <v>11</v>
      </c>
      <c r="J1623" t="s">
        <v>170</v>
      </c>
      <c r="K1623" t="s">
        <v>125</v>
      </c>
      <c r="L1623" t="s">
        <v>3844</v>
      </c>
      <c r="U1623" t="s">
        <v>149</v>
      </c>
      <c r="W1623" t="s">
        <v>155</v>
      </c>
      <c r="X1623">
        <v>1</v>
      </c>
      <c r="AC1623" t="s">
        <v>136</v>
      </c>
      <c r="AE1623" t="s">
        <v>137</v>
      </c>
    </row>
    <row r="1624" spans="1:78" hidden="1" x14ac:dyDescent="0.2">
      <c r="A1624" t="s">
        <v>119</v>
      </c>
      <c r="B1624" t="s">
        <v>120</v>
      </c>
      <c r="C1624" t="s">
        <v>3837</v>
      </c>
      <c r="D1624">
        <v>21</v>
      </c>
      <c r="E1624" t="s">
        <v>232</v>
      </c>
      <c r="F1624" t="s">
        <v>205</v>
      </c>
      <c r="G1624" t="s">
        <v>124</v>
      </c>
      <c r="H1624" t="s">
        <v>125</v>
      </c>
      <c r="I1624">
        <v>19</v>
      </c>
      <c r="J1624" t="s">
        <v>3845</v>
      </c>
      <c r="K1624" t="s">
        <v>125</v>
      </c>
      <c r="L1624" t="s">
        <v>3846</v>
      </c>
    </row>
    <row r="1625" spans="1:78" hidden="1" x14ac:dyDescent="0.2">
      <c r="A1625" t="s">
        <v>119</v>
      </c>
      <c r="B1625" t="s">
        <v>120</v>
      </c>
      <c r="C1625" t="s">
        <v>3847</v>
      </c>
      <c r="D1625">
        <v>1</v>
      </c>
      <c r="E1625" t="s">
        <v>3848</v>
      </c>
      <c r="F1625" t="s">
        <v>350</v>
      </c>
      <c r="G1625" t="s">
        <v>124</v>
      </c>
      <c r="H1625" t="s">
        <v>125</v>
      </c>
      <c r="I1625">
        <v>5</v>
      </c>
      <c r="J1625" t="s">
        <v>268</v>
      </c>
      <c r="K1625" t="s">
        <v>125</v>
      </c>
      <c r="L1625" t="s">
        <v>3849</v>
      </c>
      <c r="AE1625" t="s">
        <v>394</v>
      </c>
    </row>
    <row r="1626" spans="1:78" x14ac:dyDescent="0.2">
      <c r="A1626" t="s">
        <v>119</v>
      </c>
      <c r="B1626" t="s">
        <v>120</v>
      </c>
      <c r="C1626" t="s">
        <v>3847</v>
      </c>
      <c r="D1626">
        <v>5</v>
      </c>
      <c r="E1626" t="s">
        <v>3763</v>
      </c>
      <c r="F1626" t="s">
        <v>3467</v>
      </c>
      <c r="G1626" t="s">
        <v>124</v>
      </c>
      <c r="H1626" t="s">
        <v>125</v>
      </c>
      <c r="I1626">
        <v>0</v>
      </c>
      <c r="J1626" t="s">
        <v>126</v>
      </c>
      <c r="K1626" t="s">
        <v>125</v>
      </c>
      <c r="L1626" t="s">
        <v>3850</v>
      </c>
      <c r="U1626" t="s">
        <v>149</v>
      </c>
      <c r="W1626" t="s">
        <v>155</v>
      </c>
      <c r="X1626">
        <v>1</v>
      </c>
      <c r="AC1626" t="s">
        <v>136</v>
      </c>
      <c r="AE1626" t="s">
        <v>137</v>
      </c>
    </row>
    <row r="1627" spans="1:78" hidden="1" x14ac:dyDescent="0.2">
      <c r="A1627" t="s">
        <v>119</v>
      </c>
      <c r="B1627" t="s">
        <v>120</v>
      </c>
      <c r="C1627" t="s">
        <v>3847</v>
      </c>
      <c r="D1627">
        <v>7</v>
      </c>
      <c r="E1627" t="s">
        <v>3840</v>
      </c>
      <c r="F1627" t="s">
        <v>3840</v>
      </c>
      <c r="G1627" t="s">
        <v>124</v>
      </c>
      <c r="H1627" t="s">
        <v>125</v>
      </c>
      <c r="I1627">
        <v>5</v>
      </c>
      <c r="J1627" t="s">
        <v>294</v>
      </c>
      <c r="K1627" t="s">
        <v>125</v>
      </c>
      <c r="L1627" t="s">
        <v>3851</v>
      </c>
      <c r="AE1627" t="s">
        <v>128</v>
      </c>
    </row>
    <row r="1628" spans="1:78" x14ac:dyDescent="0.2">
      <c r="A1628" t="s">
        <v>119</v>
      </c>
      <c r="B1628" t="s">
        <v>120</v>
      </c>
      <c r="C1628" t="s">
        <v>3852</v>
      </c>
      <c r="D1628">
        <v>4</v>
      </c>
      <c r="E1628" t="s">
        <v>145</v>
      </c>
      <c r="F1628" t="s">
        <v>146</v>
      </c>
      <c r="G1628" t="s">
        <v>124</v>
      </c>
      <c r="H1628" t="s">
        <v>125</v>
      </c>
      <c r="I1628">
        <v>0</v>
      </c>
      <c r="J1628" t="s">
        <v>126</v>
      </c>
      <c r="K1628" t="s">
        <v>125</v>
      </c>
      <c r="L1628" t="s">
        <v>3853</v>
      </c>
      <c r="U1628" t="s">
        <v>149</v>
      </c>
      <c r="W1628" t="s">
        <v>135</v>
      </c>
      <c r="X1628">
        <v>3</v>
      </c>
      <c r="AC1628" t="s">
        <v>136</v>
      </c>
      <c r="AE1628" t="s">
        <v>137</v>
      </c>
    </row>
    <row r="1629" spans="1:78" x14ac:dyDescent="0.2">
      <c r="A1629" t="s">
        <v>119</v>
      </c>
      <c r="B1629" t="s">
        <v>120</v>
      </c>
      <c r="C1629" t="s">
        <v>3852</v>
      </c>
      <c r="D1629">
        <v>5</v>
      </c>
      <c r="E1629" t="s">
        <v>3854</v>
      </c>
      <c r="F1629" t="s">
        <v>3855</v>
      </c>
      <c r="G1629" t="s">
        <v>124</v>
      </c>
      <c r="H1629" t="s">
        <v>125</v>
      </c>
      <c r="I1629">
        <v>4</v>
      </c>
      <c r="J1629" t="s">
        <v>268</v>
      </c>
      <c r="K1629" t="s">
        <v>125</v>
      </c>
      <c r="L1629" t="s">
        <v>3856</v>
      </c>
      <c r="U1629" t="s">
        <v>149</v>
      </c>
      <c r="W1629" t="s">
        <v>135</v>
      </c>
      <c r="X1629">
        <v>3</v>
      </c>
      <c r="AC1629" t="s">
        <v>136</v>
      </c>
      <c r="AE1629" t="s">
        <v>137</v>
      </c>
    </row>
    <row r="1630" spans="1:78" hidden="1" x14ac:dyDescent="0.2">
      <c r="A1630" t="s">
        <v>119</v>
      </c>
      <c r="B1630" t="s">
        <v>120</v>
      </c>
      <c r="C1630" t="s">
        <v>3857</v>
      </c>
      <c r="D1630">
        <v>10</v>
      </c>
      <c r="E1630" t="s">
        <v>706</v>
      </c>
      <c r="F1630" t="s">
        <v>205</v>
      </c>
      <c r="G1630" t="s">
        <v>124</v>
      </c>
      <c r="H1630" t="s">
        <v>125</v>
      </c>
      <c r="I1630">
        <v>0</v>
      </c>
      <c r="J1630" t="s">
        <v>126</v>
      </c>
      <c r="K1630" t="s">
        <v>125</v>
      </c>
      <c r="L1630" t="s">
        <v>3858</v>
      </c>
      <c r="U1630" t="s">
        <v>149</v>
      </c>
      <c r="W1630" t="s">
        <v>155</v>
      </c>
      <c r="X1630">
        <v>3</v>
      </c>
      <c r="AC1630" t="s">
        <v>209</v>
      </c>
      <c r="AE1630" t="s">
        <v>137</v>
      </c>
    </row>
    <row r="1631" spans="1:78" x14ac:dyDescent="0.2">
      <c r="A1631" t="s">
        <v>119</v>
      </c>
      <c r="B1631" t="s">
        <v>120</v>
      </c>
      <c r="C1631" t="s">
        <v>3859</v>
      </c>
      <c r="D1631">
        <v>5</v>
      </c>
      <c r="E1631" t="s">
        <v>3854</v>
      </c>
      <c r="F1631" t="s">
        <v>3855</v>
      </c>
      <c r="G1631" t="s">
        <v>124</v>
      </c>
      <c r="H1631" t="s">
        <v>125</v>
      </c>
      <c r="I1631">
        <v>8</v>
      </c>
      <c r="J1631" t="s">
        <v>268</v>
      </c>
      <c r="K1631" t="s">
        <v>125</v>
      </c>
      <c r="L1631" t="s">
        <v>3860</v>
      </c>
      <c r="U1631" t="s">
        <v>149</v>
      </c>
      <c r="W1631" t="s">
        <v>135</v>
      </c>
      <c r="X1631">
        <v>3</v>
      </c>
      <c r="AC1631" t="s">
        <v>136</v>
      </c>
      <c r="AE1631" t="s">
        <v>137</v>
      </c>
    </row>
    <row r="1632" spans="1:78" hidden="1" x14ac:dyDescent="0.2">
      <c r="A1632" t="s">
        <v>119</v>
      </c>
      <c r="B1632" t="s">
        <v>120</v>
      </c>
      <c r="C1632" t="s">
        <v>3859</v>
      </c>
      <c r="D1632">
        <v>8</v>
      </c>
      <c r="E1632" t="s">
        <v>3812</v>
      </c>
      <c r="F1632" t="s">
        <v>3812</v>
      </c>
      <c r="G1632" t="s">
        <v>124</v>
      </c>
      <c r="H1632" t="s">
        <v>125</v>
      </c>
      <c r="I1632">
        <v>0</v>
      </c>
      <c r="J1632" t="s">
        <v>126</v>
      </c>
      <c r="K1632" t="s">
        <v>125</v>
      </c>
      <c r="L1632" t="s">
        <v>3861</v>
      </c>
      <c r="AE1632" t="s">
        <v>128</v>
      </c>
      <c r="AG1632">
        <v>7</v>
      </c>
      <c r="AH1632" t="s">
        <v>3461</v>
      </c>
      <c r="AI1632" t="s">
        <v>572</v>
      </c>
      <c r="AJ1632" t="s">
        <v>131</v>
      </c>
      <c r="AK1632" t="s">
        <v>125</v>
      </c>
      <c r="AL1632">
        <v>8</v>
      </c>
      <c r="AM1632" t="s">
        <v>132</v>
      </c>
      <c r="AN1632" t="s">
        <v>125</v>
      </c>
      <c r="AO1632" t="s">
        <v>3862</v>
      </c>
      <c r="BP1632" t="s">
        <v>149</v>
      </c>
      <c r="BR1632" t="s">
        <v>155</v>
      </c>
      <c r="BS1632">
        <v>1</v>
      </c>
      <c r="BX1632" t="s">
        <v>136</v>
      </c>
      <c r="BZ1632" t="s">
        <v>137</v>
      </c>
    </row>
    <row r="1633" spans="1:78" x14ac:dyDescent="0.2">
      <c r="A1633" t="s">
        <v>119</v>
      </c>
      <c r="B1633" t="s">
        <v>120</v>
      </c>
      <c r="C1633" t="s">
        <v>3859</v>
      </c>
      <c r="D1633">
        <v>10</v>
      </c>
      <c r="E1633" t="s">
        <v>3854</v>
      </c>
      <c r="F1633" t="s">
        <v>3855</v>
      </c>
      <c r="G1633" t="s">
        <v>124</v>
      </c>
      <c r="H1633" t="s">
        <v>125</v>
      </c>
      <c r="I1633">
        <v>8</v>
      </c>
      <c r="J1633" t="s">
        <v>264</v>
      </c>
      <c r="K1633" t="s">
        <v>125</v>
      </c>
      <c r="L1633" t="s">
        <v>3863</v>
      </c>
      <c r="U1633" t="s">
        <v>149</v>
      </c>
      <c r="W1633" t="s">
        <v>135</v>
      </c>
      <c r="X1633">
        <v>3</v>
      </c>
      <c r="AC1633" t="s">
        <v>136</v>
      </c>
      <c r="AE1633" t="s">
        <v>137</v>
      </c>
    </row>
    <row r="1634" spans="1:78" hidden="1" x14ac:dyDescent="0.2">
      <c r="A1634" t="s">
        <v>119</v>
      </c>
      <c r="B1634" t="s">
        <v>120</v>
      </c>
      <c r="C1634" t="s">
        <v>3859</v>
      </c>
      <c r="D1634">
        <v>12</v>
      </c>
      <c r="E1634" t="s">
        <v>3864</v>
      </c>
      <c r="F1634" t="s">
        <v>3865</v>
      </c>
      <c r="G1634" t="s">
        <v>124</v>
      </c>
      <c r="H1634" t="s">
        <v>125</v>
      </c>
      <c r="I1634">
        <v>10</v>
      </c>
      <c r="J1634" t="s">
        <v>161</v>
      </c>
      <c r="K1634" t="s">
        <v>125</v>
      </c>
      <c r="L1634" t="s">
        <v>3866</v>
      </c>
      <c r="T1634" t="s">
        <v>154</v>
      </c>
      <c r="W1634" t="s">
        <v>135</v>
      </c>
      <c r="AC1634" t="s">
        <v>143</v>
      </c>
      <c r="AE1634" t="s">
        <v>144</v>
      </c>
      <c r="AG1634">
        <v>11</v>
      </c>
      <c r="AH1634" t="s">
        <v>232</v>
      </c>
      <c r="AI1634" t="s">
        <v>205</v>
      </c>
      <c r="AJ1634" t="s">
        <v>131</v>
      </c>
      <c r="AK1634" t="s">
        <v>125</v>
      </c>
      <c r="AL1634">
        <v>12</v>
      </c>
      <c r="AM1634" t="s">
        <v>132</v>
      </c>
      <c r="AN1634" t="s">
        <v>125</v>
      </c>
      <c r="AO1634" t="s">
        <v>3867</v>
      </c>
      <c r="BP1634" t="s">
        <v>209</v>
      </c>
      <c r="BR1634" t="s">
        <v>155</v>
      </c>
      <c r="BS1634">
        <v>1</v>
      </c>
      <c r="BX1634" t="s">
        <v>136</v>
      </c>
      <c r="BZ1634" t="s">
        <v>137</v>
      </c>
    </row>
    <row r="1635" spans="1:78" x14ac:dyDescent="0.2">
      <c r="A1635" t="s">
        <v>119</v>
      </c>
      <c r="B1635" t="s">
        <v>120</v>
      </c>
      <c r="C1635" t="s">
        <v>3868</v>
      </c>
      <c r="D1635">
        <v>4</v>
      </c>
      <c r="E1635" t="s">
        <v>145</v>
      </c>
      <c r="F1635" t="s">
        <v>146</v>
      </c>
      <c r="G1635" t="s">
        <v>124</v>
      </c>
      <c r="H1635" t="s">
        <v>125</v>
      </c>
      <c r="I1635">
        <v>0</v>
      </c>
      <c r="J1635" t="s">
        <v>126</v>
      </c>
      <c r="K1635" t="s">
        <v>125</v>
      </c>
      <c r="L1635" t="s">
        <v>3869</v>
      </c>
      <c r="U1635" t="s">
        <v>149</v>
      </c>
      <c r="W1635" t="s">
        <v>135</v>
      </c>
      <c r="X1635">
        <v>3</v>
      </c>
      <c r="AC1635" t="s">
        <v>136</v>
      </c>
      <c r="AE1635" t="s">
        <v>137</v>
      </c>
    </row>
    <row r="1636" spans="1:78" x14ac:dyDescent="0.2">
      <c r="A1636" t="s">
        <v>119</v>
      </c>
      <c r="B1636" t="s">
        <v>120</v>
      </c>
      <c r="C1636" t="s">
        <v>3870</v>
      </c>
      <c r="D1636">
        <v>13</v>
      </c>
      <c r="E1636" t="s">
        <v>3871</v>
      </c>
      <c r="F1636" t="s">
        <v>3872</v>
      </c>
      <c r="G1636" t="s">
        <v>124</v>
      </c>
      <c r="H1636" t="s">
        <v>125</v>
      </c>
      <c r="I1636">
        <v>6</v>
      </c>
      <c r="J1636" t="s">
        <v>170</v>
      </c>
      <c r="K1636" t="s">
        <v>125</v>
      </c>
      <c r="L1636" t="s">
        <v>3873</v>
      </c>
      <c r="U1636" t="s">
        <v>149</v>
      </c>
      <c r="W1636" t="s">
        <v>155</v>
      </c>
      <c r="X1636">
        <v>3</v>
      </c>
      <c r="AC1636" t="s">
        <v>136</v>
      </c>
      <c r="AE1636" t="s">
        <v>137</v>
      </c>
    </row>
    <row r="1637" spans="1:78" hidden="1" x14ac:dyDescent="0.2">
      <c r="A1637" t="s">
        <v>119</v>
      </c>
      <c r="B1637" t="s">
        <v>120</v>
      </c>
      <c r="C1637" t="s">
        <v>3874</v>
      </c>
      <c r="D1637">
        <v>1</v>
      </c>
      <c r="E1637" t="s">
        <v>3222</v>
      </c>
      <c r="F1637" t="s">
        <v>1651</v>
      </c>
      <c r="G1637" t="s">
        <v>124</v>
      </c>
      <c r="H1637" t="s">
        <v>125</v>
      </c>
      <c r="I1637">
        <v>0</v>
      </c>
      <c r="J1637" t="s">
        <v>126</v>
      </c>
      <c r="K1637" t="s">
        <v>125</v>
      </c>
      <c r="L1637" t="s">
        <v>3875</v>
      </c>
      <c r="T1637" t="s">
        <v>154</v>
      </c>
      <c r="W1637" t="s">
        <v>135</v>
      </c>
    </row>
    <row r="1638" spans="1:78" hidden="1" x14ac:dyDescent="0.2">
      <c r="A1638" t="s">
        <v>119</v>
      </c>
      <c r="B1638" t="s">
        <v>120</v>
      </c>
      <c r="C1638" t="s">
        <v>3876</v>
      </c>
      <c r="D1638">
        <v>7</v>
      </c>
      <c r="E1638" t="s">
        <v>3877</v>
      </c>
      <c r="F1638" t="s">
        <v>3878</v>
      </c>
      <c r="G1638" t="s">
        <v>124</v>
      </c>
      <c r="H1638" t="s">
        <v>125</v>
      </c>
      <c r="I1638">
        <v>0</v>
      </c>
      <c r="J1638" t="s">
        <v>126</v>
      </c>
      <c r="K1638" t="s">
        <v>125</v>
      </c>
      <c r="L1638" t="s">
        <v>3879</v>
      </c>
      <c r="AG1638">
        <v>6</v>
      </c>
      <c r="AH1638" t="s">
        <v>3461</v>
      </c>
      <c r="AI1638" t="s">
        <v>572</v>
      </c>
      <c r="AJ1638" t="s">
        <v>131</v>
      </c>
      <c r="AK1638" t="s">
        <v>125</v>
      </c>
      <c r="AL1638">
        <v>7</v>
      </c>
      <c r="AM1638" t="s">
        <v>132</v>
      </c>
      <c r="AN1638" t="s">
        <v>125</v>
      </c>
      <c r="AO1638" t="s">
        <v>855</v>
      </c>
      <c r="BP1638" t="s">
        <v>149</v>
      </c>
      <c r="BR1638" t="s">
        <v>155</v>
      </c>
      <c r="BS1638">
        <v>1</v>
      </c>
      <c r="BX1638" t="s">
        <v>136</v>
      </c>
      <c r="BZ1638" t="s">
        <v>137</v>
      </c>
    </row>
    <row r="1639" spans="1:78" x14ac:dyDescent="0.2">
      <c r="A1639" t="s">
        <v>119</v>
      </c>
      <c r="B1639" t="s">
        <v>120</v>
      </c>
      <c r="C1639" t="s">
        <v>3880</v>
      </c>
      <c r="D1639">
        <v>3</v>
      </c>
      <c r="E1639" t="s">
        <v>145</v>
      </c>
      <c r="F1639" t="s">
        <v>146</v>
      </c>
      <c r="G1639" t="s">
        <v>124</v>
      </c>
      <c r="H1639" t="s">
        <v>125</v>
      </c>
      <c r="I1639">
        <v>0</v>
      </c>
      <c r="J1639" t="s">
        <v>126</v>
      </c>
      <c r="K1639" t="s">
        <v>125</v>
      </c>
      <c r="L1639" t="s">
        <v>3881</v>
      </c>
      <c r="U1639" t="s">
        <v>149</v>
      </c>
      <c r="W1639" t="s">
        <v>135</v>
      </c>
      <c r="X1639">
        <v>3</v>
      </c>
      <c r="AC1639" t="s">
        <v>136</v>
      </c>
      <c r="AE1639" t="s">
        <v>137</v>
      </c>
    </row>
    <row r="1640" spans="1:78" hidden="1" x14ac:dyDescent="0.2">
      <c r="A1640" t="s">
        <v>119</v>
      </c>
      <c r="B1640" t="s">
        <v>120</v>
      </c>
      <c r="C1640" t="s">
        <v>3882</v>
      </c>
      <c r="D1640">
        <v>1</v>
      </c>
      <c r="E1640" t="s">
        <v>3854</v>
      </c>
      <c r="F1640" t="s">
        <v>3855</v>
      </c>
      <c r="G1640" t="s">
        <v>124</v>
      </c>
      <c r="H1640" t="s">
        <v>125</v>
      </c>
      <c r="I1640">
        <v>0</v>
      </c>
      <c r="J1640" t="s">
        <v>126</v>
      </c>
      <c r="K1640" t="s">
        <v>125</v>
      </c>
      <c r="L1640" t="s">
        <v>3883</v>
      </c>
      <c r="T1640" t="s">
        <v>142</v>
      </c>
      <c r="W1640" t="s">
        <v>155</v>
      </c>
      <c r="AC1640" t="s">
        <v>143</v>
      </c>
      <c r="AE1640" t="s">
        <v>144</v>
      </c>
    </row>
    <row r="1641" spans="1:78" x14ac:dyDescent="0.2">
      <c r="A1641" t="s">
        <v>119</v>
      </c>
      <c r="B1641" t="s">
        <v>120</v>
      </c>
      <c r="C1641" t="s">
        <v>3884</v>
      </c>
      <c r="D1641">
        <v>2</v>
      </c>
      <c r="E1641" t="s">
        <v>3854</v>
      </c>
      <c r="F1641" t="s">
        <v>3855</v>
      </c>
      <c r="G1641" t="s">
        <v>124</v>
      </c>
      <c r="H1641" t="s">
        <v>125</v>
      </c>
      <c r="I1641">
        <v>0</v>
      </c>
      <c r="J1641" t="s">
        <v>126</v>
      </c>
      <c r="K1641" t="s">
        <v>125</v>
      </c>
      <c r="L1641" t="s">
        <v>3885</v>
      </c>
      <c r="U1641" t="s">
        <v>149</v>
      </c>
      <c r="W1641" t="s">
        <v>135</v>
      </c>
      <c r="X1641">
        <v>3</v>
      </c>
      <c r="AC1641" t="s">
        <v>136</v>
      </c>
      <c r="AE1641" t="s">
        <v>137</v>
      </c>
    </row>
    <row r="1642" spans="1:78" x14ac:dyDescent="0.2">
      <c r="A1642" t="s">
        <v>119</v>
      </c>
      <c r="B1642" t="s">
        <v>120</v>
      </c>
      <c r="C1642" t="s">
        <v>3886</v>
      </c>
      <c r="D1642">
        <v>2</v>
      </c>
      <c r="E1642" t="s">
        <v>1021</v>
      </c>
      <c r="F1642" t="s">
        <v>186</v>
      </c>
      <c r="G1642" t="s">
        <v>124</v>
      </c>
      <c r="H1642" t="s">
        <v>125</v>
      </c>
      <c r="I1642">
        <v>6</v>
      </c>
      <c r="J1642" t="s">
        <v>268</v>
      </c>
      <c r="K1642" t="s">
        <v>125</v>
      </c>
      <c r="L1642" t="s">
        <v>3887</v>
      </c>
      <c r="U1642" t="s">
        <v>149</v>
      </c>
      <c r="W1642" t="s">
        <v>135</v>
      </c>
      <c r="X1642">
        <v>1</v>
      </c>
      <c r="AC1642" t="s">
        <v>136</v>
      </c>
      <c r="AE1642" t="s">
        <v>137</v>
      </c>
    </row>
    <row r="1643" spans="1:78" x14ac:dyDescent="0.2">
      <c r="A1643" t="s">
        <v>119</v>
      </c>
      <c r="B1643" t="s">
        <v>120</v>
      </c>
      <c r="C1643" t="s">
        <v>3886</v>
      </c>
      <c r="D1643">
        <v>6</v>
      </c>
      <c r="E1643" t="s">
        <v>3888</v>
      </c>
      <c r="F1643" t="s">
        <v>915</v>
      </c>
      <c r="G1643" t="s">
        <v>124</v>
      </c>
      <c r="H1643" t="s">
        <v>125</v>
      </c>
      <c r="I1643">
        <v>0</v>
      </c>
      <c r="J1643" t="s">
        <v>126</v>
      </c>
      <c r="K1643" t="s">
        <v>125</v>
      </c>
      <c r="L1643" t="s">
        <v>3889</v>
      </c>
      <c r="U1643" t="s">
        <v>149</v>
      </c>
      <c r="W1643" t="s">
        <v>155</v>
      </c>
      <c r="X1643">
        <v>1</v>
      </c>
      <c r="AC1643" t="s">
        <v>136</v>
      </c>
      <c r="AE1643" t="s">
        <v>137</v>
      </c>
    </row>
    <row r="1644" spans="1:78" hidden="1" x14ac:dyDescent="0.2">
      <c r="A1644" t="s">
        <v>119</v>
      </c>
      <c r="B1644" t="s">
        <v>120</v>
      </c>
      <c r="C1644" t="s">
        <v>3886</v>
      </c>
      <c r="D1644">
        <v>8</v>
      </c>
      <c r="E1644" t="s">
        <v>3890</v>
      </c>
      <c r="F1644" t="s">
        <v>1538</v>
      </c>
      <c r="G1644" t="s">
        <v>124</v>
      </c>
      <c r="H1644" t="s">
        <v>125</v>
      </c>
      <c r="I1644">
        <v>6</v>
      </c>
      <c r="J1644" t="s">
        <v>294</v>
      </c>
      <c r="K1644" t="s">
        <v>125</v>
      </c>
      <c r="L1644" t="s">
        <v>3891</v>
      </c>
      <c r="AE1644" t="s">
        <v>128</v>
      </c>
    </row>
    <row r="1645" spans="1:78" x14ac:dyDescent="0.2">
      <c r="A1645" t="s">
        <v>119</v>
      </c>
      <c r="B1645" t="s">
        <v>120</v>
      </c>
      <c r="C1645" t="s">
        <v>3886</v>
      </c>
      <c r="D1645">
        <v>15</v>
      </c>
      <c r="E1645" t="s">
        <v>896</v>
      </c>
      <c r="F1645" t="s">
        <v>353</v>
      </c>
      <c r="G1645" t="s">
        <v>124</v>
      </c>
      <c r="H1645" t="s">
        <v>125</v>
      </c>
      <c r="I1645">
        <v>12</v>
      </c>
      <c r="J1645" t="s">
        <v>170</v>
      </c>
      <c r="K1645" t="s">
        <v>125</v>
      </c>
      <c r="L1645" t="s">
        <v>3892</v>
      </c>
      <c r="U1645" t="s">
        <v>149</v>
      </c>
      <c r="W1645" t="s">
        <v>135</v>
      </c>
      <c r="X1645">
        <v>3</v>
      </c>
      <c r="AC1645" t="s">
        <v>136</v>
      </c>
      <c r="AE1645" t="s">
        <v>137</v>
      </c>
    </row>
    <row r="1646" spans="1:78" x14ac:dyDescent="0.2">
      <c r="A1646" t="s">
        <v>119</v>
      </c>
      <c r="B1646" t="s">
        <v>120</v>
      </c>
      <c r="C1646" t="s">
        <v>3893</v>
      </c>
      <c r="D1646">
        <v>7</v>
      </c>
      <c r="E1646" t="s">
        <v>145</v>
      </c>
      <c r="F1646" t="s">
        <v>146</v>
      </c>
      <c r="G1646" t="s">
        <v>124</v>
      </c>
      <c r="H1646" t="s">
        <v>125</v>
      </c>
      <c r="I1646">
        <v>0</v>
      </c>
      <c r="J1646" t="s">
        <v>126</v>
      </c>
      <c r="K1646" t="s">
        <v>125</v>
      </c>
      <c r="L1646" t="s">
        <v>3894</v>
      </c>
      <c r="U1646" t="s">
        <v>149</v>
      </c>
      <c r="W1646" t="s">
        <v>135</v>
      </c>
      <c r="X1646">
        <v>3</v>
      </c>
      <c r="AC1646" t="s">
        <v>136</v>
      </c>
      <c r="AE1646" t="s">
        <v>137</v>
      </c>
    </row>
    <row r="1647" spans="1:78" x14ac:dyDescent="0.2">
      <c r="A1647" t="s">
        <v>119</v>
      </c>
      <c r="B1647" t="s">
        <v>120</v>
      </c>
      <c r="C1647" t="s">
        <v>3895</v>
      </c>
      <c r="D1647">
        <v>5</v>
      </c>
      <c r="E1647" t="s">
        <v>235</v>
      </c>
      <c r="F1647" t="s">
        <v>146</v>
      </c>
      <c r="G1647" t="s">
        <v>124</v>
      </c>
      <c r="H1647" t="s">
        <v>125</v>
      </c>
      <c r="I1647">
        <v>3</v>
      </c>
      <c r="J1647" t="s">
        <v>3845</v>
      </c>
      <c r="K1647" t="s">
        <v>125</v>
      </c>
      <c r="L1647" t="s">
        <v>3896</v>
      </c>
      <c r="U1647" t="s">
        <v>149</v>
      </c>
      <c r="W1647" t="s">
        <v>155</v>
      </c>
      <c r="X1647">
        <v>3</v>
      </c>
      <c r="AC1647" t="s">
        <v>136</v>
      </c>
      <c r="AE1647" t="s">
        <v>137</v>
      </c>
    </row>
    <row r="1648" spans="1:78" x14ac:dyDescent="0.2">
      <c r="A1648" t="s">
        <v>119</v>
      </c>
      <c r="B1648" t="s">
        <v>120</v>
      </c>
      <c r="C1648" t="s">
        <v>3897</v>
      </c>
      <c r="D1648">
        <v>2</v>
      </c>
      <c r="E1648" t="s">
        <v>3898</v>
      </c>
      <c r="F1648" t="s">
        <v>2774</v>
      </c>
      <c r="G1648" t="s">
        <v>124</v>
      </c>
      <c r="H1648" t="s">
        <v>125</v>
      </c>
      <c r="I1648">
        <v>4</v>
      </c>
      <c r="J1648" t="s">
        <v>210</v>
      </c>
      <c r="K1648" t="s">
        <v>125</v>
      </c>
      <c r="L1648" t="s">
        <v>3899</v>
      </c>
      <c r="U1648" t="s">
        <v>149</v>
      </c>
      <c r="W1648" t="s">
        <v>135</v>
      </c>
      <c r="X1648">
        <v>3</v>
      </c>
      <c r="AC1648" t="s">
        <v>136</v>
      </c>
      <c r="AE1648" t="s">
        <v>137</v>
      </c>
    </row>
    <row r="1649" spans="1:78" x14ac:dyDescent="0.2">
      <c r="A1649" t="s">
        <v>119</v>
      </c>
      <c r="B1649" t="s">
        <v>120</v>
      </c>
      <c r="C1649" t="s">
        <v>3897</v>
      </c>
      <c r="D1649">
        <v>4</v>
      </c>
      <c r="E1649" t="s">
        <v>3898</v>
      </c>
      <c r="F1649" t="s">
        <v>2774</v>
      </c>
      <c r="G1649" t="s">
        <v>124</v>
      </c>
      <c r="H1649" t="s">
        <v>125</v>
      </c>
      <c r="I1649">
        <v>0</v>
      </c>
      <c r="J1649" t="s">
        <v>126</v>
      </c>
      <c r="K1649" t="s">
        <v>125</v>
      </c>
      <c r="L1649" t="s">
        <v>3900</v>
      </c>
      <c r="U1649" t="s">
        <v>149</v>
      </c>
      <c r="W1649" t="s">
        <v>135</v>
      </c>
      <c r="X1649">
        <v>3</v>
      </c>
      <c r="AC1649" t="s">
        <v>136</v>
      </c>
      <c r="AE1649" t="s">
        <v>137</v>
      </c>
    </row>
    <row r="1650" spans="1:78" x14ac:dyDescent="0.2">
      <c r="A1650" t="s">
        <v>119</v>
      </c>
      <c r="B1650" t="s">
        <v>120</v>
      </c>
      <c r="C1650" t="s">
        <v>3901</v>
      </c>
      <c r="D1650">
        <v>9</v>
      </c>
      <c r="E1650" t="s">
        <v>232</v>
      </c>
      <c r="F1650" t="s">
        <v>205</v>
      </c>
      <c r="G1650" t="s">
        <v>124</v>
      </c>
      <c r="H1650" t="s">
        <v>125</v>
      </c>
      <c r="I1650">
        <v>6</v>
      </c>
      <c r="J1650" t="s">
        <v>170</v>
      </c>
      <c r="K1650" t="s">
        <v>125</v>
      </c>
      <c r="L1650" t="s">
        <v>3902</v>
      </c>
      <c r="U1650" t="s">
        <v>149</v>
      </c>
      <c r="W1650" t="s">
        <v>155</v>
      </c>
      <c r="X1650">
        <v>1</v>
      </c>
      <c r="AC1650" t="s">
        <v>136</v>
      </c>
      <c r="AE1650" t="s">
        <v>137</v>
      </c>
    </row>
    <row r="1651" spans="1:78" x14ac:dyDescent="0.2">
      <c r="A1651" t="s">
        <v>119</v>
      </c>
      <c r="B1651" t="s">
        <v>120</v>
      </c>
      <c r="C1651" t="s">
        <v>3903</v>
      </c>
      <c r="D1651">
        <v>2</v>
      </c>
      <c r="E1651" t="s">
        <v>1764</v>
      </c>
      <c r="F1651" t="s">
        <v>261</v>
      </c>
      <c r="G1651" t="s">
        <v>124</v>
      </c>
      <c r="H1651" t="s">
        <v>125</v>
      </c>
      <c r="I1651">
        <v>0</v>
      </c>
      <c r="J1651" t="s">
        <v>126</v>
      </c>
      <c r="K1651" t="s">
        <v>125</v>
      </c>
      <c r="L1651" t="s">
        <v>3904</v>
      </c>
      <c r="U1651" t="s">
        <v>149</v>
      </c>
      <c r="W1651" t="s">
        <v>135</v>
      </c>
      <c r="X1651">
        <v>3</v>
      </c>
      <c r="AC1651" t="s">
        <v>136</v>
      </c>
      <c r="AE1651" t="s">
        <v>137</v>
      </c>
    </row>
    <row r="1652" spans="1:78" x14ac:dyDescent="0.2">
      <c r="A1652" t="s">
        <v>119</v>
      </c>
      <c r="B1652" t="s">
        <v>120</v>
      </c>
      <c r="C1652" t="s">
        <v>3905</v>
      </c>
      <c r="D1652">
        <v>6</v>
      </c>
      <c r="E1652" t="s">
        <v>370</v>
      </c>
      <c r="F1652" t="s">
        <v>140</v>
      </c>
      <c r="G1652" t="s">
        <v>124</v>
      </c>
      <c r="H1652" t="s">
        <v>125</v>
      </c>
      <c r="I1652">
        <v>3</v>
      </c>
      <c r="J1652" t="s">
        <v>170</v>
      </c>
      <c r="K1652" t="s">
        <v>125</v>
      </c>
      <c r="L1652" t="s">
        <v>3906</v>
      </c>
      <c r="U1652" t="s">
        <v>149</v>
      </c>
      <c r="W1652" t="s">
        <v>135</v>
      </c>
      <c r="X1652">
        <v>3</v>
      </c>
      <c r="AC1652" t="s">
        <v>136</v>
      </c>
      <c r="AE1652" t="s">
        <v>137</v>
      </c>
    </row>
    <row r="1653" spans="1:78" x14ac:dyDescent="0.2">
      <c r="A1653" t="s">
        <v>119</v>
      </c>
      <c r="B1653" t="s">
        <v>120</v>
      </c>
      <c r="C1653" t="s">
        <v>3907</v>
      </c>
      <c r="D1653">
        <v>11</v>
      </c>
      <c r="E1653" t="s">
        <v>3908</v>
      </c>
      <c r="F1653" t="s">
        <v>632</v>
      </c>
      <c r="G1653" t="s">
        <v>124</v>
      </c>
      <c r="H1653" t="s">
        <v>125</v>
      </c>
      <c r="I1653">
        <v>0</v>
      </c>
      <c r="J1653" t="s">
        <v>126</v>
      </c>
      <c r="K1653" t="s">
        <v>125</v>
      </c>
      <c r="L1653" t="s">
        <v>3909</v>
      </c>
      <c r="U1653" t="s">
        <v>149</v>
      </c>
      <c r="W1653" t="s">
        <v>155</v>
      </c>
      <c r="X1653">
        <v>2</v>
      </c>
      <c r="AC1653" t="s">
        <v>136</v>
      </c>
      <c r="AE1653" t="s">
        <v>137</v>
      </c>
      <c r="AG1653">
        <v>9</v>
      </c>
      <c r="AH1653" t="s">
        <v>218</v>
      </c>
      <c r="AI1653" t="s">
        <v>205</v>
      </c>
      <c r="AJ1653" t="s">
        <v>131</v>
      </c>
      <c r="AK1653" t="s">
        <v>125</v>
      </c>
      <c r="AL1653">
        <v>11</v>
      </c>
      <c r="AM1653" t="s">
        <v>132</v>
      </c>
      <c r="AN1653" t="s">
        <v>125</v>
      </c>
      <c r="AO1653" t="s">
        <v>3910</v>
      </c>
      <c r="BP1653" t="s">
        <v>149</v>
      </c>
      <c r="BR1653" t="s">
        <v>155</v>
      </c>
      <c r="BS1653">
        <v>3</v>
      </c>
      <c r="BX1653" t="s">
        <v>136</v>
      </c>
      <c r="BZ1653" t="s">
        <v>137</v>
      </c>
    </row>
    <row r="1654" spans="1:78" x14ac:dyDescent="0.2">
      <c r="A1654" t="s">
        <v>119</v>
      </c>
      <c r="B1654" t="s">
        <v>120</v>
      </c>
      <c r="C1654" t="s">
        <v>3911</v>
      </c>
      <c r="D1654">
        <v>3</v>
      </c>
      <c r="E1654" t="s">
        <v>1764</v>
      </c>
      <c r="F1654" t="s">
        <v>261</v>
      </c>
      <c r="G1654" t="s">
        <v>124</v>
      </c>
      <c r="H1654" t="s">
        <v>125</v>
      </c>
      <c r="I1654">
        <v>0</v>
      </c>
      <c r="J1654" t="s">
        <v>126</v>
      </c>
      <c r="K1654" t="s">
        <v>125</v>
      </c>
      <c r="L1654" t="s">
        <v>1781</v>
      </c>
      <c r="U1654" t="s">
        <v>149</v>
      </c>
      <c r="W1654" t="s">
        <v>135</v>
      </c>
      <c r="X1654">
        <v>3</v>
      </c>
      <c r="AC1654" t="s">
        <v>136</v>
      </c>
      <c r="AE1654" t="s">
        <v>137</v>
      </c>
    </row>
    <row r="1655" spans="1:78" x14ac:dyDescent="0.2">
      <c r="A1655" t="s">
        <v>119</v>
      </c>
      <c r="B1655" t="s">
        <v>120</v>
      </c>
      <c r="C1655" t="s">
        <v>3912</v>
      </c>
      <c r="D1655">
        <v>4</v>
      </c>
      <c r="E1655" t="s">
        <v>3913</v>
      </c>
      <c r="F1655" t="s">
        <v>202</v>
      </c>
      <c r="G1655" t="s">
        <v>124</v>
      </c>
      <c r="H1655" t="s">
        <v>125</v>
      </c>
      <c r="I1655">
        <v>7</v>
      </c>
      <c r="J1655" t="s">
        <v>268</v>
      </c>
      <c r="K1655" t="s">
        <v>125</v>
      </c>
      <c r="L1655" t="s">
        <v>3914</v>
      </c>
      <c r="U1655" t="s">
        <v>149</v>
      </c>
      <c r="W1655" t="s">
        <v>155</v>
      </c>
      <c r="X1655">
        <v>1</v>
      </c>
      <c r="AC1655" t="s">
        <v>136</v>
      </c>
      <c r="AE1655" t="s">
        <v>137</v>
      </c>
    </row>
    <row r="1656" spans="1:78" hidden="1" x14ac:dyDescent="0.2">
      <c r="A1656" t="s">
        <v>119</v>
      </c>
      <c r="B1656" t="s">
        <v>120</v>
      </c>
      <c r="C1656" t="s">
        <v>3912</v>
      </c>
      <c r="D1656">
        <v>7</v>
      </c>
      <c r="E1656" t="s">
        <v>3915</v>
      </c>
      <c r="F1656" t="s">
        <v>3916</v>
      </c>
      <c r="G1656" t="s">
        <v>124</v>
      </c>
      <c r="H1656" t="s">
        <v>125</v>
      </c>
      <c r="I1656">
        <v>0</v>
      </c>
      <c r="J1656" t="s">
        <v>126</v>
      </c>
      <c r="K1656" t="s">
        <v>125</v>
      </c>
      <c r="L1656" t="s">
        <v>3917</v>
      </c>
      <c r="T1656" t="s">
        <v>154</v>
      </c>
      <c r="W1656" t="s">
        <v>135</v>
      </c>
      <c r="AC1656" t="s">
        <v>143</v>
      </c>
      <c r="AE1656" t="s">
        <v>144</v>
      </c>
      <c r="AG1656">
        <v>6</v>
      </c>
      <c r="AH1656" t="s">
        <v>207</v>
      </c>
      <c r="AI1656" t="s">
        <v>146</v>
      </c>
      <c r="AJ1656" t="s">
        <v>131</v>
      </c>
      <c r="AK1656" t="s">
        <v>125</v>
      </c>
      <c r="AL1656">
        <v>7</v>
      </c>
      <c r="AM1656" t="s">
        <v>147</v>
      </c>
      <c r="AN1656" t="s">
        <v>125</v>
      </c>
      <c r="AO1656" t="s">
        <v>3918</v>
      </c>
      <c r="BP1656" t="s">
        <v>149</v>
      </c>
      <c r="BR1656" t="s">
        <v>135</v>
      </c>
      <c r="BS1656">
        <v>3</v>
      </c>
      <c r="BX1656" t="s">
        <v>209</v>
      </c>
      <c r="BZ1656" t="s">
        <v>137</v>
      </c>
    </row>
    <row r="1657" spans="1:78" x14ac:dyDescent="0.2">
      <c r="A1657" t="s">
        <v>119</v>
      </c>
      <c r="B1657" t="s">
        <v>120</v>
      </c>
      <c r="C1657" t="s">
        <v>3912</v>
      </c>
      <c r="D1657">
        <v>11</v>
      </c>
      <c r="E1657" t="s">
        <v>145</v>
      </c>
      <c r="F1657" t="s">
        <v>146</v>
      </c>
      <c r="G1657" t="s">
        <v>124</v>
      </c>
      <c r="H1657" t="s">
        <v>125</v>
      </c>
      <c r="I1657">
        <v>9</v>
      </c>
      <c r="J1657" t="s">
        <v>170</v>
      </c>
      <c r="K1657" t="s">
        <v>125</v>
      </c>
      <c r="L1657" t="s">
        <v>3919</v>
      </c>
      <c r="U1657" t="s">
        <v>149</v>
      </c>
      <c r="W1657" t="s">
        <v>135</v>
      </c>
      <c r="X1657">
        <v>3</v>
      </c>
      <c r="AC1657" t="s">
        <v>136</v>
      </c>
      <c r="AE1657" t="s">
        <v>137</v>
      </c>
    </row>
    <row r="1658" spans="1:78" x14ac:dyDescent="0.2">
      <c r="A1658" t="s">
        <v>119</v>
      </c>
      <c r="B1658" t="s">
        <v>120</v>
      </c>
      <c r="C1658" t="s">
        <v>3920</v>
      </c>
      <c r="D1658">
        <v>21</v>
      </c>
      <c r="E1658" t="s">
        <v>614</v>
      </c>
      <c r="F1658" t="s">
        <v>205</v>
      </c>
      <c r="G1658" t="s">
        <v>124</v>
      </c>
      <c r="H1658" t="s">
        <v>125</v>
      </c>
      <c r="I1658">
        <v>18</v>
      </c>
      <c r="J1658" t="s">
        <v>3845</v>
      </c>
      <c r="K1658" t="s">
        <v>125</v>
      </c>
      <c r="L1658" t="s">
        <v>3921</v>
      </c>
      <c r="U1658" t="s">
        <v>149</v>
      </c>
      <c r="W1658" t="s">
        <v>135</v>
      </c>
      <c r="X1658">
        <v>3</v>
      </c>
      <c r="AC1658" t="s">
        <v>136</v>
      </c>
      <c r="AE1658" t="s">
        <v>137</v>
      </c>
    </row>
    <row r="1659" spans="1:78" x14ac:dyDescent="0.2">
      <c r="A1659" t="s">
        <v>119</v>
      </c>
      <c r="B1659" t="s">
        <v>120</v>
      </c>
      <c r="C1659" t="s">
        <v>3922</v>
      </c>
      <c r="D1659">
        <v>3</v>
      </c>
      <c r="E1659" t="s">
        <v>3923</v>
      </c>
      <c r="F1659" t="s">
        <v>3924</v>
      </c>
      <c r="G1659" t="s">
        <v>124</v>
      </c>
      <c r="H1659" t="s">
        <v>125</v>
      </c>
      <c r="I1659">
        <v>0</v>
      </c>
      <c r="J1659" t="s">
        <v>126</v>
      </c>
      <c r="K1659" t="s">
        <v>125</v>
      </c>
      <c r="L1659" t="s">
        <v>3925</v>
      </c>
      <c r="U1659" t="s">
        <v>149</v>
      </c>
      <c r="W1659" t="s">
        <v>135</v>
      </c>
      <c r="X1659">
        <v>3</v>
      </c>
      <c r="AC1659" t="s">
        <v>136</v>
      </c>
      <c r="AE1659" t="s">
        <v>137</v>
      </c>
    </row>
    <row r="1660" spans="1:78" x14ac:dyDescent="0.2">
      <c r="A1660" t="s">
        <v>119</v>
      </c>
      <c r="B1660" t="s">
        <v>120</v>
      </c>
      <c r="C1660" t="s">
        <v>3922</v>
      </c>
      <c r="D1660">
        <v>9</v>
      </c>
      <c r="E1660" t="s">
        <v>145</v>
      </c>
      <c r="F1660" t="s">
        <v>146</v>
      </c>
      <c r="G1660" t="s">
        <v>124</v>
      </c>
      <c r="H1660" t="s">
        <v>125</v>
      </c>
      <c r="I1660">
        <v>6</v>
      </c>
      <c r="J1660" t="s">
        <v>170</v>
      </c>
      <c r="K1660" t="s">
        <v>125</v>
      </c>
      <c r="L1660" t="s">
        <v>3926</v>
      </c>
      <c r="U1660" t="s">
        <v>149</v>
      </c>
      <c r="W1660" t="s">
        <v>135</v>
      </c>
      <c r="X1660">
        <v>3</v>
      </c>
      <c r="AC1660" t="s">
        <v>136</v>
      </c>
      <c r="AE1660" t="s">
        <v>137</v>
      </c>
    </row>
    <row r="1661" spans="1:78" hidden="1" x14ac:dyDescent="0.2">
      <c r="A1661" t="s">
        <v>119</v>
      </c>
      <c r="B1661" t="s">
        <v>120</v>
      </c>
      <c r="C1661" t="s">
        <v>3922</v>
      </c>
      <c r="D1661">
        <v>14</v>
      </c>
      <c r="E1661" t="s">
        <v>3927</v>
      </c>
      <c r="F1661" t="s">
        <v>3928</v>
      </c>
      <c r="G1661" t="s">
        <v>124</v>
      </c>
      <c r="H1661" t="s">
        <v>125</v>
      </c>
      <c r="I1661">
        <v>12</v>
      </c>
      <c r="J1661" t="s">
        <v>386</v>
      </c>
      <c r="K1661" t="s">
        <v>125</v>
      </c>
      <c r="L1661" t="s">
        <v>3929</v>
      </c>
      <c r="T1661" t="s">
        <v>142</v>
      </c>
      <c r="W1661" t="s">
        <v>135</v>
      </c>
      <c r="AC1661" t="s">
        <v>143</v>
      </c>
      <c r="AE1661" t="s">
        <v>144</v>
      </c>
    </row>
    <row r="1662" spans="1:78" x14ac:dyDescent="0.2">
      <c r="A1662" t="s">
        <v>119</v>
      </c>
      <c r="B1662" t="s">
        <v>120</v>
      </c>
      <c r="C1662" t="s">
        <v>3922</v>
      </c>
      <c r="D1662">
        <v>19</v>
      </c>
      <c r="E1662" t="s">
        <v>3930</v>
      </c>
      <c r="F1662" t="s">
        <v>146</v>
      </c>
      <c r="G1662" t="s">
        <v>124</v>
      </c>
      <c r="H1662" t="s">
        <v>125</v>
      </c>
      <c r="I1662">
        <v>17</v>
      </c>
      <c r="J1662" t="s">
        <v>170</v>
      </c>
      <c r="K1662" t="s">
        <v>125</v>
      </c>
      <c r="L1662" t="s">
        <v>3931</v>
      </c>
      <c r="U1662" t="s">
        <v>149</v>
      </c>
      <c r="W1662" t="s">
        <v>155</v>
      </c>
      <c r="X1662">
        <v>3</v>
      </c>
      <c r="AC1662" t="s">
        <v>136</v>
      </c>
      <c r="AE1662" t="s">
        <v>137</v>
      </c>
    </row>
    <row r="1663" spans="1:78" hidden="1" x14ac:dyDescent="0.2">
      <c r="A1663" t="s">
        <v>119</v>
      </c>
      <c r="B1663" t="s">
        <v>120</v>
      </c>
      <c r="C1663" t="s">
        <v>3932</v>
      </c>
      <c r="D1663">
        <v>4</v>
      </c>
      <c r="E1663" t="s">
        <v>3933</v>
      </c>
      <c r="F1663" t="s">
        <v>1039</v>
      </c>
      <c r="G1663" t="s">
        <v>124</v>
      </c>
      <c r="H1663" t="s">
        <v>125</v>
      </c>
      <c r="I1663">
        <v>0</v>
      </c>
      <c r="J1663" t="s">
        <v>126</v>
      </c>
      <c r="K1663" t="s">
        <v>125</v>
      </c>
      <c r="L1663" t="s">
        <v>3934</v>
      </c>
      <c r="T1663" t="s">
        <v>154</v>
      </c>
      <c r="W1663" t="s">
        <v>135</v>
      </c>
    </row>
    <row r="1664" spans="1:78" hidden="1" x14ac:dyDescent="0.2">
      <c r="A1664" t="s">
        <v>119</v>
      </c>
      <c r="B1664" t="s">
        <v>120</v>
      </c>
      <c r="C1664" t="s">
        <v>3932</v>
      </c>
      <c r="D1664">
        <v>12</v>
      </c>
      <c r="E1664" t="s">
        <v>407</v>
      </c>
      <c r="F1664" t="s">
        <v>140</v>
      </c>
      <c r="G1664" t="s">
        <v>124</v>
      </c>
      <c r="H1664" t="s">
        <v>125</v>
      </c>
      <c r="I1664">
        <v>4</v>
      </c>
      <c r="J1664" t="s">
        <v>268</v>
      </c>
      <c r="K1664" t="s">
        <v>125</v>
      </c>
      <c r="L1664" t="s">
        <v>3935</v>
      </c>
      <c r="T1664" t="s">
        <v>154</v>
      </c>
      <c r="W1664" t="s">
        <v>135</v>
      </c>
      <c r="AC1664" t="s">
        <v>143</v>
      </c>
      <c r="AE1664" t="s">
        <v>144</v>
      </c>
      <c r="AG1664">
        <v>11</v>
      </c>
      <c r="AH1664" t="s">
        <v>204</v>
      </c>
      <c r="AI1664" t="s">
        <v>205</v>
      </c>
      <c r="AJ1664" t="s">
        <v>131</v>
      </c>
      <c r="AK1664" t="s">
        <v>125</v>
      </c>
      <c r="AL1664">
        <v>12</v>
      </c>
      <c r="AM1664" t="s">
        <v>132</v>
      </c>
      <c r="AN1664" t="s">
        <v>125</v>
      </c>
      <c r="AO1664" t="s">
        <v>3936</v>
      </c>
      <c r="BP1664" t="s">
        <v>149</v>
      </c>
      <c r="BR1664" t="s">
        <v>135</v>
      </c>
      <c r="BS1664">
        <v>1</v>
      </c>
      <c r="BX1664" t="s">
        <v>136</v>
      </c>
      <c r="BZ1664" t="s">
        <v>137</v>
      </c>
    </row>
    <row r="1665" spans="1:78" x14ac:dyDescent="0.2">
      <c r="A1665" t="s">
        <v>119</v>
      </c>
      <c r="B1665" t="s">
        <v>120</v>
      </c>
      <c r="C1665" t="s">
        <v>3932</v>
      </c>
      <c r="D1665">
        <v>20</v>
      </c>
      <c r="E1665" t="s">
        <v>1625</v>
      </c>
      <c r="F1665" t="s">
        <v>261</v>
      </c>
      <c r="G1665" t="s">
        <v>124</v>
      </c>
      <c r="H1665" t="s">
        <v>125</v>
      </c>
      <c r="I1665">
        <v>12</v>
      </c>
      <c r="J1665" t="s">
        <v>161</v>
      </c>
      <c r="K1665" t="s">
        <v>125</v>
      </c>
      <c r="L1665" t="s">
        <v>3937</v>
      </c>
      <c r="U1665" t="s">
        <v>149</v>
      </c>
      <c r="W1665" t="s">
        <v>155</v>
      </c>
      <c r="X1665">
        <v>3</v>
      </c>
      <c r="AC1665" t="s">
        <v>136</v>
      </c>
      <c r="AE1665" t="s">
        <v>137</v>
      </c>
    </row>
    <row r="1666" spans="1:78" hidden="1" x14ac:dyDescent="0.2">
      <c r="A1666" t="s">
        <v>119</v>
      </c>
      <c r="B1666" t="s">
        <v>120</v>
      </c>
      <c r="C1666" t="s">
        <v>3932</v>
      </c>
      <c r="D1666">
        <v>24</v>
      </c>
      <c r="E1666" t="s">
        <v>207</v>
      </c>
      <c r="F1666" t="s">
        <v>146</v>
      </c>
      <c r="G1666" t="s">
        <v>124</v>
      </c>
      <c r="H1666" t="s">
        <v>125</v>
      </c>
      <c r="I1666">
        <v>20</v>
      </c>
      <c r="J1666" t="s">
        <v>3845</v>
      </c>
      <c r="K1666" t="s">
        <v>125</v>
      </c>
      <c r="L1666" t="s">
        <v>3938</v>
      </c>
      <c r="U1666" t="s">
        <v>149</v>
      </c>
      <c r="W1666" t="s">
        <v>135</v>
      </c>
      <c r="X1666">
        <v>3</v>
      </c>
      <c r="AC1666" t="s">
        <v>209</v>
      </c>
      <c r="AE1666" t="s">
        <v>137</v>
      </c>
    </row>
    <row r="1667" spans="1:78" x14ac:dyDescent="0.2">
      <c r="A1667" t="s">
        <v>119</v>
      </c>
      <c r="B1667" t="s">
        <v>120</v>
      </c>
      <c r="C1667" t="s">
        <v>3939</v>
      </c>
      <c r="D1667">
        <v>2</v>
      </c>
      <c r="E1667" t="s">
        <v>145</v>
      </c>
      <c r="F1667" t="s">
        <v>146</v>
      </c>
      <c r="G1667" t="s">
        <v>124</v>
      </c>
      <c r="H1667" t="s">
        <v>125</v>
      </c>
      <c r="I1667">
        <v>0</v>
      </c>
      <c r="J1667" t="s">
        <v>126</v>
      </c>
      <c r="K1667" t="s">
        <v>125</v>
      </c>
      <c r="L1667" t="s">
        <v>3940</v>
      </c>
      <c r="U1667" t="s">
        <v>149</v>
      </c>
      <c r="W1667" t="s">
        <v>135</v>
      </c>
      <c r="X1667">
        <v>3</v>
      </c>
      <c r="AC1667" t="s">
        <v>136</v>
      </c>
      <c r="AE1667" t="s">
        <v>137</v>
      </c>
    </row>
    <row r="1668" spans="1:78" hidden="1" x14ac:dyDescent="0.2">
      <c r="A1668" t="s">
        <v>119</v>
      </c>
      <c r="B1668" t="s">
        <v>120</v>
      </c>
      <c r="C1668" t="s">
        <v>3941</v>
      </c>
      <c r="D1668">
        <v>2</v>
      </c>
      <c r="E1668" t="s">
        <v>512</v>
      </c>
      <c r="F1668" t="s">
        <v>146</v>
      </c>
      <c r="G1668" t="s">
        <v>124</v>
      </c>
      <c r="H1668" t="s">
        <v>125</v>
      </c>
      <c r="I1668">
        <v>0</v>
      </c>
      <c r="J1668" t="s">
        <v>126</v>
      </c>
      <c r="K1668" t="s">
        <v>125</v>
      </c>
      <c r="L1668" t="s">
        <v>3942</v>
      </c>
      <c r="U1668" t="s">
        <v>149</v>
      </c>
      <c r="W1668" t="s">
        <v>155</v>
      </c>
      <c r="X1668">
        <v>3</v>
      </c>
      <c r="AC1668" t="s">
        <v>209</v>
      </c>
      <c r="AE1668" t="s">
        <v>137</v>
      </c>
    </row>
    <row r="1669" spans="1:78" x14ac:dyDescent="0.2">
      <c r="A1669" t="s">
        <v>119</v>
      </c>
      <c r="B1669" t="s">
        <v>120</v>
      </c>
      <c r="C1669" t="s">
        <v>3943</v>
      </c>
      <c r="D1669">
        <v>6</v>
      </c>
      <c r="E1669" t="s">
        <v>3944</v>
      </c>
      <c r="F1669" t="s">
        <v>434</v>
      </c>
      <c r="G1669" t="s">
        <v>124</v>
      </c>
      <c r="H1669" t="s">
        <v>125</v>
      </c>
      <c r="I1669">
        <v>0</v>
      </c>
      <c r="J1669" t="s">
        <v>126</v>
      </c>
      <c r="K1669" t="s">
        <v>125</v>
      </c>
      <c r="L1669" t="s">
        <v>3945</v>
      </c>
      <c r="U1669" t="s">
        <v>149</v>
      </c>
      <c r="W1669" t="s">
        <v>155</v>
      </c>
      <c r="X1669">
        <v>1</v>
      </c>
      <c r="AC1669" t="s">
        <v>136</v>
      </c>
      <c r="AE1669" t="s">
        <v>137</v>
      </c>
    </row>
    <row r="1670" spans="1:78" x14ac:dyDescent="0.2">
      <c r="A1670" t="s">
        <v>119</v>
      </c>
      <c r="B1670" t="s">
        <v>120</v>
      </c>
      <c r="C1670" t="s">
        <v>3946</v>
      </c>
      <c r="D1670">
        <v>6</v>
      </c>
      <c r="E1670" t="s">
        <v>3947</v>
      </c>
      <c r="F1670" t="s">
        <v>198</v>
      </c>
      <c r="G1670" t="s">
        <v>124</v>
      </c>
      <c r="H1670" t="s">
        <v>125</v>
      </c>
      <c r="I1670">
        <v>3</v>
      </c>
      <c r="J1670" t="s">
        <v>170</v>
      </c>
      <c r="K1670" t="s">
        <v>125</v>
      </c>
      <c r="L1670" t="s">
        <v>3948</v>
      </c>
      <c r="U1670" t="s">
        <v>149</v>
      </c>
      <c r="W1670" t="s">
        <v>155</v>
      </c>
      <c r="X1670">
        <v>1</v>
      </c>
      <c r="AC1670" t="s">
        <v>136</v>
      </c>
      <c r="AE1670" t="s">
        <v>137</v>
      </c>
    </row>
    <row r="1671" spans="1:78" hidden="1" x14ac:dyDescent="0.2">
      <c r="A1671" t="s">
        <v>119</v>
      </c>
      <c r="B1671" t="s">
        <v>120</v>
      </c>
      <c r="C1671" t="s">
        <v>3946</v>
      </c>
      <c r="D1671">
        <v>7</v>
      </c>
      <c r="E1671" t="s">
        <v>207</v>
      </c>
      <c r="F1671" t="s">
        <v>146</v>
      </c>
      <c r="G1671" t="s">
        <v>124</v>
      </c>
      <c r="H1671" t="s">
        <v>125</v>
      </c>
      <c r="I1671">
        <v>0</v>
      </c>
      <c r="J1671" t="s">
        <v>126</v>
      </c>
      <c r="K1671" t="s">
        <v>125</v>
      </c>
      <c r="L1671" t="s">
        <v>3949</v>
      </c>
      <c r="U1671" t="s">
        <v>149</v>
      </c>
      <c r="W1671" t="s">
        <v>135</v>
      </c>
      <c r="X1671">
        <v>3</v>
      </c>
      <c r="AC1671" t="s">
        <v>209</v>
      </c>
      <c r="AE1671" t="s">
        <v>137</v>
      </c>
    </row>
    <row r="1672" spans="1:78" x14ac:dyDescent="0.2">
      <c r="A1672" t="s">
        <v>119</v>
      </c>
      <c r="B1672" t="s">
        <v>120</v>
      </c>
      <c r="C1672" t="s">
        <v>3946</v>
      </c>
      <c r="D1672">
        <v>13</v>
      </c>
      <c r="E1672" t="s">
        <v>3950</v>
      </c>
      <c r="F1672" t="s">
        <v>3951</v>
      </c>
      <c r="G1672" t="s">
        <v>124</v>
      </c>
      <c r="H1672" t="s">
        <v>125</v>
      </c>
      <c r="I1672">
        <v>7</v>
      </c>
      <c r="J1672" t="s">
        <v>161</v>
      </c>
      <c r="K1672" t="s">
        <v>125</v>
      </c>
      <c r="L1672" t="s">
        <v>3952</v>
      </c>
      <c r="U1672" t="s">
        <v>149</v>
      </c>
      <c r="W1672" t="s">
        <v>135</v>
      </c>
      <c r="X1672">
        <v>3</v>
      </c>
      <c r="AC1672" t="s">
        <v>136</v>
      </c>
      <c r="AE1672" t="s">
        <v>137</v>
      </c>
    </row>
    <row r="1673" spans="1:78" hidden="1" x14ac:dyDescent="0.2">
      <c r="A1673" t="s">
        <v>119</v>
      </c>
      <c r="B1673" t="s">
        <v>120</v>
      </c>
      <c r="C1673" t="s">
        <v>3953</v>
      </c>
      <c r="D1673">
        <v>5</v>
      </c>
      <c r="E1673" t="s">
        <v>691</v>
      </c>
      <c r="F1673" t="s">
        <v>261</v>
      </c>
      <c r="G1673" t="s">
        <v>124</v>
      </c>
      <c r="H1673" t="s">
        <v>125</v>
      </c>
      <c r="I1673">
        <v>2</v>
      </c>
      <c r="J1673" t="s">
        <v>170</v>
      </c>
      <c r="K1673" t="s">
        <v>125</v>
      </c>
      <c r="L1673" t="s">
        <v>3954</v>
      </c>
      <c r="T1673" t="s">
        <v>154</v>
      </c>
      <c r="W1673" t="s">
        <v>135</v>
      </c>
      <c r="AC1673" t="s">
        <v>143</v>
      </c>
      <c r="AE1673" t="s">
        <v>144</v>
      </c>
      <c r="AG1673">
        <v>4</v>
      </c>
      <c r="AH1673" t="s">
        <v>232</v>
      </c>
      <c r="AI1673" t="s">
        <v>205</v>
      </c>
      <c r="AJ1673" t="s">
        <v>131</v>
      </c>
      <c r="AK1673" t="s">
        <v>125</v>
      </c>
      <c r="AL1673">
        <v>5</v>
      </c>
      <c r="AM1673" t="s">
        <v>132</v>
      </c>
      <c r="AN1673" t="s">
        <v>125</v>
      </c>
      <c r="AO1673" t="s">
        <v>3955</v>
      </c>
      <c r="BP1673" t="s">
        <v>149</v>
      </c>
      <c r="BR1673" t="s">
        <v>155</v>
      </c>
      <c r="BS1673">
        <v>1</v>
      </c>
      <c r="BX1673" t="s">
        <v>136</v>
      </c>
      <c r="BZ1673" t="s">
        <v>137</v>
      </c>
    </row>
    <row r="1674" spans="1:78" x14ac:dyDescent="0.2">
      <c r="A1674" t="s">
        <v>119</v>
      </c>
      <c r="B1674" t="s">
        <v>120</v>
      </c>
      <c r="C1674" t="s">
        <v>3956</v>
      </c>
      <c r="D1674">
        <v>2</v>
      </c>
      <c r="E1674" t="s">
        <v>145</v>
      </c>
      <c r="F1674" t="s">
        <v>146</v>
      </c>
      <c r="G1674" t="s">
        <v>124</v>
      </c>
      <c r="H1674" t="s">
        <v>125</v>
      </c>
      <c r="I1674">
        <v>0</v>
      </c>
      <c r="J1674" t="s">
        <v>126</v>
      </c>
      <c r="K1674" t="s">
        <v>125</v>
      </c>
      <c r="L1674" t="s">
        <v>3957</v>
      </c>
      <c r="U1674" t="s">
        <v>149</v>
      </c>
      <c r="W1674" t="s">
        <v>135</v>
      </c>
      <c r="X1674">
        <v>3</v>
      </c>
      <c r="AC1674" t="s">
        <v>136</v>
      </c>
      <c r="AE1674" t="s">
        <v>137</v>
      </c>
    </row>
    <row r="1675" spans="1:78" x14ac:dyDescent="0.2">
      <c r="A1675" t="s">
        <v>119</v>
      </c>
      <c r="B1675" t="s">
        <v>120</v>
      </c>
      <c r="C1675" t="s">
        <v>3956</v>
      </c>
      <c r="D1675">
        <v>6</v>
      </c>
      <c r="E1675" t="s">
        <v>3958</v>
      </c>
      <c r="F1675" t="s">
        <v>3959</v>
      </c>
      <c r="G1675" t="s">
        <v>124</v>
      </c>
      <c r="H1675" t="s">
        <v>125</v>
      </c>
      <c r="I1675">
        <v>2</v>
      </c>
      <c r="J1675" t="s">
        <v>386</v>
      </c>
      <c r="K1675" t="s">
        <v>125</v>
      </c>
      <c r="L1675" t="s">
        <v>3960</v>
      </c>
      <c r="U1675" t="s">
        <v>149</v>
      </c>
      <c r="W1675" t="s">
        <v>135</v>
      </c>
      <c r="X1675">
        <v>3</v>
      </c>
      <c r="AC1675" t="s">
        <v>136</v>
      </c>
      <c r="AE1675" t="s">
        <v>137</v>
      </c>
    </row>
    <row r="1676" spans="1:78" hidden="1" x14ac:dyDescent="0.2">
      <c r="A1676" t="s">
        <v>119</v>
      </c>
      <c r="B1676" t="s">
        <v>120</v>
      </c>
      <c r="C1676" t="s">
        <v>3956</v>
      </c>
      <c r="D1676">
        <v>8</v>
      </c>
      <c r="E1676" t="s">
        <v>146</v>
      </c>
      <c r="F1676" t="s">
        <v>146</v>
      </c>
      <c r="G1676" t="s">
        <v>124</v>
      </c>
      <c r="H1676" t="s">
        <v>125</v>
      </c>
      <c r="I1676">
        <v>6</v>
      </c>
      <c r="J1676" t="s">
        <v>294</v>
      </c>
      <c r="K1676" t="s">
        <v>125</v>
      </c>
      <c r="L1676" t="s">
        <v>3961</v>
      </c>
      <c r="AE1676" t="s">
        <v>128</v>
      </c>
    </row>
    <row r="1677" spans="1:78" hidden="1" x14ac:dyDescent="0.2">
      <c r="A1677" t="s">
        <v>119</v>
      </c>
      <c r="B1677" t="s">
        <v>120</v>
      </c>
      <c r="C1677" t="s">
        <v>3956</v>
      </c>
      <c r="D1677">
        <v>12</v>
      </c>
      <c r="E1677" t="s">
        <v>927</v>
      </c>
      <c r="F1677" t="s">
        <v>927</v>
      </c>
      <c r="G1677" t="s">
        <v>124</v>
      </c>
      <c r="H1677" t="s">
        <v>125</v>
      </c>
      <c r="I1677">
        <v>10</v>
      </c>
      <c r="J1677" t="s">
        <v>268</v>
      </c>
      <c r="K1677" t="s">
        <v>125</v>
      </c>
      <c r="L1677" t="s">
        <v>3962</v>
      </c>
      <c r="AE1677" t="s">
        <v>128</v>
      </c>
    </row>
    <row r="1678" spans="1:78" x14ac:dyDescent="0.2">
      <c r="A1678" t="s">
        <v>119</v>
      </c>
      <c r="B1678" t="s">
        <v>120</v>
      </c>
      <c r="C1678" t="s">
        <v>3963</v>
      </c>
      <c r="D1678">
        <v>4</v>
      </c>
      <c r="E1678" t="s">
        <v>3964</v>
      </c>
      <c r="F1678" t="s">
        <v>3965</v>
      </c>
      <c r="G1678" t="s">
        <v>124</v>
      </c>
      <c r="H1678" t="s">
        <v>125</v>
      </c>
      <c r="I1678">
        <v>1</v>
      </c>
      <c r="J1678" t="s">
        <v>268</v>
      </c>
      <c r="K1678" t="s">
        <v>125</v>
      </c>
      <c r="L1678" t="s">
        <v>3966</v>
      </c>
      <c r="U1678" t="s">
        <v>149</v>
      </c>
      <c r="W1678" t="s">
        <v>155</v>
      </c>
      <c r="X1678">
        <v>1</v>
      </c>
      <c r="AC1678" t="s">
        <v>136</v>
      </c>
      <c r="AE1678" t="s">
        <v>137</v>
      </c>
    </row>
    <row r="1679" spans="1:78" x14ac:dyDescent="0.2">
      <c r="A1679" t="s">
        <v>119</v>
      </c>
      <c r="B1679" t="s">
        <v>120</v>
      </c>
      <c r="C1679" t="s">
        <v>3967</v>
      </c>
      <c r="D1679">
        <v>5</v>
      </c>
      <c r="E1679" t="s">
        <v>3968</v>
      </c>
      <c r="F1679" t="s">
        <v>3680</v>
      </c>
      <c r="G1679" t="s">
        <v>124</v>
      </c>
      <c r="H1679" t="s">
        <v>125</v>
      </c>
      <c r="I1679">
        <v>0</v>
      </c>
      <c r="J1679" t="s">
        <v>126</v>
      </c>
      <c r="K1679" t="s">
        <v>125</v>
      </c>
      <c r="L1679" t="s">
        <v>3969</v>
      </c>
      <c r="U1679" t="s">
        <v>149</v>
      </c>
      <c r="W1679" t="s">
        <v>155</v>
      </c>
      <c r="X1679">
        <v>3</v>
      </c>
      <c r="AC1679" t="s">
        <v>136</v>
      </c>
      <c r="AE1679" t="s">
        <v>137</v>
      </c>
    </row>
    <row r="1680" spans="1:78" x14ac:dyDescent="0.2">
      <c r="A1680" t="s">
        <v>119</v>
      </c>
      <c r="B1680" t="s">
        <v>120</v>
      </c>
      <c r="C1680" t="s">
        <v>3967</v>
      </c>
      <c r="D1680">
        <v>9</v>
      </c>
      <c r="E1680" t="s">
        <v>145</v>
      </c>
      <c r="F1680" t="s">
        <v>146</v>
      </c>
      <c r="G1680" t="s">
        <v>124</v>
      </c>
      <c r="H1680" t="s">
        <v>125</v>
      </c>
      <c r="I1680">
        <v>5</v>
      </c>
      <c r="J1680" t="s">
        <v>161</v>
      </c>
      <c r="K1680" t="s">
        <v>125</v>
      </c>
      <c r="L1680" t="s">
        <v>3970</v>
      </c>
      <c r="U1680" t="s">
        <v>149</v>
      </c>
      <c r="W1680" t="s">
        <v>135</v>
      </c>
      <c r="X1680">
        <v>3</v>
      </c>
      <c r="AC1680" t="s">
        <v>136</v>
      </c>
      <c r="AE1680" t="s">
        <v>137</v>
      </c>
    </row>
    <row r="1681" spans="1:78" hidden="1" x14ac:dyDescent="0.2">
      <c r="A1681" t="s">
        <v>119</v>
      </c>
      <c r="B1681" t="s">
        <v>120</v>
      </c>
      <c r="C1681" t="s">
        <v>3967</v>
      </c>
      <c r="D1681">
        <v>16</v>
      </c>
      <c r="E1681" t="s">
        <v>861</v>
      </c>
      <c r="F1681" t="s">
        <v>140</v>
      </c>
      <c r="G1681" t="s">
        <v>124</v>
      </c>
      <c r="H1681" t="s">
        <v>125</v>
      </c>
      <c r="I1681">
        <v>11</v>
      </c>
      <c r="J1681" t="s">
        <v>170</v>
      </c>
      <c r="K1681" t="s">
        <v>125</v>
      </c>
      <c r="L1681" t="s">
        <v>3971</v>
      </c>
      <c r="AE1681" t="s">
        <v>128</v>
      </c>
      <c r="AG1681">
        <v>15</v>
      </c>
      <c r="AH1681" t="s">
        <v>3972</v>
      </c>
      <c r="AI1681" t="s">
        <v>130</v>
      </c>
      <c r="AJ1681" t="s">
        <v>131</v>
      </c>
      <c r="AK1681" t="s">
        <v>125</v>
      </c>
      <c r="AL1681">
        <v>16</v>
      </c>
      <c r="AM1681" t="s">
        <v>132</v>
      </c>
      <c r="AN1681" t="s">
        <v>125</v>
      </c>
      <c r="AO1681" t="s">
        <v>3973</v>
      </c>
      <c r="BP1681" t="s">
        <v>134</v>
      </c>
      <c r="BR1681" t="s">
        <v>155</v>
      </c>
      <c r="BS1681">
        <v>1</v>
      </c>
      <c r="BX1681" t="s">
        <v>136</v>
      </c>
      <c r="BZ1681" t="s">
        <v>137</v>
      </c>
    </row>
    <row r="1682" spans="1:78" x14ac:dyDescent="0.2">
      <c r="A1682" t="s">
        <v>119</v>
      </c>
      <c r="B1682" t="s">
        <v>120</v>
      </c>
      <c r="C1682" t="s">
        <v>3967</v>
      </c>
      <c r="D1682">
        <v>23</v>
      </c>
      <c r="E1682" t="s">
        <v>232</v>
      </c>
      <c r="F1682" t="s">
        <v>205</v>
      </c>
      <c r="G1682" t="s">
        <v>124</v>
      </c>
      <c r="H1682" t="s">
        <v>125</v>
      </c>
      <c r="I1682">
        <v>21</v>
      </c>
      <c r="J1682" t="s">
        <v>264</v>
      </c>
      <c r="K1682" t="s">
        <v>125</v>
      </c>
      <c r="L1682" t="s">
        <v>3974</v>
      </c>
      <c r="U1682" t="s">
        <v>149</v>
      </c>
      <c r="W1682" t="s">
        <v>155</v>
      </c>
      <c r="X1682">
        <v>1</v>
      </c>
      <c r="AC1682" t="s">
        <v>136</v>
      </c>
      <c r="AE1682" t="s">
        <v>137</v>
      </c>
    </row>
    <row r="1683" spans="1:78" hidden="1" x14ac:dyDescent="0.2">
      <c r="A1683" t="s">
        <v>119</v>
      </c>
      <c r="B1683" t="s">
        <v>120</v>
      </c>
      <c r="C1683" t="s">
        <v>3975</v>
      </c>
      <c r="D1683">
        <v>6</v>
      </c>
      <c r="E1683" t="s">
        <v>311</v>
      </c>
      <c r="F1683" t="s">
        <v>311</v>
      </c>
      <c r="G1683" t="s">
        <v>124</v>
      </c>
      <c r="H1683" t="s">
        <v>125</v>
      </c>
      <c r="I1683">
        <v>0</v>
      </c>
      <c r="J1683" t="s">
        <v>126</v>
      </c>
      <c r="K1683" t="s">
        <v>125</v>
      </c>
      <c r="L1683" t="s">
        <v>3976</v>
      </c>
      <c r="AE1683" t="s">
        <v>128</v>
      </c>
      <c r="AG1683">
        <v>5</v>
      </c>
      <c r="AH1683" t="s">
        <v>3461</v>
      </c>
      <c r="AI1683" t="s">
        <v>572</v>
      </c>
      <c r="AJ1683" t="s">
        <v>131</v>
      </c>
      <c r="AK1683" t="s">
        <v>125</v>
      </c>
      <c r="AL1683">
        <v>6</v>
      </c>
      <c r="AM1683" t="s">
        <v>132</v>
      </c>
      <c r="AN1683" t="s">
        <v>125</v>
      </c>
      <c r="AO1683" t="s">
        <v>3977</v>
      </c>
      <c r="BP1683" t="s">
        <v>149</v>
      </c>
      <c r="BR1683" t="s">
        <v>155</v>
      </c>
      <c r="BS1683">
        <v>1</v>
      </c>
      <c r="BX1683" t="s">
        <v>136</v>
      </c>
      <c r="BZ1683" t="s">
        <v>137</v>
      </c>
    </row>
    <row r="1684" spans="1:78" x14ac:dyDescent="0.2">
      <c r="A1684" t="s">
        <v>119</v>
      </c>
      <c r="B1684" t="s">
        <v>120</v>
      </c>
      <c r="C1684" t="s">
        <v>3978</v>
      </c>
      <c r="D1684">
        <v>2</v>
      </c>
      <c r="E1684" t="s">
        <v>3979</v>
      </c>
      <c r="F1684" t="s">
        <v>331</v>
      </c>
      <c r="G1684" t="s">
        <v>124</v>
      </c>
      <c r="H1684" t="s">
        <v>125</v>
      </c>
      <c r="I1684">
        <v>0</v>
      </c>
      <c r="J1684" t="s">
        <v>126</v>
      </c>
      <c r="K1684" t="s">
        <v>125</v>
      </c>
      <c r="L1684" t="s">
        <v>3980</v>
      </c>
      <c r="U1684" t="s">
        <v>209</v>
      </c>
      <c r="W1684" t="s">
        <v>155</v>
      </c>
      <c r="X1684">
        <v>2</v>
      </c>
      <c r="AC1684" t="s">
        <v>136</v>
      </c>
      <c r="AE1684" t="s">
        <v>137</v>
      </c>
    </row>
    <row r="1685" spans="1:78" hidden="1" x14ac:dyDescent="0.2">
      <c r="A1685" t="s">
        <v>119</v>
      </c>
      <c r="B1685" t="s">
        <v>120</v>
      </c>
      <c r="C1685" t="s">
        <v>3978</v>
      </c>
      <c r="D1685">
        <v>6</v>
      </c>
      <c r="E1685" t="s">
        <v>3981</v>
      </c>
      <c r="F1685" t="s">
        <v>1970</v>
      </c>
      <c r="G1685" t="s">
        <v>124</v>
      </c>
      <c r="H1685" t="s">
        <v>125</v>
      </c>
      <c r="I1685">
        <v>2</v>
      </c>
      <c r="J1685" t="s">
        <v>161</v>
      </c>
      <c r="K1685" t="s">
        <v>125</v>
      </c>
      <c r="L1685" t="s">
        <v>3982</v>
      </c>
    </row>
    <row r="1686" spans="1:78" x14ac:dyDescent="0.2">
      <c r="A1686" t="s">
        <v>119</v>
      </c>
      <c r="B1686" t="s">
        <v>120</v>
      </c>
      <c r="C1686" t="s">
        <v>3983</v>
      </c>
      <c r="D1686">
        <v>2</v>
      </c>
      <c r="E1686" t="s">
        <v>1805</v>
      </c>
      <c r="F1686" t="s">
        <v>140</v>
      </c>
      <c r="G1686" t="s">
        <v>124</v>
      </c>
      <c r="H1686" t="s">
        <v>125</v>
      </c>
      <c r="I1686">
        <v>0</v>
      </c>
      <c r="J1686" t="s">
        <v>126</v>
      </c>
      <c r="K1686" t="s">
        <v>125</v>
      </c>
      <c r="L1686" t="s">
        <v>1812</v>
      </c>
      <c r="U1686" t="s">
        <v>209</v>
      </c>
      <c r="W1686" t="s">
        <v>155</v>
      </c>
      <c r="X1686">
        <v>1</v>
      </c>
      <c r="AC1686" t="s">
        <v>136</v>
      </c>
      <c r="AE1686" t="s">
        <v>137</v>
      </c>
    </row>
    <row r="1687" spans="1:78" x14ac:dyDescent="0.2">
      <c r="A1687" t="s">
        <v>119</v>
      </c>
      <c r="B1687" t="s">
        <v>120</v>
      </c>
      <c r="C1687" t="s">
        <v>3984</v>
      </c>
      <c r="D1687">
        <v>2</v>
      </c>
      <c r="E1687" t="s">
        <v>145</v>
      </c>
      <c r="F1687" t="s">
        <v>146</v>
      </c>
      <c r="G1687" t="s">
        <v>124</v>
      </c>
      <c r="H1687" t="s">
        <v>125</v>
      </c>
      <c r="I1687">
        <v>0</v>
      </c>
      <c r="J1687" t="s">
        <v>126</v>
      </c>
      <c r="K1687" t="s">
        <v>125</v>
      </c>
      <c r="L1687" t="s">
        <v>3985</v>
      </c>
      <c r="U1687" t="s">
        <v>149</v>
      </c>
      <c r="W1687" t="s">
        <v>135</v>
      </c>
      <c r="X1687">
        <v>3</v>
      </c>
      <c r="AC1687" t="s">
        <v>136</v>
      </c>
      <c r="AE1687" t="s">
        <v>137</v>
      </c>
    </row>
    <row r="1688" spans="1:78" x14ac:dyDescent="0.2">
      <c r="A1688" t="s">
        <v>119</v>
      </c>
      <c r="B1688" t="s">
        <v>120</v>
      </c>
      <c r="C1688" t="s">
        <v>3986</v>
      </c>
      <c r="D1688">
        <v>1</v>
      </c>
      <c r="E1688" t="s">
        <v>3987</v>
      </c>
      <c r="F1688" t="s">
        <v>534</v>
      </c>
      <c r="G1688" t="s">
        <v>124</v>
      </c>
      <c r="H1688" t="s">
        <v>125</v>
      </c>
      <c r="I1688">
        <v>0</v>
      </c>
      <c r="J1688" t="s">
        <v>126</v>
      </c>
      <c r="K1688" t="s">
        <v>125</v>
      </c>
      <c r="L1688" t="s">
        <v>3988</v>
      </c>
      <c r="U1688" t="s">
        <v>209</v>
      </c>
      <c r="W1688" t="s">
        <v>155</v>
      </c>
      <c r="X1688">
        <v>1</v>
      </c>
      <c r="AC1688" t="s">
        <v>136</v>
      </c>
      <c r="AE1688" t="s">
        <v>137</v>
      </c>
    </row>
    <row r="1689" spans="1:78" hidden="1" x14ac:dyDescent="0.2">
      <c r="A1689" t="s">
        <v>119</v>
      </c>
      <c r="B1689" t="s">
        <v>120</v>
      </c>
      <c r="C1689" t="s">
        <v>3986</v>
      </c>
      <c r="D1689">
        <v>6</v>
      </c>
      <c r="E1689" t="s">
        <v>3989</v>
      </c>
      <c r="F1689" t="s">
        <v>3990</v>
      </c>
      <c r="G1689" t="s">
        <v>124</v>
      </c>
      <c r="H1689" t="s">
        <v>125</v>
      </c>
      <c r="I1689">
        <v>1</v>
      </c>
      <c r="J1689" t="s">
        <v>294</v>
      </c>
      <c r="K1689" t="s">
        <v>125</v>
      </c>
      <c r="L1689" t="s">
        <v>3991</v>
      </c>
      <c r="AE1689" t="s">
        <v>128</v>
      </c>
    </row>
    <row r="1690" spans="1:78" x14ac:dyDescent="0.2">
      <c r="A1690" t="s">
        <v>119</v>
      </c>
      <c r="B1690" t="s">
        <v>120</v>
      </c>
      <c r="C1690" t="s">
        <v>3992</v>
      </c>
      <c r="D1690">
        <v>3</v>
      </c>
      <c r="E1690" t="s">
        <v>3993</v>
      </c>
      <c r="F1690" t="s">
        <v>238</v>
      </c>
      <c r="G1690" t="s">
        <v>124</v>
      </c>
      <c r="H1690" t="s">
        <v>125</v>
      </c>
      <c r="I1690">
        <v>0</v>
      </c>
      <c r="J1690" t="s">
        <v>126</v>
      </c>
      <c r="K1690" t="s">
        <v>125</v>
      </c>
      <c r="L1690" t="s">
        <v>3994</v>
      </c>
      <c r="U1690" t="s">
        <v>149</v>
      </c>
      <c r="W1690" t="s">
        <v>155</v>
      </c>
      <c r="X1690">
        <v>1</v>
      </c>
      <c r="AC1690" t="s">
        <v>136</v>
      </c>
      <c r="AE1690" t="s">
        <v>137</v>
      </c>
    </row>
    <row r="1691" spans="1:78" x14ac:dyDescent="0.2">
      <c r="A1691" t="s">
        <v>119</v>
      </c>
      <c r="B1691" t="s">
        <v>120</v>
      </c>
      <c r="C1691" t="s">
        <v>3992</v>
      </c>
      <c r="D1691">
        <v>11</v>
      </c>
      <c r="E1691" t="s">
        <v>3149</v>
      </c>
      <c r="F1691" t="s">
        <v>140</v>
      </c>
      <c r="G1691" t="s">
        <v>124</v>
      </c>
      <c r="H1691" t="s">
        <v>125</v>
      </c>
      <c r="I1691">
        <v>9</v>
      </c>
      <c r="J1691" t="s">
        <v>170</v>
      </c>
      <c r="K1691" t="s">
        <v>125</v>
      </c>
      <c r="L1691" t="s">
        <v>3995</v>
      </c>
      <c r="U1691" t="s">
        <v>149</v>
      </c>
      <c r="W1691" t="s">
        <v>155</v>
      </c>
      <c r="X1691">
        <v>3</v>
      </c>
      <c r="AC1691" t="s">
        <v>136</v>
      </c>
      <c r="AE1691" t="s">
        <v>137</v>
      </c>
    </row>
    <row r="1692" spans="1:78" hidden="1" x14ac:dyDescent="0.2">
      <c r="A1692" t="s">
        <v>119</v>
      </c>
      <c r="B1692" t="s">
        <v>120</v>
      </c>
      <c r="C1692" t="s">
        <v>3992</v>
      </c>
      <c r="D1692">
        <v>16</v>
      </c>
      <c r="E1692" t="s">
        <v>3996</v>
      </c>
      <c r="F1692" t="s">
        <v>1981</v>
      </c>
      <c r="G1692" t="s">
        <v>124</v>
      </c>
      <c r="H1692" t="s">
        <v>125</v>
      </c>
      <c r="I1692">
        <v>12</v>
      </c>
      <c r="J1692" t="s">
        <v>268</v>
      </c>
      <c r="K1692" t="s">
        <v>125</v>
      </c>
      <c r="L1692" t="s">
        <v>3997</v>
      </c>
      <c r="T1692" t="s">
        <v>142</v>
      </c>
      <c r="W1692" t="s">
        <v>135</v>
      </c>
    </row>
    <row r="1693" spans="1:78" x14ac:dyDescent="0.2">
      <c r="A1693" t="s">
        <v>119</v>
      </c>
      <c r="B1693" t="s">
        <v>120</v>
      </c>
      <c r="C1693" t="s">
        <v>3998</v>
      </c>
      <c r="D1693">
        <v>1</v>
      </c>
      <c r="E1693" t="s">
        <v>3999</v>
      </c>
      <c r="F1693" t="s">
        <v>2279</v>
      </c>
      <c r="G1693" t="s">
        <v>124</v>
      </c>
      <c r="H1693" t="s">
        <v>125</v>
      </c>
      <c r="I1693">
        <v>0</v>
      </c>
      <c r="J1693" t="s">
        <v>126</v>
      </c>
      <c r="K1693" t="s">
        <v>125</v>
      </c>
      <c r="L1693" t="s">
        <v>4000</v>
      </c>
      <c r="U1693" t="s">
        <v>149</v>
      </c>
      <c r="W1693" t="s">
        <v>155</v>
      </c>
      <c r="X1693">
        <v>1</v>
      </c>
      <c r="AC1693" t="s">
        <v>136</v>
      </c>
      <c r="AE1693" t="s">
        <v>137</v>
      </c>
    </row>
    <row r="1694" spans="1:78" x14ac:dyDescent="0.2">
      <c r="A1694" t="s">
        <v>119</v>
      </c>
      <c r="B1694" t="s">
        <v>120</v>
      </c>
      <c r="C1694" t="s">
        <v>4001</v>
      </c>
      <c r="D1694">
        <v>2</v>
      </c>
      <c r="E1694" t="s">
        <v>3043</v>
      </c>
      <c r="F1694" t="s">
        <v>1651</v>
      </c>
      <c r="G1694" t="s">
        <v>124</v>
      </c>
      <c r="H1694" t="s">
        <v>125</v>
      </c>
      <c r="I1694">
        <v>0</v>
      </c>
      <c r="J1694" t="s">
        <v>126</v>
      </c>
      <c r="K1694" t="s">
        <v>125</v>
      </c>
      <c r="L1694" t="s">
        <v>4002</v>
      </c>
      <c r="U1694" t="s">
        <v>149</v>
      </c>
      <c r="W1694" t="s">
        <v>135</v>
      </c>
      <c r="X1694">
        <v>3</v>
      </c>
      <c r="AC1694" t="s">
        <v>136</v>
      </c>
      <c r="AE1694" t="s">
        <v>137</v>
      </c>
    </row>
    <row r="1695" spans="1:78" x14ac:dyDescent="0.2">
      <c r="A1695" t="s">
        <v>119</v>
      </c>
      <c r="B1695" t="s">
        <v>120</v>
      </c>
      <c r="C1695" t="s">
        <v>4003</v>
      </c>
      <c r="D1695">
        <v>3</v>
      </c>
      <c r="E1695" t="s">
        <v>197</v>
      </c>
      <c r="F1695" t="s">
        <v>198</v>
      </c>
      <c r="G1695" t="s">
        <v>124</v>
      </c>
      <c r="H1695" t="s">
        <v>125</v>
      </c>
      <c r="I1695">
        <v>0</v>
      </c>
      <c r="J1695" t="s">
        <v>126</v>
      </c>
      <c r="K1695" t="s">
        <v>125</v>
      </c>
      <c r="L1695" t="s">
        <v>4004</v>
      </c>
      <c r="U1695" t="s">
        <v>149</v>
      </c>
      <c r="W1695" t="s">
        <v>135</v>
      </c>
      <c r="X1695">
        <v>1</v>
      </c>
      <c r="AC1695" t="s">
        <v>136</v>
      </c>
      <c r="AE1695" t="s">
        <v>137</v>
      </c>
    </row>
    <row r="1696" spans="1:78" x14ac:dyDescent="0.2">
      <c r="A1696" t="s">
        <v>119</v>
      </c>
      <c r="B1696" t="s">
        <v>120</v>
      </c>
      <c r="C1696" t="s">
        <v>4005</v>
      </c>
      <c r="D1696">
        <v>3</v>
      </c>
      <c r="E1696" t="s">
        <v>3053</v>
      </c>
      <c r="F1696" t="s">
        <v>3054</v>
      </c>
      <c r="G1696" t="s">
        <v>124</v>
      </c>
      <c r="H1696" t="s">
        <v>125</v>
      </c>
      <c r="I1696">
        <v>0</v>
      </c>
      <c r="J1696" t="s">
        <v>126</v>
      </c>
      <c r="K1696" t="s">
        <v>125</v>
      </c>
      <c r="L1696" t="s">
        <v>4006</v>
      </c>
      <c r="U1696" t="s">
        <v>149</v>
      </c>
      <c r="W1696" t="s">
        <v>135</v>
      </c>
      <c r="X1696">
        <v>3</v>
      </c>
      <c r="AC1696" t="s">
        <v>136</v>
      </c>
      <c r="AE1696" t="s">
        <v>137</v>
      </c>
    </row>
    <row r="1697" spans="1:78" hidden="1" x14ac:dyDescent="0.2">
      <c r="A1697" t="s">
        <v>119</v>
      </c>
      <c r="B1697" t="s">
        <v>120</v>
      </c>
      <c r="C1697" t="s">
        <v>4007</v>
      </c>
      <c r="D1697">
        <v>4</v>
      </c>
      <c r="E1697" t="s">
        <v>194</v>
      </c>
      <c r="F1697" t="s">
        <v>194</v>
      </c>
      <c r="G1697" t="s">
        <v>124</v>
      </c>
      <c r="H1697" t="s">
        <v>125</v>
      </c>
      <c r="I1697">
        <v>0</v>
      </c>
      <c r="J1697" t="s">
        <v>126</v>
      </c>
      <c r="K1697" t="s">
        <v>125</v>
      </c>
      <c r="L1697" t="s">
        <v>4008</v>
      </c>
      <c r="AE1697" t="s">
        <v>128</v>
      </c>
      <c r="AG1697">
        <v>3</v>
      </c>
      <c r="AH1697" t="s">
        <v>3461</v>
      </c>
      <c r="AI1697" t="s">
        <v>572</v>
      </c>
      <c r="AJ1697" t="s">
        <v>131</v>
      </c>
      <c r="AK1697" t="s">
        <v>125</v>
      </c>
      <c r="AL1697">
        <v>4</v>
      </c>
      <c r="AM1697" t="s">
        <v>132</v>
      </c>
      <c r="AN1697" t="s">
        <v>125</v>
      </c>
      <c r="AO1697" t="s">
        <v>4009</v>
      </c>
      <c r="BP1697" t="s">
        <v>149</v>
      </c>
      <c r="BR1697" t="s">
        <v>155</v>
      </c>
      <c r="BS1697">
        <v>1</v>
      </c>
      <c r="BX1697" t="s">
        <v>136</v>
      </c>
      <c r="BZ1697" t="s">
        <v>137</v>
      </c>
    </row>
    <row r="1698" spans="1:78" x14ac:dyDescent="0.2">
      <c r="A1698" t="s">
        <v>119</v>
      </c>
      <c r="B1698" t="s">
        <v>120</v>
      </c>
      <c r="C1698" t="s">
        <v>4010</v>
      </c>
      <c r="D1698">
        <v>3</v>
      </c>
      <c r="E1698" t="s">
        <v>232</v>
      </c>
      <c r="F1698" t="s">
        <v>205</v>
      </c>
      <c r="G1698" t="s">
        <v>124</v>
      </c>
      <c r="H1698" t="s">
        <v>125</v>
      </c>
      <c r="I1698">
        <v>0</v>
      </c>
      <c r="J1698" t="s">
        <v>126</v>
      </c>
      <c r="K1698" t="s">
        <v>125</v>
      </c>
      <c r="L1698" t="s">
        <v>4011</v>
      </c>
      <c r="U1698" t="s">
        <v>149</v>
      </c>
      <c r="W1698" t="s">
        <v>155</v>
      </c>
      <c r="X1698">
        <v>1</v>
      </c>
      <c r="AC1698" t="s">
        <v>136</v>
      </c>
      <c r="AE1698" t="s">
        <v>137</v>
      </c>
    </row>
    <row r="1699" spans="1:78" x14ac:dyDescent="0.2">
      <c r="A1699" t="s">
        <v>119</v>
      </c>
      <c r="B1699" t="s">
        <v>120</v>
      </c>
      <c r="C1699" t="s">
        <v>4012</v>
      </c>
      <c r="D1699">
        <v>11</v>
      </c>
      <c r="E1699" t="s">
        <v>4013</v>
      </c>
      <c r="F1699" t="s">
        <v>3438</v>
      </c>
      <c r="G1699" t="s">
        <v>124</v>
      </c>
      <c r="H1699" t="s">
        <v>125</v>
      </c>
      <c r="I1699">
        <v>5</v>
      </c>
      <c r="J1699" t="s">
        <v>3845</v>
      </c>
      <c r="K1699" t="s">
        <v>125</v>
      </c>
      <c r="L1699" t="s">
        <v>4014</v>
      </c>
      <c r="U1699" t="s">
        <v>149</v>
      </c>
      <c r="W1699" t="s">
        <v>155</v>
      </c>
      <c r="X1699">
        <v>3</v>
      </c>
      <c r="AC1699" t="s">
        <v>136</v>
      </c>
      <c r="AE1699" t="s">
        <v>137</v>
      </c>
    </row>
    <row r="1700" spans="1:78" x14ac:dyDescent="0.2">
      <c r="A1700" t="s">
        <v>119</v>
      </c>
      <c r="B1700" t="s">
        <v>120</v>
      </c>
      <c r="C1700" t="s">
        <v>4015</v>
      </c>
      <c r="D1700">
        <v>2</v>
      </c>
      <c r="E1700" t="s">
        <v>197</v>
      </c>
      <c r="F1700" t="s">
        <v>198</v>
      </c>
      <c r="G1700" t="s">
        <v>124</v>
      </c>
      <c r="H1700" t="s">
        <v>125</v>
      </c>
      <c r="I1700">
        <v>0</v>
      </c>
      <c r="J1700" t="s">
        <v>126</v>
      </c>
      <c r="K1700" t="s">
        <v>125</v>
      </c>
      <c r="L1700" t="s">
        <v>4016</v>
      </c>
      <c r="U1700" t="s">
        <v>149</v>
      </c>
      <c r="W1700" t="s">
        <v>135</v>
      </c>
      <c r="X1700">
        <v>1</v>
      </c>
      <c r="AC1700" t="s">
        <v>136</v>
      </c>
      <c r="AE1700" t="s">
        <v>137</v>
      </c>
    </row>
    <row r="1701" spans="1:78" x14ac:dyDescent="0.2">
      <c r="A1701" t="s">
        <v>119</v>
      </c>
      <c r="B1701" t="s">
        <v>120</v>
      </c>
      <c r="C1701" t="s">
        <v>4015</v>
      </c>
      <c r="D1701">
        <v>4</v>
      </c>
      <c r="E1701" t="s">
        <v>3854</v>
      </c>
      <c r="F1701" t="s">
        <v>3855</v>
      </c>
      <c r="G1701" t="s">
        <v>124</v>
      </c>
      <c r="H1701" t="s">
        <v>125</v>
      </c>
      <c r="I1701">
        <v>2</v>
      </c>
      <c r="J1701" t="s">
        <v>268</v>
      </c>
      <c r="K1701" t="s">
        <v>125</v>
      </c>
      <c r="L1701" t="s">
        <v>4017</v>
      </c>
      <c r="U1701" t="s">
        <v>149</v>
      </c>
      <c r="W1701" t="s">
        <v>135</v>
      </c>
      <c r="X1701">
        <v>3</v>
      </c>
      <c r="AC1701" t="s">
        <v>136</v>
      </c>
      <c r="AE1701" t="s">
        <v>137</v>
      </c>
    </row>
    <row r="1702" spans="1:78" x14ac:dyDescent="0.2">
      <c r="A1702" t="s">
        <v>119</v>
      </c>
      <c r="B1702" t="s">
        <v>120</v>
      </c>
      <c r="C1702" t="s">
        <v>4018</v>
      </c>
      <c r="D1702">
        <v>2</v>
      </c>
      <c r="E1702" t="s">
        <v>4019</v>
      </c>
      <c r="F1702" t="s">
        <v>373</v>
      </c>
      <c r="G1702" t="s">
        <v>124</v>
      </c>
      <c r="H1702" t="s">
        <v>125</v>
      </c>
      <c r="I1702">
        <v>0</v>
      </c>
      <c r="J1702" t="s">
        <v>126</v>
      </c>
      <c r="K1702" t="s">
        <v>125</v>
      </c>
      <c r="L1702" t="s">
        <v>4020</v>
      </c>
      <c r="U1702" t="s">
        <v>149</v>
      </c>
      <c r="W1702" t="s">
        <v>155</v>
      </c>
      <c r="X1702">
        <v>1</v>
      </c>
      <c r="AC1702" t="s">
        <v>136</v>
      </c>
      <c r="AE1702" t="s">
        <v>137</v>
      </c>
    </row>
    <row r="1703" spans="1:78" x14ac:dyDescent="0.2">
      <c r="A1703" t="s">
        <v>119</v>
      </c>
      <c r="B1703" t="s">
        <v>120</v>
      </c>
      <c r="C1703" t="s">
        <v>4018</v>
      </c>
      <c r="D1703">
        <v>3</v>
      </c>
      <c r="E1703" t="s">
        <v>260</v>
      </c>
      <c r="F1703" t="s">
        <v>261</v>
      </c>
      <c r="G1703" t="s">
        <v>124</v>
      </c>
      <c r="H1703" t="s">
        <v>125</v>
      </c>
      <c r="I1703">
        <v>2</v>
      </c>
      <c r="J1703" t="s">
        <v>264</v>
      </c>
      <c r="K1703" t="s">
        <v>125</v>
      </c>
      <c r="L1703" t="s">
        <v>4021</v>
      </c>
      <c r="U1703" t="s">
        <v>209</v>
      </c>
      <c r="W1703" t="s">
        <v>155</v>
      </c>
      <c r="X1703">
        <v>1</v>
      </c>
      <c r="AC1703" t="s">
        <v>136</v>
      </c>
      <c r="AE1703" t="s">
        <v>137</v>
      </c>
    </row>
    <row r="1704" spans="1:78" x14ac:dyDescent="0.2">
      <c r="A1704" t="s">
        <v>119</v>
      </c>
      <c r="B1704" t="s">
        <v>120</v>
      </c>
      <c r="C1704" t="s">
        <v>4022</v>
      </c>
      <c r="D1704">
        <v>5</v>
      </c>
      <c r="E1704" t="s">
        <v>1446</v>
      </c>
      <c r="F1704" t="s">
        <v>146</v>
      </c>
      <c r="G1704" t="s">
        <v>124</v>
      </c>
      <c r="H1704" t="s">
        <v>125</v>
      </c>
      <c r="I1704">
        <v>0</v>
      </c>
      <c r="J1704" t="s">
        <v>126</v>
      </c>
      <c r="K1704" t="s">
        <v>125</v>
      </c>
      <c r="L1704" t="s">
        <v>4023</v>
      </c>
      <c r="U1704" t="s">
        <v>149</v>
      </c>
      <c r="W1704" t="s">
        <v>155</v>
      </c>
      <c r="X1704">
        <v>1</v>
      </c>
      <c r="AC1704" t="s">
        <v>136</v>
      </c>
      <c r="AE1704" t="s">
        <v>137</v>
      </c>
    </row>
    <row r="1705" spans="1:78" x14ac:dyDescent="0.2">
      <c r="A1705" t="s">
        <v>119</v>
      </c>
      <c r="B1705" t="s">
        <v>120</v>
      </c>
      <c r="C1705" t="s">
        <v>4024</v>
      </c>
      <c r="D1705">
        <v>3</v>
      </c>
      <c r="E1705" t="s">
        <v>260</v>
      </c>
      <c r="F1705" t="s">
        <v>261</v>
      </c>
      <c r="G1705" t="s">
        <v>124</v>
      </c>
      <c r="H1705" t="s">
        <v>125</v>
      </c>
      <c r="I1705">
        <v>0</v>
      </c>
      <c r="J1705" t="s">
        <v>126</v>
      </c>
      <c r="K1705" t="s">
        <v>125</v>
      </c>
      <c r="L1705" t="s">
        <v>4025</v>
      </c>
      <c r="U1705" t="s">
        <v>209</v>
      </c>
      <c r="W1705" t="s">
        <v>155</v>
      </c>
      <c r="X1705">
        <v>1</v>
      </c>
      <c r="AC1705" t="s">
        <v>136</v>
      </c>
      <c r="AE1705" t="s">
        <v>137</v>
      </c>
    </row>
    <row r="1706" spans="1:78" x14ac:dyDescent="0.2">
      <c r="A1706" t="s">
        <v>119</v>
      </c>
      <c r="B1706" t="s">
        <v>120</v>
      </c>
      <c r="C1706" t="s">
        <v>4026</v>
      </c>
      <c r="D1706">
        <v>7</v>
      </c>
      <c r="E1706" t="s">
        <v>1674</v>
      </c>
      <c r="F1706" t="s">
        <v>261</v>
      </c>
      <c r="G1706" t="s">
        <v>124</v>
      </c>
      <c r="H1706" t="s">
        <v>125</v>
      </c>
      <c r="I1706">
        <v>5</v>
      </c>
      <c r="J1706" t="s">
        <v>170</v>
      </c>
      <c r="K1706" t="s">
        <v>125</v>
      </c>
      <c r="L1706" t="s">
        <v>4027</v>
      </c>
      <c r="U1706" t="s">
        <v>149</v>
      </c>
      <c r="W1706" t="s">
        <v>135</v>
      </c>
      <c r="X1706">
        <v>1</v>
      </c>
      <c r="AC1706" t="s">
        <v>136</v>
      </c>
      <c r="AE1706" t="s">
        <v>137</v>
      </c>
    </row>
    <row r="1707" spans="1:78" x14ac:dyDescent="0.2">
      <c r="A1707" t="s">
        <v>119</v>
      </c>
      <c r="B1707" t="s">
        <v>120</v>
      </c>
      <c r="C1707" t="s">
        <v>4028</v>
      </c>
      <c r="D1707">
        <v>4</v>
      </c>
      <c r="E1707" t="s">
        <v>2559</v>
      </c>
      <c r="F1707" t="s">
        <v>350</v>
      </c>
      <c r="G1707" t="s">
        <v>124</v>
      </c>
      <c r="H1707" t="s">
        <v>125</v>
      </c>
      <c r="I1707">
        <v>0</v>
      </c>
      <c r="J1707" t="s">
        <v>126</v>
      </c>
      <c r="K1707" t="s">
        <v>125</v>
      </c>
      <c r="L1707" t="s">
        <v>1864</v>
      </c>
      <c r="U1707" t="s">
        <v>149</v>
      </c>
      <c r="W1707" t="s">
        <v>155</v>
      </c>
      <c r="X1707">
        <v>2</v>
      </c>
      <c r="AC1707" t="s">
        <v>136</v>
      </c>
      <c r="AE1707" t="s">
        <v>137</v>
      </c>
    </row>
    <row r="1708" spans="1:78" x14ac:dyDescent="0.2">
      <c r="A1708" t="s">
        <v>119</v>
      </c>
      <c r="B1708" t="s">
        <v>120</v>
      </c>
      <c r="C1708" t="s">
        <v>4028</v>
      </c>
      <c r="D1708">
        <v>7</v>
      </c>
      <c r="E1708" t="s">
        <v>4029</v>
      </c>
      <c r="F1708" t="s">
        <v>261</v>
      </c>
      <c r="G1708" t="s">
        <v>124</v>
      </c>
      <c r="H1708" t="s">
        <v>125</v>
      </c>
      <c r="I1708">
        <v>4</v>
      </c>
      <c r="J1708" t="s">
        <v>161</v>
      </c>
      <c r="K1708" t="s">
        <v>125</v>
      </c>
      <c r="L1708" t="s">
        <v>4030</v>
      </c>
      <c r="U1708" t="s">
        <v>209</v>
      </c>
      <c r="W1708" t="s">
        <v>155</v>
      </c>
      <c r="X1708">
        <v>2</v>
      </c>
      <c r="AC1708" t="s">
        <v>136</v>
      </c>
      <c r="AE1708" t="s">
        <v>137</v>
      </c>
    </row>
    <row r="1709" spans="1:78" hidden="1" x14ac:dyDescent="0.2">
      <c r="A1709" t="s">
        <v>119</v>
      </c>
      <c r="B1709" t="s">
        <v>120</v>
      </c>
      <c r="C1709" t="s">
        <v>4028</v>
      </c>
      <c r="D1709">
        <v>13</v>
      </c>
      <c r="E1709" t="s">
        <v>691</v>
      </c>
      <c r="F1709" t="s">
        <v>261</v>
      </c>
      <c r="G1709" t="s">
        <v>124</v>
      </c>
      <c r="H1709" t="s">
        <v>125</v>
      </c>
      <c r="I1709">
        <v>4</v>
      </c>
      <c r="J1709" t="s">
        <v>161</v>
      </c>
      <c r="K1709" t="s">
        <v>125</v>
      </c>
      <c r="L1709" t="s">
        <v>4031</v>
      </c>
      <c r="T1709" t="s">
        <v>154</v>
      </c>
      <c r="W1709" t="s">
        <v>135</v>
      </c>
      <c r="AC1709" t="s">
        <v>143</v>
      </c>
      <c r="AE1709" t="s">
        <v>144</v>
      </c>
      <c r="AG1709">
        <v>12</v>
      </c>
      <c r="AH1709" t="s">
        <v>614</v>
      </c>
      <c r="AI1709" t="s">
        <v>205</v>
      </c>
      <c r="AJ1709" t="s">
        <v>131</v>
      </c>
      <c r="AK1709" t="s">
        <v>125</v>
      </c>
      <c r="AL1709">
        <v>13</v>
      </c>
      <c r="AM1709" t="s">
        <v>132</v>
      </c>
      <c r="AN1709" t="s">
        <v>125</v>
      </c>
      <c r="AO1709" t="s">
        <v>4032</v>
      </c>
      <c r="BP1709" t="s">
        <v>149</v>
      </c>
      <c r="BR1709" t="s">
        <v>135</v>
      </c>
      <c r="BS1709">
        <v>3</v>
      </c>
      <c r="BX1709" t="s">
        <v>136</v>
      </c>
      <c r="BZ1709" t="s">
        <v>137</v>
      </c>
    </row>
    <row r="1710" spans="1:78" x14ac:dyDescent="0.2">
      <c r="A1710" t="s">
        <v>119</v>
      </c>
      <c r="B1710" t="s">
        <v>120</v>
      </c>
      <c r="C1710" t="s">
        <v>4033</v>
      </c>
      <c r="D1710">
        <v>8</v>
      </c>
      <c r="E1710" t="s">
        <v>370</v>
      </c>
      <c r="F1710" t="s">
        <v>140</v>
      </c>
      <c r="G1710" t="s">
        <v>124</v>
      </c>
      <c r="H1710" t="s">
        <v>125</v>
      </c>
      <c r="I1710">
        <v>5</v>
      </c>
      <c r="J1710" t="s">
        <v>170</v>
      </c>
      <c r="K1710" t="s">
        <v>125</v>
      </c>
      <c r="L1710" t="s">
        <v>4034</v>
      </c>
      <c r="U1710" t="s">
        <v>149</v>
      </c>
      <c r="W1710" t="s">
        <v>135</v>
      </c>
      <c r="X1710">
        <v>3</v>
      </c>
      <c r="AC1710" t="s">
        <v>136</v>
      </c>
      <c r="AE1710" t="s">
        <v>137</v>
      </c>
    </row>
    <row r="1711" spans="1:78" x14ac:dyDescent="0.2">
      <c r="A1711" t="s">
        <v>119</v>
      </c>
      <c r="B1711" t="s">
        <v>120</v>
      </c>
      <c r="C1711" t="s">
        <v>4035</v>
      </c>
      <c r="D1711">
        <v>4</v>
      </c>
      <c r="E1711" t="s">
        <v>145</v>
      </c>
      <c r="F1711" t="s">
        <v>146</v>
      </c>
      <c r="G1711" t="s">
        <v>124</v>
      </c>
      <c r="H1711" t="s">
        <v>125</v>
      </c>
      <c r="I1711">
        <v>0</v>
      </c>
      <c r="J1711" t="s">
        <v>126</v>
      </c>
      <c r="K1711" t="s">
        <v>125</v>
      </c>
      <c r="L1711" t="s">
        <v>4036</v>
      </c>
      <c r="U1711" t="s">
        <v>149</v>
      </c>
      <c r="W1711" t="s">
        <v>135</v>
      </c>
      <c r="X1711">
        <v>3</v>
      </c>
      <c r="AC1711" t="s">
        <v>136</v>
      </c>
      <c r="AE1711" t="s">
        <v>137</v>
      </c>
    </row>
    <row r="1712" spans="1:78" x14ac:dyDescent="0.2">
      <c r="A1712" t="s">
        <v>119</v>
      </c>
      <c r="B1712" t="s">
        <v>120</v>
      </c>
      <c r="C1712" t="s">
        <v>4037</v>
      </c>
      <c r="D1712">
        <v>2</v>
      </c>
      <c r="E1712" t="s">
        <v>3913</v>
      </c>
      <c r="F1712" t="s">
        <v>202</v>
      </c>
      <c r="G1712" t="s">
        <v>124</v>
      </c>
      <c r="H1712" t="s">
        <v>125</v>
      </c>
      <c r="I1712">
        <v>0</v>
      </c>
      <c r="J1712" t="s">
        <v>126</v>
      </c>
      <c r="K1712" t="s">
        <v>125</v>
      </c>
      <c r="L1712" t="s">
        <v>4038</v>
      </c>
      <c r="U1712" t="s">
        <v>209</v>
      </c>
      <c r="W1712" t="s">
        <v>155</v>
      </c>
      <c r="X1712">
        <v>1</v>
      </c>
      <c r="AC1712" t="s">
        <v>136</v>
      </c>
      <c r="AE1712" t="s">
        <v>137</v>
      </c>
    </row>
    <row r="1713" spans="1:78" x14ac:dyDescent="0.2">
      <c r="A1713" t="s">
        <v>119</v>
      </c>
      <c r="B1713" t="s">
        <v>120</v>
      </c>
      <c r="C1713" t="s">
        <v>4039</v>
      </c>
      <c r="D1713">
        <v>1</v>
      </c>
      <c r="E1713" t="s">
        <v>3999</v>
      </c>
      <c r="F1713" t="s">
        <v>2279</v>
      </c>
      <c r="G1713" t="s">
        <v>124</v>
      </c>
      <c r="H1713" t="s">
        <v>125</v>
      </c>
      <c r="I1713">
        <v>0</v>
      </c>
      <c r="J1713" t="s">
        <v>126</v>
      </c>
      <c r="K1713" t="s">
        <v>125</v>
      </c>
      <c r="L1713" t="s">
        <v>4040</v>
      </c>
      <c r="U1713" t="s">
        <v>149</v>
      </c>
      <c r="W1713" t="s">
        <v>155</v>
      </c>
      <c r="X1713">
        <v>1</v>
      </c>
      <c r="AC1713" t="s">
        <v>136</v>
      </c>
      <c r="AE1713" t="s">
        <v>137</v>
      </c>
    </row>
    <row r="1714" spans="1:78" hidden="1" x14ac:dyDescent="0.2">
      <c r="A1714" t="s">
        <v>119</v>
      </c>
      <c r="B1714" t="s">
        <v>120</v>
      </c>
      <c r="C1714" t="s">
        <v>4041</v>
      </c>
      <c r="D1714">
        <v>6</v>
      </c>
      <c r="E1714" t="s">
        <v>691</v>
      </c>
      <c r="F1714" t="s">
        <v>261</v>
      </c>
      <c r="G1714" t="s">
        <v>124</v>
      </c>
      <c r="H1714" t="s">
        <v>125</v>
      </c>
      <c r="I1714">
        <v>0</v>
      </c>
      <c r="J1714" t="s">
        <v>126</v>
      </c>
      <c r="K1714" t="s">
        <v>125</v>
      </c>
      <c r="L1714" t="s">
        <v>4042</v>
      </c>
      <c r="T1714" t="s">
        <v>154</v>
      </c>
      <c r="W1714" t="s">
        <v>135</v>
      </c>
      <c r="AC1714" t="s">
        <v>143</v>
      </c>
      <c r="AE1714" t="s">
        <v>144</v>
      </c>
      <c r="AG1714">
        <v>3</v>
      </c>
      <c r="AH1714" t="s">
        <v>145</v>
      </c>
      <c r="AI1714" t="s">
        <v>146</v>
      </c>
      <c r="AJ1714" t="s">
        <v>131</v>
      </c>
      <c r="AK1714" t="s">
        <v>125</v>
      </c>
      <c r="AL1714">
        <v>6</v>
      </c>
      <c r="AM1714" t="s">
        <v>268</v>
      </c>
      <c r="AN1714" t="s">
        <v>125</v>
      </c>
      <c r="AO1714" t="s">
        <v>4043</v>
      </c>
      <c r="BP1714" t="s">
        <v>149</v>
      </c>
      <c r="BR1714" t="s">
        <v>135</v>
      </c>
      <c r="BS1714">
        <v>3</v>
      </c>
      <c r="BX1714" t="s">
        <v>136</v>
      </c>
      <c r="BZ1714" t="s">
        <v>137</v>
      </c>
    </row>
    <row r="1715" spans="1:78" x14ac:dyDescent="0.2">
      <c r="A1715" t="s">
        <v>119</v>
      </c>
      <c r="B1715" t="s">
        <v>120</v>
      </c>
      <c r="C1715" t="s">
        <v>4041</v>
      </c>
      <c r="D1715">
        <v>11</v>
      </c>
      <c r="E1715" t="s">
        <v>4029</v>
      </c>
      <c r="F1715" t="s">
        <v>261</v>
      </c>
      <c r="G1715" t="s">
        <v>124</v>
      </c>
      <c r="H1715" t="s">
        <v>125</v>
      </c>
      <c r="I1715">
        <v>8</v>
      </c>
      <c r="J1715" t="s">
        <v>161</v>
      </c>
      <c r="K1715" t="s">
        <v>125</v>
      </c>
      <c r="L1715" t="s">
        <v>4044</v>
      </c>
      <c r="U1715" t="s">
        <v>209</v>
      </c>
      <c r="W1715" t="s">
        <v>155</v>
      </c>
      <c r="X1715">
        <v>2</v>
      </c>
      <c r="AC1715" t="s">
        <v>136</v>
      </c>
      <c r="AE1715" t="s">
        <v>137</v>
      </c>
    </row>
    <row r="1716" spans="1:78" x14ac:dyDescent="0.2">
      <c r="A1716" t="s">
        <v>119</v>
      </c>
      <c r="B1716" t="s">
        <v>120</v>
      </c>
      <c r="C1716" t="s">
        <v>4041</v>
      </c>
      <c r="D1716">
        <v>13</v>
      </c>
      <c r="E1716" t="s">
        <v>3898</v>
      </c>
      <c r="F1716" t="s">
        <v>2774</v>
      </c>
      <c r="G1716" t="s">
        <v>124</v>
      </c>
      <c r="H1716" t="s">
        <v>125</v>
      </c>
      <c r="I1716">
        <v>11</v>
      </c>
      <c r="J1716" t="s">
        <v>268</v>
      </c>
      <c r="K1716" t="s">
        <v>125</v>
      </c>
      <c r="L1716" t="s">
        <v>4045</v>
      </c>
      <c r="U1716" t="s">
        <v>149</v>
      </c>
      <c r="W1716" t="s">
        <v>135</v>
      </c>
      <c r="X1716">
        <v>3</v>
      </c>
      <c r="AC1716" t="s">
        <v>136</v>
      </c>
      <c r="AE1716" t="s">
        <v>137</v>
      </c>
    </row>
    <row r="1717" spans="1:78" x14ac:dyDescent="0.2">
      <c r="A1717" t="s">
        <v>119</v>
      </c>
      <c r="B1717" t="s">
        <v>120</v>
      </c>
      <c r="C1717" t="s">
        <v>4041</v>
      </c>
      <c r="D1717">
        <v>19</v>
      </c>
      <c r="E1717" t="s">
        <v>4029</v>
      </c>
      <c r="F1717" t="s">
        <v>261</v>
      </c>
      <c r="G1717" t="s">
        <v>124</v>
      </c>
      <c r="H1717" t="s">
        <v>125</v>
      </c>
      <c r="I1717">
        <v>13</v>
      </c>
      <c r="J1717" t="s">
        <v>161</v>
      </c>
      <c r="K1717" t="s">
        <v>125</v>
      </c>
      <c r="L1717" t="s">
        <v>4046</v>
      </c>
      <c r="U1717" t="s">
        <v>149</v>
      </c>
      <c r="W1717" t="s">
        <v>155</v>
      </c>
      <c r="X1717">
        <v>2</v>
      </c>
      <c r="AC1717" t="s">
        <v>136</v>
      </c>
      <c r="AE1717" t="s">
        <v>137</v>
      </c>
      <c r="AG1717">
        <v>21</v>
      </c>
      <c r="AH1717" t="s">
        <v>4047</v>
      </c>
      <c r="AI1717" t="s">
        <v>146</v>
      </c>
      <c r="AJ1717" t="s">
        <v>131</v>
      </c>
      <c r="AK1717" t="s">
        <v>125</v>
      </c>
      <c r="AL1717">
        <v>19</v>
      </c>
      <c r="AM1717" t="s">
        <v>268</v>
      </c>
      <c r="AN1717" t="s">
        <v>125</v>
      </c>
      <c r="AO1717" t="s">
        <v>4048</v>
      </c>
      <c r="BP1717" t="s">
        <v>149</v>
      </c>
      <c r="BR1717" t="s">
        <v>135</v>
      </c>
      <c r="BS1717">
        <v>3</v>
      </c>
      <c r="BX1717" t="s">
        <v>136</v>
      </c>
      <c r="BZ1717" t="s">
        <v>137</v>
      </c>
    </row>
    <row r="1718" spans="1:78" hidden="1" x14ac:dyDescent="0.2">
      <c r="A1718" t="s">
        <v>119</v>
      </c>
      <c r="B1718" t="s">
        <v>120</v>
      </c>
      <c r="C1718" t="s">
        <v>4049</v>
      </c>
      <c r="D1718">
        <v>6</v>
      </c>
      <c r="E1718" t="s">
        <v>4050</v>
      </c>
      <c r="F1718" t="s">
        <v>4051</v>
      </c>
      <c r="G1718" t="s">
        <v>124</v>
      </c>
      <c r="H1718" t="s">
        <v>125</v>
      </c>
      <c r="I1718">
        <v>0</v>
      </c>
      <c r="J1718" t="s">
        <v>126</v>
      </c>
      <c r="K1718" t="s">
        <v>125</v>
      </c>
      <c r="L1718" t="s">
        <v>4052</v>
      </c>
      <c r="T1718" t="s">
        <v>142</v>
      </c>
      <c r="W1718" t="s">
        <v>135</v>
      </c>
      <c r="AC1718" t="s">
        <v>143</v>
      </c>
      <c r="AE1718" t="s">
        <v>144</v>
      </c>
      <c r="AG1718">
        <v>5</v>
      </c>
      <c r="AH1718" t="s">
        <v>145</v>
      </c>
      <c r="AI1718" t="s">
        <v>146</v>
      </c>
      <c r="AJ1718" t="s">
        <v>131</v>
      </c>
      <c r="AK1718" t="s">
        <v>125</v>
      </c>
      <c r="AL1718">
        <v>6</v>
      </c>
      <c r="AM1718" t="s">
        <v>132</v>
      </c>
      <c r="AN1718" t="s">
        <v>125</v>
      </c>
      <c r="AO1718" t="s">
        <v>4053</v>
      </c>
      <c r="BP1718" t="s">
        <v>149</v>
      </c>
      <c r="BR1718" t="s">
        <v>135</v>
      </c>
      <c r="BS1718">
        <v>3</v>
      </c>
      <c r="BX1718" t="s">
        <v>136</v>
      </c>
      <c r="BZ1718" t="s">
        <v>137</v>
      </c>
    </row>
    <row r="1719" spans="1:78" x14ac:dyDescent="0.2">
      <c r="A1719" t="s">
        <v>119</v>
      </c>
      <c r="B1719" t="s">
        <v>120</v>
      </c>
      <c r="C1719" t="s">
        <v>4049</v>
      </c>
      <c r="D1719">
        <v>11</v>
      </c>
      <c r="E1719" t="s">
        <v>1148</v>
      </c>
      <c r="F1719" t="s">
        <v>1149</v>
      </c>
      <c r="G1719" t="s">
        <v>124</v>
      </c>
      <c r="H1719" t="s">
        <v>125</v>
      </c>
      <c r="I1719">
        <v>6</v>
      </c>
      <c r="J1719" t="s">
        <v>161</v>
      </c>
      <c r="K1719" t="s">
        <v>125</v>
      </c>
      <c r="L1719" t="s">
        <v>4054</v>
      </c>
      <c r="U1719" t="s">
        <v>149</v>
      </c>
      <c r="W1719" t="s">
        <v>135</v>
      </c>
      <c r="X1719">
        <v>3</v>
      </c>
      <c r="AC1719" t="s">
        <v>136</v>
      </c>
      <c r="AE1719" t="s">
        <v>137</v>
      </c>
    </row>
    <row r="1720" spans="1:78" x14ac:dyDescent="0.2">
      <c r="A1720" t="s">
        <v>119</v>
      </c>
      <c r="B1720" t="s">
        <v>120</v>
      </c>
      <c r="C1720" t="s">
        <v>4055</v>
      </c>
      <c r="D1720">
        <v>2</v>
      </c>
      <c r="E1720" t="s">
        <v>232</v>
      </c>
      <c r="F1720" t="s">
        <v>205</v>
      </c>
      <c r="G1720" t="s">
        <v>124</v>
      </c>
      <c r="H1720" t="s">
        <v>125</v>
      </c>
      <c r="I1720">
        <v>0</v>
      </c>
      <c r="J1720" t="s">
        <v>126</v>
      </c>
      <c r="K1720" t="s">
        <v>125</v>
      </c>
      <c r="L1720" t="s">
        <v>4056</v>
      </c>
      <c r="U1720" t="s">
        <v>149</v>
      </c>
      <c r="W1720" t="s">
        <v>155</v>
      </c>
      <c r="X1720">
        <v>1</v>
      </c>
      <c r="AC1720" t="s">
        <v>136</v>
      </c>
      <c r="AE1720" t="s">
        <v>137</v>
      </c>
    </row>
    <row r="1721" spans="1:78" hidden="1" x14ac:dyDescent="0.2">
      <c r="A1721" t="s">
        <v>119</v>
      </c>
      <c r="B1721" t="s">
        <v>120</v>
      </c>
      <c r="C1721" t="s">
        <v>4057</v>
      </c>
      <c r="D1721">
        <v>4</v>
      </c>
      <c r="E1721" t="s">
        <v>4058</v>
      </c>
      <c r="F1721" t="s">
        <v>1555</v>
      </c>
      <c r="G1721" t="s">
        <v>124</v>
      </c>
      <c r="H1721" t="s">
        <v>125</v>
      </c>
      <c r="I1721">
        <v>2</v>
      </c>
      <c r="J1721" t="s">
        <v>294</v>
      </c>
      <c r="K1721" t="s">
        <v>125</v>
      </c>
      <c r="L1721" t="s">
        <v>4059</v>
      </c>
      <c r="T1721" t="s">
        <v>154</v>
      </c>
      <c r="W1721" t="s">
        <v>135</v>
      </c>
    </row>
    <row r="1722" spans="1:78" x14ac:dyDescent="0.2">
      <c r="A1722" t="s">
        <v>119</v>
      </c>
      <c r="B1722" t="s">
        <v>120</v>
      </c>
      <c r="C1722" t="s">
        <v>4057</v>
      </c>
      <c r="D1722">
        <v>7</v>
      </c>
      <c r="E1722" t="s">
        <v>3913</v>
      </c>
      <c r="F1722" t="s">
        <v>202</v>
      </c>
      <c r="G1722" t="s">
        <v>124</v>
      </c>
      <c r="H1722" t="s">
        <v>125</v>
      </c>
      <c r="I1722">
        <v>2</v>
      </c>
      <c r="J1722" t="s">
        <v>199</v>
      </c>
      <c r="K1722" t="s">
        <v>125</v>
      </c>
      <c r="L1722" t="s">
        <v>4060</v>
      </c>
      <c r="U1722" t="s">
        <v>209</v>
      </c>
      <c r="W1722" t="s">
        <v>155</v>
      </c>
      <c r="X1722">
        <v>1</v>
      </c>
      <c r="AC1722" t="s">
        <v>136</v>
      </c>
      <c r="AE1722" t="s">
        <v>137</v>
      </c>
    </row>
    <row r="1723" spans="1:78" x14ac:dyDescent="0.2">
      <c r="A1723" t="s">
        <v>119</v>
      </c>
      <c r="B1723" t="s">
        <v>120</v>
      </c>
      <c r="C1723" t="s">
        <v>4057</v>
      </c>
      <c r="D1723">
        <v>10</v>
      </c>
      <c r="E1723" t="s">
        <v>4061</v>
      </c>
      <c r="F1723" t="s">
        <v>123</v>
      </c>
      <c r="G1723" t="s">
        <v>124</v>
      </c>
      <c r="H1723" t="s">
        <v>125</v>
      </c>
      <c r="I1723">
        <v>7</v>
      </c>
      <c r="J1723" t="s">
        <v>268</v>
      </c>
      <c r="K1723" t="s">
        <v>125</v>
      </c>
      <c r="L1723" t="s">
        <v>4062</v>
      </c>
      <c r="U1723" t="s">
        <v>149</v>
      </c>
      <c r="W1723" t="s">
        <v>155</v>
      </c>
      <c r="X1723">
        <v>1</v>
      </c>
      <c r="AC1723" t="s">
        <v>136</v>
      </c>
      <c r="AE1723" t="s">
        <v>137</v>
      </c>
    </row>
    <row r="1724" spans="1:78" x14ac:dyDescent="0.2">
      <c r="A1724" t="s">
        <v>119</v>
      </c>
      <c r="B1724" t="s">
        <v>120</v>
      </c>
      <c r="C1724" t="s">
        <v>4063</v>
      </c>
      <c r="D1724">
        <v>1</v>
      </c>
      <c r="E1724" t="s">
        <v>145</v>
      </c>
      <c r="F1724" t="s">
        <v>146</v>
      </c>
      <c r="G1724" t="s">
        <v>124</v>
      </c>
      <c r="H1724" t="s">
        <v>125</v>
      </c>
      <c r="I1724">
        <v>0</v>
      </c>
      <c r="J1724" t="s">
        <v>126</v>
      </c>
      <c r="K1724" t="s">
        <v>125</v>
      </c>
      <c r="L1724" t="s">
        <v>4064</v>
      </c>
      <c r="U1724" t="s">
        <v>149</v>
      </c>
      <c r="W1724" t="s">
        <v>135</v>
      </c>
      <c r="X1724">
        <v>3</v>
      </c>
      <c r="AC1724" t="s">
        <v>136</v>
      </c>
      <c r="AE1724" t="s">
        <v>137</v>
      </c>
    </row>
    <row r="1725" spans="1:78" x14ac:dyDescent="0.2">
      <c r="A1725" t="s">
        <v>119</v>
      </c>
      <c r="B1725" t="s">
        <v>120</v>
      </c>
      <c r="C1725" t="s">
        <v>4065</v>
      </c>
      <c r="D1725">
        <v>2</v>
      </c>
      <c r="E1725" t="s">
        <v>4066</v>
      </c>
      <c r="F1725" t="s">
        <v>4067</v>
      </c>
      <c r="G1725" t="s">
        <v>124</v>
      </c>
      <c r="H1725" t="s">
        <v>125</v>
      </c>
      <c r="I1725">
        <v>0</v>
      </c>
      <c r="J1725" t="s">
        <v>126</v>
      </c>
      <c r="K1725" t="s">
        <v>125</v>
      </c>
      <c r="L1725" t="s">
        <v>4068</v>
      </c>
      <c r="U1725" t="s">
        <v>149</v>
      </c>
      <c r="W1725" t="s">
        <v>155</v>
      </c>
      <c r="X1725">
        <v>1</v>
      </c>
      <c r="AC1725" t="s">
        <v>136</v>
      </c>
      <c r="AE1725" t="s">
        <v>137</v>
      </c>
    </row>
    <row r="1726" spans="1:78" x14ac:dyDescent="0.2">
      <c r="A1726" t="s">
        <v>119</v>
      </c>
      <c r="B1726" t="s">
        <v>120</v>
      </c>
      <c r="C1726" t="s">
        <v>4069</v>
      </c>
      <c r="D1726">
        <v>6</v>
      </c>
      <c r="E1726" t="s">
        <v>232</v>
      </c>
      <c r="F1726" t="s">
        <v>205</v>
      </c>
      <c r="G1726" t="s">
        <v>124</v>
      </c>
      <c r="H1726" t="s">
        <v>125</v>
      </c>
      <c r="I1726">
        <v>3</v>
      </c>
      <c r="J1726" t="s">
        <v>170</v>
      </c>
      <c r="K1726" t="s">
        <v>125</v>
      </c>
      <c r="L1726" t="s">
        <v>4070</v>
      </c>
      <c r="U1726" t="s">
        <v>149</v>
      </c>
      <c r="W1726" t="s">
        <v>155</v>
      </c>
      <c r="X1726">
        <v>1</v>
      </c>
      <c r="AC1726" t="s">
        <v>136</v>
      </c>
      <c r="AE1726" t="s">
        <v>137</v>
      </c>
    </row>
    <row r="1727" spans="1:78" x14ac:dyDescent="0.2">
      <c r="A1727" t="s">
        <v>119</v>
      </c>
      <c r="B1727" t="s">
        <v>120</v>
      </c>
      <c r="C1727" t="s">
        <v>4069</v>
      </c>
      <c r="D1727">
        <v>14</v>
      </c>
      <c r="E1727" t="s">
        <v>1368</v>
      </c>
      <c r="F1727" t="s">
        <v>123</v>
      </c>
      <c r="G1727" t="s">
        <v>124</v>
      </c>
      <c r="H1727" t="s">
        <v>125</v>
      </c>
      <c r="I1727">
        <v>12</v>
      </c>
      <c r="J1727" t="s">
        <v>170</v>
      </c>
      <c r="K1727" t="s">
        <v>125</v>
      </c>
      <c r="L1727" t="s">
        <v>4071</v>
      </c>
      <c r="U1727" t="s">
        <v>149</v>
      </c>
      <c r="W1727" t="s">
        <v>135</v>
      </c>
      <c r="X1727">
        <v>3</v>
      </c>
      <c r="AC1727" t="s">
        <v>136</v>
      </c>
      <c r="AE1727" t="s">
        <v>137</v>
      </c>
    </row>
    <row r="1728" spans="1:78" x14ac:dyDescent="0.2">
      <c r="A1728" t="s">
        <v>119</v>
      </c>
      <c r="B1728" t="s">
        <v>120</v>
      </c>
      <c r="C1728" t="s">
        <v>4072</v>
      </c>
      <c r="D1728">
        <v>3</v>
      </c>
      <c r="E1728" t="s">
        <v>3461</v>
      </c>
      <c r="F1728" t="s">
        <v>572</v>
      </c>
      <c r="G1728" t="s">
        <v>124</v>
      </c>
      <c r="H1728" t="s">
        <v>125</v>
      </c>
      <c r="I1728">
        <v>0</v>
      </c>
      <c r="J1728" t="s">
        <v>126</v>
      </c>
      <c r="K1728" t="s">
        <v>125</v>
      </c>
      <c r="L1728" t="s">
        <v>4073</v>
      </c>
      <c r="U1728" t="s">
        <v>149</v>
      </c>
      <c r="W1728" t="s">
        <v>155</v>
      </c>
      <c r="X1728">
        <v>1</v>
      </c>
      <c r="AC1728" t="s">
        <v>136</v>
      </c>
      <c r="AE1728" t="s">
        <v>137</v>
      </c>
    </row>
    <row r="1729" spans="1:78" x14ac:dyDescent="0.2">
      <c r="A1729" t="s">
        <v>119</v>
      </c>
      <c r="B1729" t="s">
        <v>120</v>
      </c>
      <c r="C1729" t="s">
        <v>4074</v>
      </c>
      <c r="D1729">
        <v>1</v>
      </c>
      <c r="E1729" t="s">
        <v>4075</v>
      </c>
      <c r="F1729" t="s">
        <v>1725</v>
      </c>
      <c r="G1729" t="s">
        <v>124</v>
      </c>
      <c r="H1729" t="s">
        <v>125</v>
      </c>
      <c r="I1729">
        <v>0</v>
      </c>
      <c r="J1729" t="s">
        <v>126</v>
      </c>
      <c r="K1729" t="s">
        <v>125</v>
      </c>
      <c r="L1729" t="s">
        <v>4076</v>
      </c>
      <c r="U1729" t="s">
        <v>209</v>
      </c>
      <c r="W1729" t="s">
        <v>155</v>
      </c>
      <c r="X1729">
        <v>2</v>
      </c>
      <c r="AC1729" t="s">
        <v>136</v>
      </c>
      <c r="AE1729" t="s">
        <v>137</v>
      </c>
    </row>
    <row r="1730" spans="1:78" x14ac:dyDescent="0.2">
      <c r="A1730" t="s">
        <v>119</v>
      </c>
      <c r="B1730" t="s">
        <v>120</v>
      </c>
      <c r="C1730" t="s">
        <v>4077</v>
      </c>
      <c r="D1730">
        <v>2</v>
      </c>
      <c r="E1730" t="s">
        <v>3461</v>
      </c>
      <c r="F1730" t="s">
        <v>572</v>
      </c>
      <c r="G1730" t="s">
        <v>124</v>
      </c>
      <c r="H1730" t="s">
        <v>125</v>
      </c>
      <c r="I1730">
        <v>0</v>
      </c>
      <c r="J1730" t="s">
        <v>126</v>
      </c>
      <c r="K1730" t="s">
        <v>125</v>
      </c>
      <c r="L1730" t="s">
        <v>4078</v>
      </c>
      <c r="U1730" t="s">
        <v>149</v>
      </c>
      <c r="W1730" t="s">
        <v>155</v>
      </c>
      <c r="X1730">
        <v>1</v>
      </c>
      <c r="AC1730" t="s">
        <v>136</v>
      </c>
      <c r="AE1730" t="s">
        <v>137</v>
      </c>
    </row>
    <row r="1731" spans="1:78" hidden="1" x14ac:dyDescent="0.2">
      <c r="A1731" t="s">
        <v>119</v>
      </c>
      <c r="B1731" t="s">
        <v>120</v>
      </c>
      <c r="C1731" t="s">
        <v>4079</v>
      </c>
      <c r="D1731">
        <v>5</v>
      </c>
      <c r="E1731" t="s">
        <v>140</v>
      </c>
      <c r="F1731" t="s">
        <v>140</v>
      </c>
      <c r="G1731" t="s">
        <v>124</v>
      </c>
      <c r="H1731" t="s">
        <v>125</v>
      </c>
      <c r="I1731">
        <v>4</v>
      </c>
      <c r="J1731" t="s">
        <v>367</v>
      </c>
      <c r="K1731" t="s">
        <v>125</v>
      </c>
      <c r="L1731" t="s">
        <v>4080</v>
      </c>
      <c r="AE1731" t="s">
        <v>128</v>
      </c>
    </row>
    <row r="1732" spans="1:78" hidden="1" x14ac:dyDescent="0.2">
      <c r="A1732" t="s">
        <v>119</v>
      </c>
      <c r="B1732" t="s">
        <v>120</v>
      </c>
      <c r="C1732" t="s">
        <v>4081</v>
      </c>
      <c r="D1732">
        <v>5</v>
      </c>
      <c r="E1732" t="s">
        <v>1836</v>
      </c>
      <c r="F1732" t="s">
        <v>1836</v>
      </c>
      <c r="G1732" t="s">
        <v>124</v>
      </c>
      <c r="H1732" t="s">
        <v>125</v>
      </c>
      <c r="I1732">
        <v>0</v>
      </c>
      <c r="J1732" t="s">
        <v>126</v>
      </c>
      <c r="K1732" t="s">
        <v>125</v>
      </c>
      <c r="L1732" t="s">
        <v>4082</v>
      </c>
      <c r="AE1732" t="s">
        <v>128</v>
      </c>
      <c r="AG1732">
        <v>4</v>
      </c>
      <c r="AH1732" t="s">
        <v>4083</v>
      </c>
      <c r="AI1732" t="s">
        <v>667</v>
      </c>
      <c r="AJ1732" t="s">
        <v>131</v>
      </c>
      <c r="AK1732" t="s">
        <v>125</v>
      </c>
      <c r="AL1732">
        <v>5</v>
      </c>
      <c r="AM1732" t="s">
        <v>132</v>
      </c>
      <c r="AN1732" t="s">
        <v>125</v>
      </c>
      <c r="AO1732" t="s">
        <v>4084</v>
      </c>
      <c r="BP1732" t="s">
        <v>149</v>
      </c>
      <c r="BR1732" t="s">
        <v>155</v>
      </c>
      <c r="BS1732">
        <v>1</v>
      </c>
      <c r="BX1732" t="s">
        <v>136</v>
      </c>
      <c r="BZ1732" t="s">
        <v>137</v>
      </c>
    </row>
    <row r="1733" spans="1:78" hidden="1" x14ac:dyDescent="0.2">
      <c r="A1733" t="s">
        <v>119</v>
      </c>
      <c r="B1733" t="s">
        <v>120</v>
      </c>
      <c r="C1733" t="s">
        <v>4085</v>
      </c>
      <c r="D1733">
        <v>2</v>
      </c>
      <c r="E1733" t="s">
        <v>728</v>
      </c>
      <c r="F1733" t="s">
        <v>728</v>
      </c>
      <c r="G1733" t="s">
        <v>124</v>
      </c>
      <c r="H1733" t="s">
        <v>125</v>
      </c>
      <c r="I1733">
        <v>5</v>
      </c>
      <c r="J1733" t="s">
        <v>268</v>
      </c>
      <c r="K1733" t="s">
        <v>125</v>
      </c>
      <c r="L1733" t="s">
        <v>4086</v>
      </c>
      <c r="AE1733" t="s">
        <v>128</v>
      </c>
    </row>
    <row r="1734" spans="1:78" x14ac:dyDescent="0.2">
      <c r="A1734" t="s">
        <v>119</v>
      </c>
      <c r="B1734" t="s">
        <v>120</v>
      </c>
      <c r="C1734" t="s">
        <v>4085</v>
      </c>
      <c r="D1734">
        <v>5</v>
      </c>
      <c r="E1734" t="s">
        <v>3584</v>
      </c>
      <c r="F1734" t="s">
        <v>1001</v>
      </c>
      <c r="G1734" t="s">
        <v>124</v>
      </c>
      <c r="H1734" t="s">
        <v>125</v>
      </c>
      <c r="I1734">
        <v>0</v>
      </c>
      <c r="J1734" t="s">
        <v>126</v>
      </c>
      <c r="K1734" t="s">
        <v>125</v>
      </c>
      <c r="L1734" t="s">
        <v>4087</v>
      </c>
      <c r="U1734" t="s">
        <v>149</v>
      </c>
      <c r="W1734" t="s">
        <v>155</v>
      </c>
      <c r="X1734">
        <v>3</v>
      </c>
      <c r="AC1734" t="s">
        <v>136</v>
      </c>
      <c r="AE1734" t="s">
        <v>137</v>
      </c>
    </row>
    <row r="1735" spans="1:78" x14ac:dyDescent="0.2">
      <c r="A1735" t="s">
        <v>119</v>
      </c>
      <c r="B1735" t="s">
        <v>120</v>
      </c>
      <c r="C1735" t="s">
        <v>4085</v>
      </c>
      <c r="D1735">
        <v>10</v>
      </c>
      <c r="E1735" t="s">
        <v>160</v>
      </c>
      <c r="F1735" t="s">
        <v>146</v>
      </c>
      <c r="G1735" t="s">
        <v>124</v>
      </c>
      <c r="H1735" t="s">
        <v>125</v>
      </c>
      <c r="I1735">
        <v>5</v>
      </c>
      <c r="J1735" t="s">
        <v>161</v>
      </c>
      <c r="K1735" t="s">
        <v>125</v>
      </c>
      <c r="L1735" t="s">
        <v>4088</v>
      </c>
      <c r="U1735" t="s">
        <v>149</v>
      </c>
      <c r="W1735" t="s">
        <v>155</v>
      </c>
      <c r="X1735">
        <v>3</v>
      </c>
      <c r="AC1735" t="s">
        <v>136</v>
      </c>
      <c r="AE1735" t="s">
        <v>137</v>
      </c>
    </row>
    <row r="1736" spans="1:78" x14ac:dyDescent="0.2">
      <c r="A1736" t="s">
        <v>119</v>
      </c>
      <c r="B1736" t="s">
        <v>120</v>
      </c>
      <c r="C1736" t="s">
        <v>4089</v>
      </c>
      <c r="D1736">
        <v>4</v>
      </c>
      <c r="E1736" t="s">
        <v>2163</v>
      </c>
      <c r="F1736" t="s">
        <v>140</v>
      </c>
      <c r="G1736" t="s">
        <v>124</v>
      </c>
      <c r="H1736" t="s">
        <v>125</v>
      </c>
      <c r="I1736">
        <v>7</v>
      </c>
      <c r="J1736" t="s">
        <v>268</v>
      </c>
      <c r="K1736" t="s">
        <v>125</v>
      </c>
      <c r="L1736" t="s">
        <v>4090</v>
      </c>
      <c r="U1736" t="s">
        <v>149</v>
      </c>
      <c r="W1736" t="s">
        <v>135</v>
      </c>
      <c r="X1736">
        <v>1</v>
      </c>
      <c r="AC1736" t="s">
        <v>136</v>
      </c>
      <c r="AE1736" t="s">
        <v>137</v>
      </c>
    </row>
    <row r="1737" spans="1:78" x14ac:dyDescent="0.2">
      <c r="A1737" t="s">
        <v>119</v>
      </c>
      <c r="B1737" t="s">
        <v>120</v>
      </c>
      <c r="C1737" t="s">
        <v>4089</v>
      </c>
      <c r="D1737">
        <v>7</v>
      </c>
      <c r="E1737" t="s">
        <v>1526</v>
      </c>
      <c r="F1737" t="s">
        <v>667</v>
      </c>
      <c r="G1737" t="s">
        <v>124</v>
      </c>
      <c r="H1737" t="s">
        <v>125</v>
      </c>
      <c r="I1737">
        <v>0</v>
      </c>
      <c r="J1737" t="s">
        <v>126</v>
      </c>
      <c r="K1737" t="s">
        <v>125</v>
      </c>
      <c r="L1737" t="s">
        <v>4091</v>
      </c>
      <c r="U1737" t="s">
        <v>149</v>
      </c>
      <c r="W1737" t="s">
        <v>135</v>
      </c>
      <c r="X1737">
        <v>1</v>
      </c>
      <c r="AC1737" t="s">
        <v>136</v>
      </c>
      <c r="AE1737" t="s">
        <v>137</v>
      </c>
    </row>
    <row r="1738" spans="1:78" hidden="1" x14ac:dyDescent="0.2">
      <c r="A1738" t="s">
        <v>119</v>
      </c>
      <c r="B1738" t="s">
        <v>120</v>
      </c>
      <c r="C1738" t="s">
        <v>4089</v>
      </c>
      <c r="D1738">
        <v>8</v>
      </c>
      <c r="E1738" t="s">
        <v>3093</v>
      </c>
      <c r="F1738" t="s">
        <v>3093</v>
      </c>
      <c r="G1738" t="s">
        <v>124</v>
      </c>
      <c r="H1738" t="s">
        <v>125</v>
      </c>
      <c r="I1738">
        <v>7</v>
      </c>
      <c r="J1738" t="s">
        <v>294</v>
      </c>
      <c r="K1738" t="s">
        <v>125</v>
      </c>
      <c r="L1738" t="s">
        <v>4092</v>
      </c>
      <c r="AE1738" t="s">
        <v>128</v>
      </c>
    </row>
    <row r="1739" spans="1:78" hidden="1" x14ac:dyDescent="0.2">
      <c r="A1739" t="s">
        <v>119</v>
      </c>
      <c r="B1739" t="s">
        <v>120</v>
      </c>
      <c r="C1739" t="s">
        <v>4093</v>
      </c>
      <c r="D1739">
        <v>4</v>
      </c>
      <c r="E1739" t="s">
        <v>3093</v>
      </c>
      <c r="F1739" t="s">
        <v>3093</v>
      </c>
      <c r="G1739" t="s">
        <v>124</v>
      </c>
      <c r="H1739" t="s">
        <v>125</v>
      </c>
      <c r="I1739">
        <v>15</v>
      </c>
      <c r="J1739" t="s">
        <v>268</v>
      </c>
      <c r="K1739" t="s">
        <v>125</v>
      </c>
      <c r="L1739" t="s">
        <v>4094</v>
      </c>
      <c r="AE1739" t="s">
        <v>128</v>
      </c>
      <c r="AG1739">
        <v>3</v>
      </c>
      <c r="AH1739" t="s">
        <v>1526</v>
      </c>
      <c r="AI1739" t="s">
        <v>667</v>
      </c>
      <c r="AJ1739" t="s">
        <v>131</v>
      </c>
      <c r="AK1739" t="s">
        <v>125</v>
      </c>
      <c r="AL1739">
        <v>4</v>
      </c>
      <c r="AM1739" t="s">
        <v>132</v>
      </c>
      <c r="AN1739" t="s">
        <v>125</v>
      </c>
      <c r="AO1739" t="s">
        <v>4095</v>
      </c>
      <c r="BP1739" t="s">
        <v>149</v>
      </c>
      <c r="BR1739" t="s">
        <v>135</v>
      </c>
      <c r="BS1739">
        <v>1</v>
      </c>
      <c r="BX1739" t="s">
        <v>136</v>
      </c>
      <c r="BZ1739" t="s">
        <v>137</v>
      </c>
    </row>
    <row r="1740" spans="1:78" x14ac:dyDescent="0.2">
      <c r="A1740" t="s">
        <v>119</v>
      </c>
      <c r="B1740" t="s">
        <v>120</v>
      </c>
      <c r="C1740" t="s">
        <v>4093</v>
      </c>
      <c r="D1740">
        <v>15</v>
      </c>
      <c r="E1740" t="s">
        <v>2163</v>
      </c>
      <c r="F1740" t="s">
        <v>140</v>
      </c>
      <c r="G1740" t="s">
        <v>124</v>
      </c>
      <c r="H1740" t="s">
        <v>125</v>
      </c>
      <c r="I1740">
        <v>0</v>
      </c>
      <c r="J1740" t="s">
        <v>126</v>
      </c>
      <c r="K1740" t="s">
        <v>125</v>
      </c>
      <c r="L1740" t="s">
        <v>4096</v>
      </c>
      <c r="U1740" t="s">
        <v>149</v>
      </c>
      <c r="W1740" t="s">
        <v>135</v>
      </c>
      <c r="X1740">
        <v>1</v>
      </c>
      <c r="AC1740" t="s">
        <v>136</v>
      </c>
      <c r="AE1740" t="s">
        <v>137</v>
      </c>
    </row>
    <row r="1741" spans="1:78" x14ac:dyDescent="0.2">
      <c r="A1741" t="s">
        <v>119</v>
      </c>
      <c r="B1741" t="s">
        <v>120</v>
      </c>
      <c r="C1741" t="s">
        <v>4097</v>
      </c>
      <c r="D1741">
        <v>1</v>
      </c>
      <c r="E1741" t="s">
        <v>974</v>
      </c>
      <c r="F1741" t="s">
        <v>350</v>
      </c>
      <c r="G1741" t="s">
        <v>124</v>
      </c>
      <c r="H1741" t="s">
        <v>125</v>
      </c>
      <c r="I1741">
        <v>0</v>
      </c>
      <c r="J1741" t="s">
        <v>126</v>
      </c>
      <c r="K1741" t="s">
        <v>125</v>
      </c>
      <c r="L1741" t="s">
        <v>4098</v>
      </c>
      <c r="U1741" t="s">
        <v>149</v>
      </c>
      <c r="W1741" t="s">
        <v>135</v>
      </c>
      <c r="X1741">
        <v>1</v>
      </c>
      <c r="AC1741" t="s">
        <v>136</v>
      </c>
      <c r="AE1741" t="s">
        <v>137</v>
      </c>
    </row>
    <row r="1742" spans="1:78" x14ac:dyDescent="0.2">
      <c r="A1742" t="s">
        <v>119</v>
      </c>
      <c r="B1742" t="s">
        <v>120</v>
      </c>
      <c r="C1742" t="s">
        <v>4097</v>
      </c>
      <c r="D1742">
        <v>6</v>
      </c>
      <c r="E1742" t="s">
        <v>1558</v>
      </c>
      <c r="F1742" t="s">
        <v>123</v>
      </c>
      <c r="G1742" t="s">
        <v>124</v>
      </c>
      <c r="H1742" t="s">
        <v>125</v>
      </c>
      <c r="I1742">
        <v>3</v>
      </c>
      <c r="J1742" t="s">
        <v>170</v>
      </c>
      <c r="K1742" t="s">
        <v>125</v>
      </c>
      <c r="L1742" t="s">
        <v>4099</v>
      </c>
      <c r="U1742" t="s">
        <v>149</v>
      </c>
      <c r="W1742" t="s">
        <v>155</v>
      </c>
      <c r="X1742">
        <v>3</v>
      </c>
      <c r="AC1742" t="s">
        <v>136</v>
      </c>
      <c r="AE1742" t="s">
        <v>137</v>
      </c>
    </row>
    <row r="1743" spans="1:78" x14ac:dyDescent="0.2">
      <c r="A1743" t="s">
        <v>119</v>
      </c>
      <c r="B1743" t="s">
        <v>120</v>
      </c>
      <c r="C1743" t="s">
        <v>4097</v>
      </c>
      <c r="D1743">
        <v>9</v>
      </c>
      <c r="E1743" t="s">
        <v>2163</v>
      </c>
      <c r="F1743" t="s">
        <v>140</v>
      </c>
      <c r="G1743" t="s">
        <v>124</v>
      </c>
      <c r="H1743" t="s">
        <v>125</v>
      </c>
      <c r="I1743">
        <v>1</v>
      </c>
      <c r="J1743" t="s">
        <v>161</v>
      </c>
      <c r="K1743" t="s">
        <v>125</v>
      </c>
      <c r="L1743" t="s">
        <v>4100</v>
      </c>
      <c r="U1743" t="s">
        <v>149</v>
      </c>
      <c r="W1743" t="s">
        <v>135</v>
      </c>
      <c r="X1743">
        <v>1</v>
      </c>
      <c r="AC1743" t="s">
        <v>136</v>
      </c>
      <c r="AE1743" t="s">
        <v>137</v>
      </c>
    </row>
    <row r="1744" spans="1:78" x14ac:dyDescent="0.2">
      <c r="A1744" t="s">
        <v>119</v>
      </c>
      <c r="B1744" t="s">
        <v>120</v>
      </c>
      <c r="C1744" t="s">
        <v>4101</v>
      </c>
      <c r="D1744">
        <v>2</v>
      </c>
      <c r="E1744" t="s">
        <v>4102</v>
      </c>
      <c r="F1744" t="s">
        <v>3240</v>
      </c>
      <c r="G1744" t="s">
        <v>124</v>
      </c>
      <c r="H1744" t="s">
        <v>125</v>
      </c>
      <c r="I1744">
        <v>0</v>
      </c>
      <c r="J1744" t="s">
        <v>126</v>
      </c>
      <c r="K1744" t="s">
        <v>125</v>
      </c>
      <c r="L1744" t="s">
        <v>4103</v>
      </c>
      <c r="U1744" t="s">
        <v>149</v>
      </c>
      <c r="W1744" t="s">
        <v>135</v>
      </c>
      <c r="X1744">
        <v>1</v>
      </c>
      <c r="AC1744" t="s">
        <v>136</v>
      </c>
      <c r="AE1744" t="s">
        <v>137</v>
      </c>
    </row>
    <row r="1745" spans="1:78" hidden="1" x14ac:dyDescent="0.2">
      <c r="A1745" t="s">
        <v>119</v>
      </c>
      <c r="B1745" t="s">
        <v>120</v>
      </c>
      <c r="C1745" t="s">
        <v>4104</v>
      </c>
      <c r="D1745">
        <v>1</v>
      </c>
      <c r="E1745" t="s">
        <v>392</v>
      </c>
      <c r="F1745" t="s">
        <v>373</v>
      </c>
      <c r="G1745" t="s">
        <v>124</v>
      </c>
      <c r="H1745" t="s">
        <v>125</v>
      </c>
      <c r="I1745">
        <v>0</v>
      </c>
      <c r="J1745" t="s">
        <v>126</v>
      </c>
      <c r="K1745" t="s">
        <v>125</v>
      </c>
      <c r="L1745" t="s">
        <v>1220</v>
      </c>
      <c r="AE1745" t="s">
        <v>394</v>
      </c>
    </row>
    <row r="1746" spans="1:78" x14ac:dyDescent="0.2">
      <c r="A1746" t="s">
        <v>119</v>
      </c>
      <c r="B1746" t="s">
        <v>120</v>
      </c>
      <c r="C1746" t="s">
        <v>4105</v>
      </c>
      <c r="D1746">
        <v>9</v>
      </c>
      <c r="E1746" t="s">
        <v>145</v>
      </c>
      <c r="F1746" t="s">
        <v>146</v>
      </c>
      <c r="G1746" t="s">
        <v>124</v>
      </c>
      <c r="H1746" t="s">
        <v>125</v>
      </c>
      <c r="I1746">
        <v>6</v>
      </c>
      <c r="J1746" t="s">
        <v>170</v>
      </c>
      <c r="K1746" t="s">
        <v>125</v>
      </c>
      <c r="L1746" t="s">
        <v>4106</v>
      </c>
      <c r="U1746" t="s">
        <v>149</v>
      </c>
      <c r="W1746" t="s">
        <v>135</v>
      </c>
      <c r="X1746">
        <v>3</v>
      </c>
      <c r="AC1746" t="s">
        <v>136</v>
      </c>
      <c r="AE1746" t="s">
        <v>137</v>
      </c>
    </row>
    <row r="1747" spans="1:78" x14ac:dyDescent="0.2">
      <c r="A1747" t="s">
        <v>119</v>
      </c>
      <c r="B1747" t="s">
        <v>120</v>
      </c>
      <c r="C1747" t="s">
        <v>4105</v>
      </c>
      <c r="D1747">
        <v>13</v>
      </c>
      <c r="E1747" t="s">
        <v>4107</v>
      </c>
      <c r="F1747" t="s">
        <v>1478</v>
      </c>
      <c r="G1747" t="s">
        <v>124</v>
      </c>
      <c r="H1747" t="s">
        <v>125</v>
      </c>
      <c r="I1747">
        <v>4</v>
      </c>
      <c r="J1747" t="s">
        <v>170</v>
      </c>
      <c r="K1747" t="s">
        <v>125</v>
      </c>
      <c r="L1747" t="s">
        <v>4108</v>
      </c>
      <c r="U1747" t="s">
        <v>149</v>
      </c>
      <c r="W1747" t="s">
        <v>135</v>
      </c>
      <c r="X1747">
        <v>3</v>
      </c>
      <c r="AC1747" t="s">
        <v>136</v>
      </c>
      <c r="AE1747" t="s">
        <v>137</v>
      </c>
    </row>
    <row r="1748" spans="1:78" x14ac:dyDescent="0.2">
      <c r="A1748" t="s">
        <v>119</v>
      </c>
      <c r="B1748" t="s">
        <v>120</v>
      </c>
      <c r="C1748" t="s">
        <v>4105</v>
      </c>
      <c r="D1748">
        <v>17</v>
      </c>
      <c r="E1748" t="s">
        <v>1674</v>
      </c>
      <c r="F1748" t="s">
        <v>261</v>
      </c>
      <c r="G1748" t="s">
        <v>124</v>
      </c>
      <c r="H1748" t="s">
        <v>125</v>
      </c>
      <c r="I1748">
        <v>15</v>
      </c>
      <c r="J1748" t="s">
        <v>170</v>
      </c>
      <c r="K1748" t="s">
        <v>125</v>
      </c>
      <c r="L1748" t="s">
        <v>4109</v>
      </c>
      <c r="U1748" t="s">
        <v>149</v>
      </c>
      <c r="W1748" t="s">
        <v>135</v>
      </c>
      <c r="X1748">
        <v>1</v>
      </c>
      <c r="AC1748" t="s">
        <v>136</v>
      </c>
      <c r="AE1748" t="s">
        <v>137</v>
      </c>
    </row>
    <row r="1749" spans="1:78" x14ac:dyDescent="0.2">
      <c r="A1749" t="s">
        <v>119</v>
      </c>
      <c r="B1749" t="s">
        <v>120</v>
      </c>
      <c r="C1749" t="s">
        <v>4110</v>
      </c>
      <c r="D1749">
        <v>2</v>
      </c>
      <c r="E1749" t="s">
        <v>145</v>
      </c>
      <c r="F1749" t="s">
        <v>146</v>
      </c>
      <c r="G1749" t="s">
        <v>124</v>
      </c>
      <c r="H1749" t="s">
        <v>125</v>
      </c>
      <c r="I1749">
        <v>0</v>
      </c>
      <c r="J1749" t="s">
        <v>126</v>
      </c>
      <c r="K1749" t="s">
        <v>125</v>
      </c>
      <c r="L1749" t="s">
        <v>4111</v>
      </c>
      <c r="U1749" t="s">
        <v>149</v>
      </c>
      <c r="W1749" t="s">
        <v>135</v>
      </c>
      <c r="X1749">
        <v>3</v>
      </c>
      <c r="AC1749" t="s">
        <v>136</v>
      </c>
      <c r="AE1749" t="s">
        <v>137</v>
      </c>
    </row>
    <row r="1750" spans="1:78" x14ac:dyDescent="0.2">
      <c r="A1750" t="s">
        <v>119</v>
      </c>
      <c r="B1750" t="s">
        <v>120</v>
      </c>
      <c r="C1750" t="s">
        <v>4112</v>
      </c>
      <c r="D1750">
        <v>2</v>
      </c>
      <c r="E1750" t="s">
        <v>1440</v>
      </c>
      <c r="F1750" t="s">
        <v>1441</v>
      </c>
      <c r="G1750" t="s">
        <v>124</v>
      </c>
      <c r="H1750" t="s">
        <v>125</v>
      </c>
      <c r="I1750">
        <v>0</v>
      </c>
      <c r="J1750" t="s">
        <v>126</v>
      </c>
      <c r="K1750" t="s">
        <v>125</v>
      </c>
      <c r="L1750" t="s">
        <v>4113</v>
      </c>
      <c r="U1750" t="s">
        <v>149</v>
      </c>
      <c r="W1750" t="s">
        <v>135</v>
      </c>
      <c r="X1750">
        <v>3</v>
      </c>
      <c r="AC1750" t="s">
        <v>136</v>
      </c>
      <c r="AE1750" t="s">
        <v>137</v>
      </c>
    </row>
    <row r="1751" spans="1:78" hidden="1" x14ac:dyDescent="0.2">
      <c r="A1751" t="s">
        <v>119</v>
      </c>
      <c r="B1751" t="s">
        <v>120</v>
      </c>
      <c r="C1751" t="s">
        <v>4114</v>
      </c>
      <c r="D1751">
        <v>6</v>
      </c>
      <c r="E1751" t="s">
        <v>2575</v>
      </c>
      <c r="F1751" t="s">
        <v>2575</v>
      </c>
      <c r="G1751" t="s">
        <v>124</v>
      </c>
      <c r="H1751" t="s">
        <v>125</v>
      </c>
      <c r="I1751">
        <v>0</v>
      </c>
      <c r="J1751" t="s">
        <v>126</v>
      </c>
      <c r="K1751" t="s">
        <v>125</v>
      </c>
      <c r="L1751" t="s">
        <v>4115</v>
      </c>
      <c r="AE1751" t="s">
        <v>128</v>
      </c>
      <c r="AG1751">
        <v>5</v>
      </c>
      <c r="AH1751" t="s">
        <v>2502</v>
      </c>
      <c r="AI1751" t="s">
        <v>572</v>
      </c>
      <c r="AJ1751" t="s">
        <v>131</v>
      </c>
      <c r="AK1751" t="s">
        <v>125</v>
      </c>
      <c r="AL1751">
        <v>6</v>
      </c>
      <c r="AM1751" t="s">
        <v>132</v>
      </c>
      <c r="AN1751" t="s">
        <v>125</v>
      </c>
      <c r="AO1751" t="s">
        <v>4116</v>
      </c>
      <c r="BP1751" t="s">
        <v>149</v>
      </c>
      <c r="BR1751" t="s">
        <v>135</v>
      </c>
      <c r="BS1751">
        <v>1</v>
      </c>
      <c r="BX1751" t="s">
        <v>136</v>
      </c>
      <c r="BZ1751" t="s">
        <v>137</v>
      </c>
    </row>
    <row r="1752" spans="1:78" hidden="1" x14ac:dyDescent="0.2">
      <c r="A1752" t="s">
        <v>119</v>
      </c>
      <c r="B1752" t="s">
        <v>120</v>
      </c>
      <c r="C1752" t="s">
        <v>4117</v>
      </c>
      <c r="D1752">
        <v>1</v>
      </c>
      <c r="E1752" t="s">
        <v>392</v>
      </c>
      <c r="F1752" t="s">
        <v>373</v>
      </c>
      <c r="G1752" t="s">
        <v>124</v>
      </c>
      <c r="H1752" t="s">
        <v>125</v>
      </c>
      <c r="I1752">
        <v>0</v>
      </c>
      <c r="J1752" t="s">
        <v>126</v>
      </c>
      <c r="K1752" t="s">
        <v>125</v>
      </c>
      <c r="L1752" t="s">
        <v>4118</v>
      </c>
      <c r="AE1752" t="s">
        <v>394</v>
      </c>
    </row>
    <row r="1753" spans="1:78" x14ac:dyDescent="0.2">
      <c r="A1753" t="s">
        <v>119</v>
      </c>
      <c r="B1753" t="s">
        <v>120</v>
      </c>
      <c r="C1753" t="s">
        <v>4119</v>
      </c>
      <c r="D1753">
        <v>1</v>
      </c>
      <c r="E1753" t="s">
        <v>974</v>
      </c>
      <c r="F1753" t="s">
        <v>350</v>
      </c>
      <c r="G1753" t="s">
        <v>124</v>
      </c>
      <c r="H1753" t="s">
        <v>125</v>
      </c>
      <c r="I1753">
        <v>0</v>
      </c>
      <c r="J1753" t="s">
        <v>126</v>
      </c>
      <c r="K1753" t="s">
        <v>125</v>
      </c>
      <c r="L1753" t="s">
        <v>4120</v>
      </c>
      <c r="U1753" t="s">
        <v>149</v>
      </c>
      <c r="W1753" t="s">
        <v>135</v>
      </c>
      <c r="X1753">
        <v>1</v>
      </c>
      <c r="AC1753" t="s">
        <v>136</v>
      </c>
      <c r="AE1753" t="s">
        <v>137</v>
      </c>
    </row>
    <row r="1754" spans="1:78" x14ac:dyDescent="0.2">
      <c r="A1754" t="s">
        <v>119</v>
      </c>
      <c r="B1754" t="s">
        <v>120</v>
      </c>
      <c r="C1754" t="s">
        <v>4119</v>
      </c>
      <c r="D1754">
        <v>7</v>
      </c>
      <c r="E1754" t="s">
        <v>1674</v>
      </c>
      <c r="F1754" t="s">
        <v>261</v>
      </c>
      <c r="G1754" t="s">
        <v>124</v>
      </c>
      <c r="H1754" t="s">
        <v>125</v>
      </c>
      <c r="I1754">
        <v>1</v>
      </c>
      <c r="J1754" t="s">
        <v>161</v>
      </c>
      <c r="K1754" t="s">
        <v>125</v>
      </c>
      <c r="L1754" t="s">
        <v>4121</v>
      </c>
      <c r="U1754" t="s">
        <v>149</v>
      </c>
      <c r="W1754" t="s">
        <v>135</v>
      </c>
      <c r="X1754">
        <v>1</v>
      </c>
      <c r="AC1754" t="s">
        <v>136</v>
      </c>
      <c r="AE1754" t="s">
        <v>137</v>
      </c>
    </row>
    <row r="1755" spans="1:78" x14ac:dyDescent="0.2">
      <c r="A1755" t="s">
        <v>119</v>
      </c>
      <c r="B1755" t="s">
        <v>120</v>
      </c>
      <c r="C1755" t="s">
        <v>4122</v>
      </c>
      <c r="D1755">
        <v>1</v>
      </c>
      <c r="E1755" t="s">
        <v>797</v>
      </c>
      <c r="F1755" t="s">
        <v>632</v>
      </c>
      <c r="G1755" t="s">
        <v>124</v>
      </c>
      <c r="H1755" t="s">
        <v>125</v>
      </c>
      <c r="I1755">
        <v>3</v>
      </c>
      <c r="J1755" t="s">
        <v>182</v>
      </c>
      <c r="K1755" t="s">
        <v>125</v>
      </c>
      <c r="L1755" t="s">
        <v>4123</v>
      </c>
      <c r="U1755" t="s">
        <v>209</v>
      </c>
      <c r="W1755" t="s">
        <v>135</v>
      </c>
      <c r="X1755">
        <v>2</v>
      </c>
      <c r="AC1755" t="s">
        <v>136</v>
      </c>
      <c r="AE1755" t="s">
        <v>137</v>
      </c>
    </row>
    <row r="1756" spans="1:78" x14ac:dyDescent="0.2">
      <c r="A1756" t="s">
        <v>119</v>
      </c>
      <c r="B1756" t="s">
        <v>120</v>
      </c>
      <c r="C1756" t="s">
        <v>4122</v>
      </c>
      <c r="D1756">
        <v>3</v>
      </c>
      <c r="E1756" t="s">
        <v>537</v>
      </c>
      <c r="F1756" t="s">
        <v>261</v>
      </c>
      <c r="G1756" t="s">
        <v>124</v>
      </c>
      <c r="H1756" t="s">
        <v>125</v>
      </c>
      <c r="I1756">
        <v>0</v>
      </c>
      <c r="J1756" t="s">
        <v>126</v>
      </c>
      <c r="K1756" t="s">
        <v>125</v>
      </c>
      <c r="L1756" t="s">
        <v>4124</v>
      </c>
      <c r="U1756" t="s">
        <v>149</v>
      </c>
      <c r="W1756" t="s">
        <v>135</v>
      </c>
      <c r="X1756">
        <v>2</v>
      </c>
      <c r="AC1756" t="s">
        <v>136</v>
      </c>
      <c r="AE1756" t="s">
        <v>137</v>
      </c>
    </row>
    <row r="1757" spans="1:78" x14ac:dyDescent="0.2">
      <c r="A1757" t="s">
        <v>119</v>
      </c>
      <c r="B1757" t="s">
        <v>120</v>
      </c>
      <c r="C1757" t="s">
        <v>4122</v>
      </c>
      <c r="D1757">
        <v>9</v>
      </c>
      <c r="E1757" t="s">
        <v>1764</v>
      </c>
      <c r="F1757" t="s">
        <v>261</v>
      </c>
      <c r="G1757" t="s">
        <v>124</v>
      </c>
      <c r="H1757" t="s">
        <v>125</v>
      </c>
      <c r="I1757">
        <v>3</v>
      </c>
      <c r="J1757" t="s">
        <v>268</v>
      </c>
      <c r="K1757" t="s">
        <v>125</v>
      </c>
      <c r="L1757" t="s">
        <v>4125</v>
      </c>
      <c r="U1757" t="s">
        <v>149</v>
      </c>
      <c r="W1757" t="s">
        <v>135</v>
      </c>
      <c r="X1757">
        <v>3</v>
      </c>
      <c r="AC1757" t="s">
        <v>136</v>
      </c>
      <c r="AE1757" t="s">
        <v>137</v>
      </c>
    </row>
    <row r="1758" spans="1:78" x14ac:dyDescent="0.2">
      <c r="A1758" t="s">
        <v>119</v>
      </c>
      <c r="B1758" t="s">
        <v>120</v>
      </c>
      <c r="C1758" t="s">
        <v>4126</v>
      </c>
      <c r="D1758">
        <v>4</v>
      </c>
      <c r="E1758" t="s">
        <v>1764</v>
      </c>
      <c r="F1758" t="s">
        <v>261</v>
      </c>
      <c r="G1758" t="s">
        <v>124</v>
      </c>
      <c r="H1758" t="s">
        <v>125</v>
      </c>
      <c r="I1758">
        <v>0</v>
      </c>
      <c r="J1758" t="s">
        <v>126</v>
      </c>
      <c r="K1758" t="s">
        <v>125</v>
      </c>
      <c r="L1758" t="s">
        <v>4127</v>
      </c>
      <c r="U1758" t="s">
        <v>149</v>
      </c>
      <c r="W1758" t="s">
        <v>135</v>
      </c>
      <c r="X1758">
        <v>3</v>
      </c>
      <c r="AC1758" t="s">
        <v>136</v>
      </c>
      <c r="AE1758" t="s">
        <v>137</v>
      </c>
    </row>
    <row r="1759" spans="1:78" hidden="1" x14ac:dyDescent="0.2">
      <c r="A1759" t="s">
        <v>119</v>
      </c>
      <c r="B1759" t="s">
        <v>120</v>
      </c>
      <c r="C1759" t="s">
        <v>4128</v>
      </c>
      <c r="D1759">
        <v>5</v>
      </c>
      <c r="E1759" t="s">
        <v>3093</v>
      </c>
      <c r="F1759" t="s">
        <v>3093</v>
      </c>
      <c r="G1759" t="s">
        <v>124</v>
      </c>
      <c r="H1759" t="s">
        <v>125</v>
      </c>
      <c r="I1759">
        <v>4</v>
      </c>
      <c r="J1759" t="s">
        <v>367</v>
      </c>
      <c r="K1759" t="s">
        <v>125</v>
      </c>
      <c r="L1759" t="s">
        <v>4129</v>
      </c>
      <c r="AE1759" t="s">
        <v>128</v>
      </c>
    </row>
    <row r="1760" spans="1:78" x14ac:dyDescent="0.2">
      <c r="A1760" t="s">
        <v>119</v>
      </c>
      <c r="B1760" t="s">
        <v>120</v>
      </c>
      <c r="C1760" t="s">
        <v>4128</v>
      </c>
      <c r="D1760">
        <v>9</v>
      </c>
      <c r="E1760" t="s">
        <v>1497</v>
      </c>
      <c r="F1760" t="s">
        <v>1498</v>
      </c>
      <c r="G1760" t="s">
        <v>124</v>
      </c>
      <c r="H1760" t="s">
        <v>125</v>
      </c>
      <c r="I1760">
        <v>4</v>
      </c>
      <c r="J1760" t="s">
        <v>161</v>
      </c>
      <c r="K1760" t="s">
        <v>125</v>
      </c>
      <c r="L1760" t="s">
        <v>4130</v>
      </c>
      <c r="U1760" t="s">
        <v>149</v>
      </c>
      <c r="W1760" t="s">
        <v>135</v>
      </c>
      <c r="X1760">
        <v>3</v>
      </c>
      <c r="AC1760" t="s">
        <v>136</v>
      </c>
      <c r="AE1760" t="s">
        <v>137</v>
      </c>
    </row>
    <row r="1761" spans="1:78" hidden="1" x14ac:dyDescent="0.2">
      <c r="A1761" t="s">
        <v>119</v>
      </c>
      <c r="B1761" t="s">
        <v>120</v>
      </c>
      <c r="C1761" t="s">
        <v>4128</v>
      </c>
      <c r="D1761">
        <v>16</v>
      </c>
      <c r="E1761" t="s">
        <v>841</v>
      </c>
      <c r="F1761" t="s">
        <v>123</v>
      </c>
      <c r="G1761" t="s">
        <v>124</v>
      </c>
      <c r="H1761" t="s">
        <v>125</v>
      </c>
      <c r="I1761">
        <v>13</v>
      </c>
      <c r="J1761" t="s">
        <v>170</v>
      </c>
      <c r="K1761" t="s">
        <v>125</v>
      </c>
      <c r="L1761" t="s">
        <v>4131</v>
      </c>
    </row>
    <row r="1762" spans="1:78" x14ac:dyDescent="0.2">
      <c r="A1762" t="s">
        <v>119</v>
      </c>
      <c r="B1762" t="s">
        <v>120</v>
      </c>
      <c r="C1762" t="s">
        <v>4132</v>
      </c>
      <c r="D1762">
        <v>1</v>
      </c>
      <c r="E1762" t="s">
        <v>232</v>
      </c>
      <c r="F1762" t="s">
        <v>205</v>
      </c>
      <c r="G1762" t="s">
        <v>124</v>
      </c>
      <c r="H1762" t="s">
        <v>125</v>
      </c>
      <c r="I1762">
        <v>0</v>
      </c>
      <c r="J1762" t="s">
        <v>126</v>
      </c>
      <c r="K1762" t="s">
        <v>125</v>
      </c>
      <c r="L1762" t="s">
        <v>4133</v>
      </c>
      <c r="U1762" t="s">
        <v>149</v>
      </c>
      <c r="W1762" t="s">
        <v>155</v>
      </c>
      <c r="X1762">
        <v>1</v>
      </c>
      <c r="AC1762" t="s">
        <v>136</v>
      </c>
      <c r="AE1762" t="s">
        <v>137</v>
      </c>
    </row>
    <row r="1763" spans="1:78" hidden="1" x14ac:dyDescent="0.2">
      <c r="A1763" t="s">
        <v>119</v>
      </c>
      <c r="B1763" t="s">
        <v>120</v>
      </c>
      <c r="C1763" t="s">
        <v>4134</v>
      </c>
      <c r="D1763">
        <v>8</v>
      </c>
      <c r="E1763" t="s">
        <v>207</v>
      </c>
      <c r="F1763" t="s">
        <v>146</v>
      </c>
      <c r="G1763" t="s">
        <v>124</v>
      </c>
      <c r="H1763" t="s">
        <v>125</v>
      </c>
      <c r="I1763">
        <v>0</v>
      </c>
      <c r="J1763" t="s">
        <v>126</v>
      </c>
      <c r="K1763" t="s">
        <v>125</v>
      </c>
      <c r="L1763" t="s">
        <v>4135</v>
      </c>
      <c r="U1763" t="s">
        <v>149</v>
      </c>
      <c r="W1763" t="s">
        <v>135</v>
      </c>
      <c r="X1763">
        <v>3</v>
      </c>
      <c r="AC1763" t="s">
        <v>209</v>
      </c>
      <c r="AE1763" t="s">
        <v>137</v>
      </c>
    </row>
    <row r="1764" spans="1:78" hidden="1" x14ac:dyDescent="0.2">
      <c r="A1764" t="s">
        <v>119</v>
      </c>
      <c r="B1764" t="s">
        <v>120</v>
      </c>
      <c r="C1764" t="s">
        <v>4134</v>
      </c>
      <c r="D1764">
        <v>11</v>
      </c>
      <c r="E1764" t="s">
        <v>4136</v>
      </c>
      <c r="F1764" t="s">
        <v>350</v>
      </c>
      <c r="G1764" t="s">
        <v>124</v>
      </c>
      <c r="H1764" t="s">
        <v>125</v>
      </c>
      <c r="I1764">
        <v>9</v>
      </c>
      <c r="J1764" t="s">
        <v>170</v>
      </c>
      <c r="K1764" t="s">
        <v>125</v>
      </c>
      <c r="L1764" t="s">
        <v>4137</v>
      </c>
      <c r="U1764" t="s">
        <v>149</v>
      </c>
      <c r="W1764" t="s">
        <v>135</v>
      </c>
      <c r="X1764">
        <v>3</v>
      </c>
      <c r="AC1764" t="s">
        <v>209</v>
      </c>
      <c r="AE1764" t="s">
        <v>137</v>
      </c>
    </row>
    <row r="1765" spans="1:78" hidden="1" x14ac:dyDescent="0.2">
      <c r="A1765" t="s">
        <v>119</v>
      </c>
      <c r="B1765" t="s">
        <v>120</v>
      </c>
      <c r="C1765" t="s">
        <v>4138</v>
      </c>
      <c r="D1765">
        <v>4</v>
      </c>
      <c r="E1765" t="s">
        <v>449</v>
      </c>
      <c r="F1765" t="s">
        <v>449</v>
      </c>
      <c r="G1765" t="s">
        <v>124</v>
      </c>
      <c r="H1765" t="s">
        <v>125</v>
      </c>
      <c r="I1765">
        <v>0</v>
      </c>
      <c r="J1765" t="s">
        <v>126</v>
      </c>
      <c r="K1765" t="s">
        <v>125</v>
      </c>
      <c r="L1765" t="s">
        <v>4139</v>
      </c>
      <c r="AE1765" t="s">
        <v>128</v>
      </c>
      <c r="AG1765">
        <v>3</v>
      </c>
      <c r="AH1765" t="s">
        <v>3461</v>
      </c>
      <c r="AI1765" t="s">
        <v>572</v>
      </c>
      <c r="AJ1765" t="s">
        <v>131</v>
      </c>
      <c r="AK1765" t="s">
        <v>125</v>
      </c>
      <c r="AL1765">
        <v>4</v>
      </c>
      <c r="AM1765" t="s">
        <v>132</v>
      </c>
      <c r="AN1765" t="s">
        <v>125</v>
      </c>
      <c r="AO1765" t="s">
        <v>4140</v>
      </c>
      <c r="BP1765" t="s">
        <v>149</v>
      </c>
      <c r="BR1765" t="s">
        <v>155</v>
      </c>
      <c r="BS1765">
        <v>1</v>
      </c>
      <c r="BX1765" t="s">
        <v>136</v>
      </c>
      <c r="BZ1765" t="s">
        <v>137</v>
      </c>
    </row>
    <row r="1766" spans="1:78" x14ac:dyDescent="0.2">
      <c r="A1766" t="s">
        <v>119</v>
      </c>
      <c r="B1766" t="s">
        <v>120</v>
      </c>
      <c r="C1766" t="s">
        <v>4141</v>
      </c>
      <c r="D1766">
        <v>2</v>
      </c>
      <c r="E1766" t="s">
        <v>232</v>
      </c>
      <c r="F1766" t="s">
        <v>205</v>
      </c>
      <c r="G1766" t="s">
        <v>124</v>
      </c>
      <c r="H1766" t="s">
        <v>125</v>
      </c>
      <c r="I1766">
        <v>0</v>
      </c>
      <c r="J1766" t="s">
        <v>126</v>
      </c>
      <c r="K1766" t="s">
        <v>125</v>
      </c>
      <c r="L1766" t="s">
        <v>4142</v>
      </c>
      <c r="U1766" t="s">
        <v>149</v>
      </c>
      <c r="W1766" t="s">
        <v>155</v>
      </c>
      <c r="X1766">
        <v>1</v>
      </c>
      <c r="AC1766" t="s">
        <v>136</v>
      </c>
      <c r="AE1766" t="s">
        <v>137</v>
      </c>
    </row>
    <row r="1767" spans="1:78" hidden="1" x14ac:dyDescent="0.2">
      <c r="A1767" t="s">
        <v>119</v>
      </c>
      <c r="B1767" t="s">
        <v>120</v>
      </c>
      <c r="C1767" t="s">
        <v>4143</v>
      </c>
      <c r="D1767">
        <v>3</v>
      </c>
      <c r="E1767" t="s">
        <v>449</v>
      </c>
      <c r="F1767" t="s">
        <v>449</v>
      </c>
      <c r="G1767" t="s">
        <v>124</v>
      </c>
      <c r="H1767" t="s">
        <v>125</v>
      </c>
      <c r="I1767">
        <v>0</v>
      </c>
      <c r="J1767" t="s">
        <v>126</v>
      </c>
      <c r="K1767" t="s">
        <v>125</v>
      </c>
      <c r="L1767" t="s">
        <v>4144</v>
      </c>
      <c r="AE1767" t="s">
        <v>128</v>
      </c>
      <c r="AG1767">
        <v>2</v>
      </c>
      <c r="AH1767" t="s">
        <v>3461</v>
      </c>
      <c r="AI1767" t="s">
        <v>572</v>
      </c>
      <c r="AJ1767" t="s">
        <v>131</v>
      </c>
      <c r="AK1767" t="s">
        <v>125</v>
      </c>
      <c r="AL1767">
        <v>3</v>
      </c>
      <c r="AM1767" t="s">
        <v>132</v>
      </c>
      <c r="AN1767" t="s">
        <v>125</v>
      </c>
      <c r="AO1767" t="s">
        <v>4145</v>
      </c>
      <c r="BP1767" t="s">
        <v>149</v>
      </c>
      <c r="BR1767" t="s">
        <v>155</v>
      </c>
      <c r="BS1767">
        <v>1</v>
      </c>
      <c r="BX1767" t="s">
        <v>136</v>
      </c>
      <c r="BZ1767" t="s">
        <v>137</v>
      </c>
    </row>
    <row r="1768" spans="1:78" hidden="1" x14ac:dyDescent="0.2">
      <c r="A1768" t="s">
        <v>119</v>
      </c>
      <c r="B1768" t="s">
        <v>120</v>
      </c>
      <c r="C1768" t="s">
        <v>4146</v>
      </c>
      <c r="D1768">
        <v>5</v>
      </c>
      <c r="E1768" t="s">
        <v>1548</v>
      </c>
      <c r="F1768" t="s">
        <v>1399</v>
      </c>
      <c r="G1768" t="s">
        <v>124</v>
      </c>
      <c r="H1768" t="s">
        <v>125</v>
      </c>
      <c r="I1768">
        <v>1</v>
      </c>
      <c r="J1768" t="s">
        <v>170</v>
      </c>
      <c r="K1768" t="s">
        <v>125</v>
      </c>
      <c r="L1768" t="s">
        <v>4147</v>
      </c>
      <c r="T1768" t="s">
        <v>154</v>
      </c>
      <c r="W1768" t="s">
        <v>135</v>
      </c>
      <c r="AC1768" t="s">
        <v>143</v>
      </c>
      <c r="AE1768" t="s">
        <v>144</v>
      </c>
      <c r="AG1768">
        <v>4</v>
      </c>
      <c r="AH1768" t="s">
        <v>614</v>
      </c>
      <c r="AI1768" t="s">
        <v>205</v>
      </c>
      <c r="AJ1768" t="s">
        <v>131</v>
      </c>
      <c r="AK1768" t="s">
        <v>125</v>
      </c>
      <c r="AL1768">
        <v>5</v>
      </c>
      <c r="AM1768" t="s">
        <v>132</v>
      </c>
      <c r="AN1768" t="s">
        <v>125</v>
      </c>
      <c r="AO1768" t="s">
        <v>4148</v>
      </c>
      <c r="BP1768" t="s">
        <v>149</v>
      </c>
      <c r="BR1768" t="s">
        <v>135</v>
      </c>
      <c r="BS1768">
        <v>3</v>
      </c>
      <c r="BX1768" t="s">
        <v>136</v>
      </c>
      <c r="BZ1768" t="s">
        <v>137</v>
      </c>
    </row>
    <row r="1769" spans="1:78" hidden="1" x14ac:dyDescent="0.2">
      <c r="A1769" t="s">
        <v>119</v>
      </c>
      <c r="B1769" t="s">
        <v>120</v>
      </c>
      <c r="C1769" t="s">
        <v>4149</v>
      </c>
      <c r="D1769">
        <v>6</v>
      </c>
      <c r="E1769" t="s">
        <v>4150</v>
      </c>
      <c r="F1769" t="s">
        <v>4151</v>
      </c>
      <c r="G1769" t="s">
        <v>124</v>
      </c>
      <c r="H1769" t="s">
        <v>125</v>
      </c>
      <c r="I1769">
        <v>3</v>
      </c>
      <c r="J1769" t="s">
        <v>170</v>
      </c>
      <c r="K1769" t="s">
        <v>125</v>
      </c>
      <c r="L1769" t="s">
        <v>1279</v>
      </c>
      <c r="U1769" t="s">
        <v>149</v>
      </c>
      <c r="W1769" t="s">
        <v>135</v>
      </c>
      <c r="X1769">
        <v>3</v>
      </c>
      <c r="AC1769" t="s">
        <v>209</v>
      </c>
      <c r="AE1769" t="s">
        <v>137</v>
      </c>
    </row>
    <row r="1770" spans="1:78" hidden="1" x14ac:dyDescent="0.2">
      <c r="A1770" t="s">
        <v>119</v>
      </c>
      <c r="B1770" t="s">
        <v>120</v>
      </c>
      <c r="C1770" t="s">
        <v>4149</v>
      </c>
      <c r="D1770">
        <v>9</v>
      </c>
      <c r="E1770" t="s">
        <v>1548</v>
      </c>
      <c r="F1770" t="s">
        <v>1399</v>
      </c>
      <c r="G1770" t="s">
        <v>124</v>
      </c>
      <c r="H1770" t="s">
        <v>125</v>
      </c>
      <c r="I1770">
        <v>6</v>
      </c>
      <c r="J1770" t="s">
        <v>161</v>
      </c>
      <c r="K1770" t="s">
        <v>125</v>
      </c>
      <c r="L1770" t="s">
        <v>4152</v>
      </c>
      <c r="T1770" t="s">
        <v>154</v>
      </c>
      <c r="W1770" t="s">
        <v>135</v>
      </c>
      <c r="AC1770" t="s">
        <v>143</v>
      </c>
      <c r="AE1770" t="s">
        <v>144</v>
      </c>
      <c r="AG1770">
        <v>8</v>
      </c>
      <c r="AH1770" t="s">
        <v>614</v>
      </c>
      <c r="AI1770" t="s">
        <v>205</v>
      </c>
      <c r="AJ1770" t="s">
        <v>131</v>
      </c>
      <c r="AK1770" t="s">
        <v>125</v>
      </c>
      <c r="AL1770">
        <v>9</v>
      </c>
      <c r="AM1770" t="s">
        <v>132</v>
      </c>
      <c r="AN1770" t="s">
        <v>125</v>
      </c>
      <c r="AO1770" t="s">
        <v>4153</v>
      </c>
      <c r="BP1770" t="s">
        <v>149</v>
      </c>
      <c r="BR1770" t="s">
        <v>135</v>
      </c>
      <c r="BS1770">
        <v>3</v>
      </c>
      <c r="BX1770" t="s">
        <v>136</v>
      </c>
      <c r="BZ1770" t="s">
        <v>137</v>
      </c>
    </row>
    <row r="1771" spans="1:78" x14ac:dyDescent="0.2">
      <c r="A1771" t="s">
        <v>119</v>
      </c>
      <c r="B1771" t="s">
        <v>120</v>
      </c>
      <c r="C1771" t="s">
        <v>4154</v>
      </c>
      <c r="D1771">
        <v>2</v>
      </c>
      <c r="E1771" t="s">
        <v>4155</v>
      </c>
      <c r="F1771" t="s">
        <v>4151</v>
      </c>
      <c r="G1771" t="s">
        <v>124</v>
      </c>
      <c r="H1771" t="s">
        <v>125</v>
      </c>
      <c r="I1771">
        <v>0</v>
      </c>
      <c r="J1771" t="s">
        <v>126</v>
      </c>
      <c r="K1771" t="s">
        <v>125</v>
      </c>
      <c r="L1771" t="s">
        <v>4156</v>
      </c>
      <c r="U1771" t="s">
        <v>149</v>
      </c>
      <c r="W1771" t="s">
        <v>135</v>
      </c>
      <c r="X1771">
        <v>1</v>
      </c>
      <c r="AC1771" t="s">
        <v>136</v>
      </c>
      <c r="AE1771" t="s">
        <v>137</v>
      </c>
    </row>
    <row r="1772" spans="1:78" x14ac:dyDescent="0.2">
      <c r="A1772" t="s">
        <v>119</v>
      </c>
      <c r="B1772" t="s">
        <v>120</v>
      </c>
      <c r="C1772" t="s">
        <v>4157</v>
      </c>
      <c r="D1772">
        <v>4</v>
      </c>
      <c r="E1772" t="s">
        <v>1360</v>
      </c>
      <c r="F1772" t="s">
        <v>350</v>
      </c>
      <c r="G1772" t="s">
        <v>124</v>
      </c>
      <c r="H1772" t="s">
        <v>125</v>
      </c>
      <c r="I1772">
        <v>0</v>
      </c>
      <c r="J1772" t="s">
        <v>126</v>
      </c>
      <c r="K1772" t="s">
        <v>125</v>
      </c>
      <c r="L1772" t="s">
        <v>4158</v>
      </c>
      <c r="U1772" t="s">
        <v>149</v>
      </c>
      <c r="W1772" t="s">
        <v>135</v>
      </c>
      <c r="X1772">
        <v>3</v>
      </c>
      <c r="AC1772" t="s">
        <v>136</v>
      </c>
      <c r="AE1772" t="s">
        <v>137</v>
      </c>
    </row>
    <row r="1773" spans="1:78" x14ac:dyDescent="0.2">
      <c r="A1773" t="s">
        <v>119</v>
      </c>
      <c r="B1773" t="s">
        <v>120</v>
      </c>
      <c r="C1773" t="s">
        <v>4159</v>
      </c>
      <c r="D1773">
        <v>2</v>
      </c>
      <c r="E1773" t="s">
        <v>1446</v>
      </c>
      <c r="F1773" t="s">
        <v>146</v>
      </c>
      <c r="G1773" t="s">
        <v>124</v>
      </c>
      <c r="H1773" t="s">
        <v>125</v>
      </c>
      <c r="I1773">
        <v>0</v>
      </c>
      <c r="J1773" t="s">
        <v>126</v>
      </c>
      <c r="K1773" t="s">
        <v>125</v>
      </c>
      <c r="L1773" t="s">
        <v>4160</v>
      </c>
      <c r="U1773" t="s">
        <v>149</v>
      </c>
      <c r="W1773" t="s">
        <v>155</v>
      </c>
      <c r="X1773">
        <v>1</v>
      </c>
      <c r="AC1773" t="s">
        <v>136</v>
      </c>
      <c r="AE1773" t="s">
        <v>137</v>
      </c>
    </row>
    <row r="1774" spans="1:78" x14ac:dyDescent="0.2">
      <c r="A1774" t="s">
        <v>119</v>
      </c>
      <c r="B1774" t="s">
        <v>120</v>
      </c>
      <c r="C1774" t="s">
        <v>4161</v>
      </c>
      <c r="D1774">
        <v>3</v>
      </c>
      <c r="E1774" t="s">
        <v>4162</v>
      </c>
      <c r="F1774" t="s">
        <v>4163</v>
      </c>
      <c r="G1774" t="s">
        <v>124</v>
      </c>
      <c r="H1774" t="s">
        <v>125</v>
      </c>
      <c r="I1774">
        <v>0</v>
      </c>
      <c r="J1774" t="s">
        <v>126</v>
      </c>
      <c r="K1774" t="s">
        <v>125</v>
      </c>
      <c r="L1774" t="s">
        <v>4164</v>
      </c>
      <c r="U1774" t="s">
        <v>149</v>
      </c>
      <c r="W1774" t="s">
        <v>155</v>
      </c>
      <c r="X1774">
        <v>3</v>
      </c>
      <c r="AC1774" t="s">
        <v>136</v>
      </c>
      <c r="AE1774" t="s">
        <v>137</v>
      </c>
    </row>
    <row r="1775" spans="1:78" hidden="1" x14ac:dyDescent="0.2">
      <c r="A1775" t="s">
        <v>119</v>
      </c>
      <c r="B1775" t="s">
        <v>120</v>
      </c>
      <c r="C1775" t="s">
        <v>4161</v>
      </c>
      <c r="D1775">
        <v>8</v>
      </c>
      <c r="E1775" t="s">
        <v>543</v>
      </c>
      <c r="F1775" t="s">
        <v>331</v>
      </c>
      <c r="G1775" t="s">
        <v>124</v>
      </c>
      <c r="H1775" t="s">
        <v>125</v>
      </c>
      <c r="I1775">
        <v>3</v>
      </c>
      <c r="J1775" t="s">
        <v>268</v>
      </c>
      <c r="K1775" t="s">
        <v>125</v>
      </c>
      <c r="L1775" t="s">
        <v>4165</v>
      </c>
    </row>
    <row r="1776" spans="1:78" x14ac:dyDescent="0.2">
      <c r="A1776" t="s">
        <v>119</v>
      </c>
      <c r="B1776" t="s">
        <v>120</v>
      </c>
      <c r="C1776" t="s">
        <v>4166</v>
      </c>
      <c r="D1776">
        <v>2</v>
      </c>
      <c r="E1776" t="s">
        <v>1360</v>
      </c>
      <c r="F1776" t="s">
        <v>350</v>
      </c>
      <c r="G1776" t="s">
        <v>124</v>
      </c>
      <c r="H1776" t="s">
        <v>125</v>
      </c>
      <c r="I1776">
        <v>0</v>
      </c>
      <c r="J1776" t="s">
        <v>126</v>
      </c>
      <c r="K1776" t="s">
        <v>125</v>
      </c>
      <c r="L1776" t="s">
        <v>4167</v>
      </c>
      <c r="U1776" t="s">
        <v>149</v>
      </c>
      <c r="W1776" t="s">
        <v>135</v>
      </c>
      <c r="X1776">
        <v>3</v>
      </c>
      <c r="AC1776" t="s">
        <v>136</v>
      </c>
      <c r="AE1776" t="s">
        <v>137</v>
      </c>
    </row>
    <row r="1777" spans="1:78" x14ac:dyDescent="0.2">
      <c r="A1777" t="s">
        <v>119</v>
      </c>
      <c r="B1777" t="s">
        <v>120</v>
      </c>
      <c r="C1777" t="s">
        <v>4168</v>
      </c>
      <c r="D1777">
        <v>1</v>
      </c>
      <c r="E1777" t="s">
        <v>232</v>
      </c>
      <c r="F1777" t="s">
        <v>205</v>
      </c>
      <c r="G1777" t="s">
        <v>124</v>
      </c>
      <c r="H1777" t="s">
        <v>125</v>
      </c>
      <c r="I1777">
        <v>0</v>
      </c>
      <c r="J1777" t="s">
        <v>126</v>
      </c>
      <c r="K1777" t="s">
        <v>125</v>
      </c>
      <c r="L1777" t="s">
        <v>4169</v>
      </c>
      <c r="U1777" t="s">
        <v>149</v>
      </c>
      <c r="W1777" t="s">
        <v>155</v>
      </c>
      <c r="X1777">
        <v>1</v>
      </c>
      <c r="AC1777" t="s">
        <v>136</v>
      </c>
      <c r="AE1777" t="s">
        <v>137</v>
      </c>
    </row>
    <row r="1778" spans="1:78" x14ac:dyDescent="0.2">
      <c r="A1778" t="s">
        <v>119</v>
      </c>
      <c r="B1778" t="s">
        <v>120</v>
      </c>
      <c r="C1778" t="s">
        <v>4168</v>
      </c>
      <c r="D1778">
        <v>7</v>
      </c>
      <c r="E1778" t="s">
        <v>232</v>
      </c>
      <c r="F1778" t="s">
        <v>205</v>
      </c>
      <c r="G1778" t="s">
        <v>124</v>
      </c>
      <c r="H1778" t="s">
        <v>125</v>
      </c>
      <c r="I1778">
        <v>1</v>
      </c>
      <c r="J1778" t="s">
        <v>161</v>
      </c>
      <c r="K1778" t="s">
        <v>125</v>
      </c>
      <c r="L1778" t="s">
        <v>4170</v>
      </c>
      <c r="U1778" t="s">
        <v>149</v>
      </c>
      <c r="W1778" t="s">
        <v>155</v>
      </c>
      <c r="X1778">
        <v>1</v>
      </c>
      <c r="AC1778" t="s">
        <v>136</v>
      </c>
      <c r="AE1778" t="s">
        <v>137</v>
      </c>
    </row>
    <row r="1779" spans="1:78" x14ac:dyDescent="0.2">
      <c r="A1779" t="s">
        <v>119</v>
      </c>
      <c r="B1779" t="s">
        <v>120</v>
      </c>
      <c r="C1779" t="s">
        <v>4171</v>
      </c>
      <c r="D1779">
        <v>5</v>
      </c>
      <c r="E1779" t="s">
        <v>2403</v>
      </c>
      <c r="F1779" t="s">
        <v>261</v>
      </c>
      <c r="G1779" t="s">
        <v>124</v>
      </c>
      <c r="H1779" t="s">
        <v>125</v>
      </c>
      <c r="I1779">
        <v>0</v>
      </c>
      <c r="J1779" t="s">
        <v>126</v>
      </c>
      <c r="K1779" t="s">
        <v>125</v>
      </c>
      <c r="L1779" t="s">
        <v>4172</v>
      </c>
      <c r="U1779" t="s">
        <v>134</v>
      </c>
      <c r="W1779" t="s">
        <v>135</v>
      </c>
      <c r="X1779">
        <v>1</v>
      </c>
      <c r="AC1779" t="s">
        <v>136</v>
      </c>
      <c r="AE1779" t="s">
        <v>137</v>
      </c>
    </row>
    <row r="1780" spans="1:78" x14ac:dyDescent="0.2">
      <c r="A1780" t="s">
        <v>119</v>
      </c>
      <c r="B1780" t="s">
        <v>120</v>
      </c>
      <c r="C1780" t="s">
        <v>4173</v>
      </c>
      <c r="D1780">
        <v>2</v>
      </c>
      <c r="E1780" t="s">
        <v>232</v>
      </c>
      <c r="F1780" t="s">
        <v>205</v>
      </c>
      <c r="G1780" t="s">
        <v>124</v>
      </c>
      <c r="H1780" t="s">
        <v>125</v>
      </c>
      <c r="I1780">
        <v>0</v>
      </c>
      <c r="J1780" t="s">
        <v>126</v>
      </c>
      <c r="K1780" t="s">
        <v>125</v>
      </c>
      <c r="L1780" t="s">
        <v>4174</v>
      </c>
      <c r="U1780" t="s">
        <v>149</v>
      </c>
      <c r="W1780" t="s">
        <v>155</v>
      </c>
      <c r="X1780">
        <v>1</v>
      </c>
      <c r="AC1780" t="s">
        <v>136</v>
      </c>
      <c r="AE1780" t="s">
        <v>137</v>
      </c>
    </row>
    <row r="1781" spans="1:78" x14ac:dyDescent="0.2">
      <c r="A1781" t="s">
        <v>119</v>
      </c>
      <c r="B1781" t="s">
        <v>120</v>
      </c>
      <c r="C1781" t="s">
        <v>4175</v>
      </c>
      <c r="D1781">
        <v>3</v>
      </c>
      <c r="E1781" t="s">
        <v>145</v>
      </c>
      <c r="F1781" t="s">
        <v>146</v>
      </c>
      <c r="G1781" t="s">
        <v>124</v>
      </c>
      <c r="H1781" t="s">
        <v>125</v>
      </c>
      <c r="I1781">
        <v>0</v>
      </c>
      <c r="J1781" t="s">
        <v>126</v>
      </c>
      <c r="K1781" t="s">
        <v>125</v>
      </c>
      <c r="L1781" t="s">
        <v>4176</v>
      </c>
      <c r="U1781" t="s">
        <v>149</v>
      </c>
      <c r="W1781" t="s">
        <v>135</v>
      </c>
      <c r="X1781">
        <v>3</v>
      </c>
      <c r="AC1781" t="s">
        <v>136</v>
      </c>
      <c r="AE1781" t="s">
        <v>137</v>
      </c>
    </row>
    <row r="1782" spans="1:78" hidden="1" x14ac:dyDescent="0.2">
      <c r="A1782" t="s">
        <v>119</v>
      </c>
      <c r="B1782" t="s">
        <v>120</v>
      </c>
      <c r="C1782" t="s">
        <v>4175</v>
      </c>
      <c r="D1782">
        <v>6</v>
      </c>
      <c r="E1782" t="s">
        <v>691</v>
      </c>
      <c r="F1782" t="s">
        <v>261</v>
      </c>
      <c r="G1782" t="s">
        <v>124</v>
      </c>
      <c r="H1782" t="s">
        <v>125</v>
      </c>
      <c r="I1782">
        <v>3</v>
      </c>
      <c r="J1782" t="s">
        <v>264</v>
      </c>
      <c r="K1782" t="s">
        <v>125</v>
      </c>
      <c r="L1782" t="s">
        <v>4177</v>
      </c>
      <c r="T1782" t="s">
        <v>154</v>
      </c>
      <c r="W1782" t="s">
        <v>135</v>
      </c>
      <c r="AC1782" t="s">
        <v>143</v>
      </c>
      <c r="AE1782" t="s">
        <v>144</v>
      </c>
      <c r="AG1782">
        <v>5</v>
      </c>
      <c r="AH1782" t="s">
        <v>496</v>
      </c>
      <c r="AI1782" t="s">
        <v>205</v>
      </c>
      <c r="AJ1782" t="s">
        <v>131</v>
      </c>
      <c r="AK1782" t="s">
        <v>125</v>
      </c>
      <c r="AL1782">
        <v>6</v>
      </c>
      <c r="AM1782" t="s">
        <v>132</v>
      </c>
      <c r="AN1782" t="s">
        <v>125</v>
      </c>
      <c r="AO1782" t="s">
        <v>4178</v>
      </c>
      <c r="BP1782" t="s">
        <v>149</v>
      </c>
      <c r="BR1782" t="s">
        <v>135</v>
      </c>
      <c r="BS1782">
        <v>2</v>
      </c>
      <c r="BX1782" t="s">
        <v>136</v>
      </c>
      <c r="BZ1782" t="s">
        <v>137</v>
      </c>
    </row>
    <row r="1783" spans="1:78" x14ac:dyDescent="0.2">
      <c r="A1783" t="s">
        <v>119</v>
      </c>
      <c r="B1783" t="s">
        <v>120</v>
      </c>
      <c r="C1783" t="s">
        <v>4179</v>
      </c>
      <c r="D1783">
        <v>5</v>
      </c>
      <c r="E1783" t="s">
        <v>282</v>
      </c>
      <c r="F1783" t="s">
        <v>283</v>
      </c>
      <c r="G1783" t="s">
        <v>124</v>
      </c>
      <c r="H1783" t="s">
        <v>125</v>
      </c>
      <c r="I1783">
        <v>0</v>
      </c>
      <c r="J1783" t="s">
        <v>126</v>
      </c>
      <c r="K1783" t="s">
        <v>125</v>
      </c>
      <c r="L1783" t="s">
        <v>4180</v>
      </c>
      <c r="U1783" t="s">
        <v>149</v>
      </c>
      <c r="W1783" t="s">
        <v>155</v>
      </c>
      <c r="X1783">
        <v>1</v>
      </c>
      <c r="AC1783" t="s">
        <v>136</v>
      </c>
      <c r="AE1783" t="s">
        <v>137</v>
      </c>
    </row>
    <row r="1784" spans="1:78" x14ac:dyDescent="0.2">
      <c r="A1784" t="s">
        <v>119</v>
      </c>
      <c r="B1784" t="s">
        <v>120</v>
      </c>
      <c r="C1784" t="s">
        <v>4181</v>
      </c>
      <c r="D1784">
        <v>3</v>
      </c>
      <c r="E1784" t="s">
        <v>232</v>
      </c>
      <c r="F1784" t="s">
        <v>205</v>
      </c>
      <c r="G1784" t="s">
        <v>124</v>
      </c>
      <c r="H1784" t="s">
        <v>125</v>
      </c>
      <c r="I1784">
        <v>7</v>
      </c>
      <c r="J1784" t="s">
        <v>268</v>
      </c>
      <c r="K1784" t="s">
        <v>125</v>
      </c>
      <c r="L1784" t="s">
        <v>4182</v>
      </c>
      <c r="U1784" t="s">
        <v>149</v>
      </c>
      <c r="W1784" t="s">
        <v>155</v>
      </c>
      <c r="X1784">
        <v>1</v>
      </c>
      <c r="AC1784" t="s">
        <v>136</v>
      </c>
      <c r="AE1784" t="s">
        <v>137</v>
      </c>
    </row>
    <row r="1785" spans="1:78" hidden="1" x14ac:dyDescent="0.2">
      <c r="A1785" t="s">
        <v>119</v>
      </c>
      <c r="B1785" t="s">
        <v>120</v>
      </c>
      <c r="C1785" t="s">
        <v>4181</v>
      </c>
      <c r="D1785">
        <v>7</v>
      </c>
      <c r="E1785" t="s">
        <v>186</v>
      </c>
      <c r="F1785" t="s">
        <v>186</v>
      </c>
      <c r="G1785" t="s">
        <v>124</v>
      </c>
      <c r="H1785" t="s">
        <v>125</v>
      </c>
      <c r="I1785">
        <v>0</v>
      </c>
      <c r="J1785" t="s">
        <v>126</v>
      </c>
      <c r="K1785" t="s">
        <v>125</v>
      </c>
      <c r="L1785" t="s">
        <v>4183</v>
      </c>
      <c r="AE1785" t="s">
        <v>128</v>
      </c>
      <c r="AG1785">
        <v>5</v>
      </c>
      <c r="AH1785" t="s">
        <v>3461</v>
      </c>
      <c r="AI1785" t="s">
        <v>572</v>
      </c>
      <c r="AJ1785" t="s">
        <v>131</v>
      </c>
      <c r="AK1785" t="s">
        <v>125</v>
      </c>
      <c r="AL1785">
        <v>7</v>
      </c>
      <c r="AM1785" t="s">
        <v>132</v>
      </c>
      <c r="AN1785" t="s">
        <v>125</v>
      </c>
      <c r="AO1785" t="s">
        <v>4184</v>
      </c>
      <c r="BP1785" t="s">
        <v>149</v>
      </c>
      <c r="BR1785" t="s">
        <v>155</v>
      </c>
      <c r="BS1785">
        <v>1</v>
      </c>
      <c r="BX1785" t="s">
        <v>136</v>
      </c>
      <c r="BZ1785" t="s">
        <v>137</v>
      </c>
    </row>
    <row r="1786" spans="1:78" x14ac:dyDescent="0.2">
      <c r="A1786" t="s">
        <v>119</v>
      </c>
      <c r="B1786" t="s">
        <v>120</v>
      </c>
      <c r="C1786" t="s">
        <v>4185</v>
      </c>
      <c r="D1786">
        <v>3</v>
      </c>
      <c r="E1786" t="s">
        <v>145</v>
      </c>
      <c r="F1786" t="s">
        <v>146</v>
      </c>
      <c r="G1786" t="s">
        <v>124</v>
      </c>
      <c r="H1786" t="s">
        <v>125</v>
      </c>
      <c r="I1786">
        <v>0</v>
      </c>
      <c r="J1786" t="s">
        <v>126</v>
      </c>
      <c r="K1786" t="s">
        <v>125</v>
      </c>
      <c r="L1786" t="s">
        <v>4186</v>
      </c>
      <c r="U1786" t="s">
        <v>149</v>
      </c>
      <c r="W1786" t="s">
        <v>135</v>
      </c>
      <c r="X1786">
        <v>3</v>
      </c>
      <c r="AC1786" t="s">
        <v>136</v>
      </c>
      <c r="AE1786" t="s">
        <v>137</v>
      </c>
    </row>
    <row r="1787" spans="1:78" x14ac:dyDescent="0.2">
      <c r="A1787" t="s">
        <v>119</v>
      </c>
      <c r="B1787" t="s">
        <v>120</v>
      </c>
      <c r="C1787" t="s">
        <v>4187</v>
      </c>
      <c r="D1787">
        <v>3</v>
      </c>
      <c r="E1787" t="s">
        <v>232</v>
      </c>
      <c r="F1787" t="s">
        <v>205</v>
      </c>
      <c r="G1787" t="s">
        <v>124</v>
      </c>
      <c r="H1787" t="s">
        <v>125</v>
      </c>
      <c r="I1787">
        <v>13</v>
      </c>
      <c r="J1787" t="s">
        <v>268</v>
      </c>
      <c r="K1787" t="s">
        <v>125</v>
      </c>
      <c r="L1787" t="s">
        <v>4188</v>
      </c>
      <c r="U1787" t="s">
        <v>149</v>
      </c>
      <c r="W1787" t="s">
        <v>155</v>
      </c>
      <c r="X1787">
        <v>1</v>
      </c>
      <c r="AC1787" t="s">
        <v>136</v>
      </c>
      <c r="AE1787" t="s">
        <v>137</v>
      </c>
    </row>
    <row r="1788" spans="1:78" hidden="1" x14ac:dyDescent="0.2">
      <c r="A1788" t="s">
        <v>119</v>
      </c>
      <c r="B1788" t="s">
        <v>120</v>
      </c>
      <c r="C1788" t="s">
        <v>4187</v>
      </c>
      <c r="D1788">
        <v>13</v>
      </c>
      <c r="E1788" t="s">
        <v>4189</v>
      </c>
      <c r="F1788" t="s">
        <v>4190</v>
      </c>
      <c r="G1788" t="s">
        <v>124</v>
      </c>
      <c r="H1788" t="s">
        <v>125</v>
      </c>
      <c r="I1788">
        <v>0</v>
      </c>
      <c r="J1788" t="s">
        <v>126</v>
      </c>
      <c r="K1788" t="s">
        <v>125</v>
      </c>
      <c r="L1788" t="s">
        <v>4191</v>
      </c>
      <c r="T1788" t="s">
        <v>142</v>
      </c>
      <c r="W1788" t="s">
        <v>155</v>
      </c>
      <c r="AC1788" t="s">
        <v>143</v>
      </c>
      <c r="AE1788" t="s">
        <v>144</v>
      </c>
      <c r="AG1788">
        <v>12</v>
      </c>
      <c r="AH1788" t="s">
        <v>204</v>
      </c>
      <c r="AI1788" t="s">
        <v>205</v>
      </c>
      <c r="AJ1788" t="s">
        <v>131</v>
      </c>
      <c r="AK1788" t="s">
        <v>125</v>
      </c>
      <c r="AL1788">
        <v>13</v>
      </c>
      <c r="AM1788" t="s">
        <v>132</v>
      </c>
      <c r="AN1788" t="s">
        <v>125</v>
      </c>
      <c r="AO1788" t="s">
        <v>4192</v>
      </c>
      <c r="BP1788" t="s">
        <v>149</v>
      </c>
      <c r="BR1788" t="s">
        <v>135</v>
      </c>
      <c r="BS1788">
        <v>1</v>
      </c>
      <c r="BX1788" t="s">
        <v>136</v>
      </c>
      <c r="BZ1788" t="s">
        <v>137</v>
      </c>
    </row>
    <row r="1789" spans="1:78" x14ac:dyDescent="0.2">
      <c r="A1789" t="s">
        <v>119</v>
      </c>
      <c r="B1789" t="s">
        <v>120</v>
      </c>
      <c r="C1789" t="s">
        <v>4193</v>
      </c>
      <c r="D1789">
        <v>2</v>
      </c>
      <c r="E1789" t="s">
        <v>232</v>
      </c>
      <c r="F1789" t="s">
        <v>205</v>
      </c>
      <c r="G1789" t="s">
        <v>124</v>
      </c>
      <c r="H1789" t="s">
        <v>125</v>
      </c>
      <c r="I1789">
        <v>0</v>
      </c>
      <c r="J1789" t="s">
        <v>126</v>
      </c>
      <c r="K1789" t="s">
        <v>125</v>
      </c>
      <c r="L1789" t="s">
        <v>4194</v>
      </c>
      <c r="U1789" t="s">
        <v>149</v>
      </c>
      <c r="W1789" t="s">
        <v>155</v>
      </c>
      <c r="X1789">
        <v>1</v>
      </c>
      <c r="AC1789" t="s">
        <v>136</v>
      </c>
      <c r="AE1789" t="s">
        <v>137</v>
      </c>
    </row>
    <row r="1790" spans="1:78" hidden="1" x14ac:dyDescent="0.2">
      <c r="A1790" t="s">
        <v>119</v>
      </c>
      <c r="B1790" t="s">
        <v>120</v>
      </c>
      <c r="C1790" t="s">
        <v>4193</v>
      </c>
      <c r="D1790">
        <v>9</v>
      </c>
      <c r="E1790" t="s">
        <v>449</v>
      </c>
      <c r="F1790" t="s">
        <v>449</v>
      </c>
      <c r="G1790" t="s">
        <v>124</v>
      </c>
      <c r="H1790" t="s">
        <v>125</v>
      </c>
      <c r="I1790">
        <v>6</v>
      </c>
      <c r="J1790" t="s">
        <v>170</v>
      </c>
      <c r="K1790" t="s">
        <v>125</v>
      </c>
      <c r="L1790" t="s">
        <v>4195</v>
      </c>
      <c r="AE1790" t="s">
        <v>128</v>
      </c>
      <c r="AG1790">
        <v>8</v>
      </c>
      <c r="AH1790" t="s">
        <v>3461</v>
      </c>
      <c r="AI1790" t="s">
        <v>572</v>
      </c>
      <c r="AJ1790" t="s">
        <v>131</v>
      </c>
      <c r="AK1790" t="s">
        <v>125</v>
      </c>
      <c r="AL1790">
        <v>9</v>
      </c>
      <c r="AM1790" t="s">
        <v>132</v>
      </c>
      <c r="AN1790" t="s">
        <v>125</v>
      </c>
      <c r="AO1790" t="s">
        <v>4196</v>
      </c>
      <c r="BP1790" t="s">
        <v>149</v>
      </c>
      <c r="BR1790" t="s">
        <v>155</v>
      </c>
      <c r="BS1790">
        <v>1</v>
      </c>
      <c r="BX1790" t="s">
        <v>136</v>
      </c>
      <c r="BZ1790" t="s">
        <v>137</v>
      </c>
    </row>
    <row r="1791" spans="1:78" x14ac:dyDescent="0.2">
      <c r="A1791" t="s">
        <v>119</v>
      </c>
      <c r="B1791" t="s">
        <v>120</v>
      </c>
      <c r="C1791" t="s">
        <v>4197</v>
      </c>
      <c r="D1791">
        <v>4</v>
      </c>
      <c r="E1791" t="s">
        <v>1000</v>
      </c>
      <c r="F1791" t="s">
        <v>1001</v>
      </c>
      <c r="G1791" t="s">
        <v>124</v>
      </c>
      <c r="H1791" t="s">
        <v>125</v>
      </c>
      <c r="I1791">
        <v>0</v>
      </c>
      <c r="J1791" t="s">
        <v>126</v>
      </c>
      <c r="K1791" t="s">
        <v>125</v>
      </c>
      <c r="L1791" t="s">
        <v>4198</v>
      </c>
      <c r="U1791" t="s">
        <v>149</v>
      </c>
      <c r="W1791" t="s">
        <v>135</v>
      </c>
      <c r="X1791">
        <v>3</v>
      </c>
      <c r="AC1791" t="s">
        <v>136</v>
      </c>
      <c r="AE1791" t="s">
        <v>137</v>
      </c>
    </row>
    <row r="1792" spans="1:78" hidden="1" x14ac:dyDescent="0.2">
      <c r="A1792" t="s">
        <v>119</v>
      </c>
      <c r="B1792" t="s">
        <v>120</v>
      </c>
      <c r="C1792" t="s">
        <v>4199</v>
      </c>
      <c r="D1792">
        <v>2</v>
      </c>
      <c r="E1792" t="s">
        <v>4200</v>
      </c>
      <c r="F1792" t="s">
        <v>261</v>
      </c>
      <c r="G1792" t="s">
        <v>124</v>
      </c>
      <c r="H1792" t="s">
        <v>125</v>
      </c>
      <c r="I1792">
        <v>0</v>
      </c>
      <c r="J1792" t="s">
        <v>126</v>
      </c>
      <c r="K1792" t="s">
        <v>125</v>
      </c>
      <c r="L1792" t="s">
        <v>4201</v>
      </c>
      <c r="T1792" t="s">
        <v>154</v>
      </c>
      <c r="W1792" t="s">
        <v>135</v>
      </c>
    </row>
    <row r="1793" spans="1:78" x14ac:dyDescent="0.2">
      <c r="A1793" t="s">
        <v>119</v>
      </c>
      <c r="B1793" t="s">
        <v>120</v>
      </c>
      <c r="C1793" t="s">
        <v>4199</v>
      </c>
      <c r="D1793">
        <v>8</v>
      </c>
      <c r="E1793" t="s">
        <v>537</v>
      </c>
      <c r="F1793" t="s">
        <v>261</v>
      </c>
      <c r="G1793" t="s">
        <v>124</v>
      </c>
      <c r="H1793" t="s">
        <v>125</v>
      </c>
      <c r="I1793">
        <v>2</v>
      </c>
      <c r="J1793" t="s">
        <v>268</v>
      </c>
      <c r="K1793" t="s">
        <v>125</v>
      </c>
      <c r="L1793" t="s">
        <v>4202</v>
      </c>
      <c r="U1793" t="s">
        <v>149</v>
      </c>
      <c r="W1793" t="s">
        <v>135</v>
      </c>
      <c r="X1793">
        <v>2</v>
      </c>
      <c r="AC1793" t="s">
        <v>136</v>
      </c>
      <c r="AE1793" t="s">
        <v>137</v>
      </c>
    </row>
    <row r="1794" spans="1:78" x14ac:dyDescent="0.2">
      <c r="A1794" t="s">
        <v>119</v>
      </c>
      <c r="B1794" t="s">
        <v>120</v>
      </c>
      <c r="C1794" t="s">
        <v>4199</v>
      </c>
      <c r="D1794">
        <v>10</v>
      </c>
      <c r="E1794" t="s">
        <v>1674</v>
      </c>
      <c r="F1794" t="s">
        <v>261</v>
      </c>
      <c r="G1794" t="s">
        <v>124</v>
      </c>
      <c r="H1794" t="s">
        <v>125</v>
      </c>
      <c r="I1794">
        <v>8</v>
      </c>
      <c r="J1794" t="s">
        <v>161</v>
      </c>
      <c r="K1794" t="s">
        <v>125</v>
      </c>
      <c r="L1794" t="s">
        <v>4203</v>
      </c>
      <c r="U1794" t="s">
        <v>149</v>
      </c>
      <c r="W1794" t="s">
        <v>135</v>
      </c>
      <c r="X1794">
        <v>1</v>
      </c>
      <c r="AC1794" t="s">
        <v>136</v>
      </c>
      <c r="AE1794" t="s">
        <v>137</v>
      </c>
    </row>
    <row r="1795" spans="1:78" x14ac:dyDescent="0.2">
      <c r="A1795" t="s">
        <v>119</v>
      </c>
      <c r="B1795" t="s">
        <v>120</v>
      </c>
      <c r="C1795" t="s">
        <v>4204</v>
      </c>
      <c r="D1795">
        <v>2</v>
      </c>
      <c r="E1795" t="s">
        <v>1360</v>
      </c>
      <c r="F1795" t="s">
        <v>350</v>
      </c>
      <c r="G1795" t="s">
        <v>124</v>
      </c>
      <c r="H1795" t="s">
        <v>125</v>
      </c>
      <c r="I1795">
        <v>0</v>
      </c>
      <c r="J1795" t="s">
        <v>126</v>
      </c>
      <c r="K1795" t="s">
        <v>125</v>
      </c>
      <c r="L1795" t="s">
        <v>4205</v>
      </c>
      <c r="U1795" t="s">
        <v>149</v>
      </c>
      <c r="W1795" t="s">
        <v>135</v>
      </c>
      <c r="X1795">
        <v>3</v>
      </c>
      <c r="AC1795" t="s">
        <v>136</v>
      </c>
      <c r="AE1795" t="s">
        <v>137</v>
      </c>
    </row>
    <row r="1796" spans="1:78" x14ac:dyDescent="0.2">
      <c r="A1796" t="s">
        <v>119</v>
      </c>
      <c r="B1796" t="s">
        <v>120</v>
      </c>
      <c r="C1796" t="s">
        <v>4204</v>
      </c>
      <c r="D1796">
        <v>14</v>
      </c>
      <c r="E1796" t="s">
        <v>414</v>
      </c>
      <c r="F1796" t="s">
        <v>415</v>
      </c>
      <c r="G1796" t="s">
        <v>124</v>
      </c>
      <c r="H1796" t="s">
        <v>125</v>
      </c>
      <c r="I1796">
        <v>2</v>
      </c>
      <c r="J1796" t="s">
        <v>268</v>
      </c>
      <c r="K1796" t="s">
        <v>125</v>
      </c>
      <c r="L1796" t="s">
        <v>4206</v>
      </c>
      <c r="U1796" t="s">
        <v>149</v>
      </c>
      <c r="W1796" t="s">
        <v>135</v>
      </c>
      <c r="X1796">
        <v>1</v>
      </c>
      <c r="AC1796" t="s">
        <v>136</v>
      </c>
      <c r="AE1796" t="s">
        <v>137</v>
      </c>
    </row>
    <row r="1797" spans="1:78" hidden="1" x14ac:dyDescent="0.2">
      <c r="A1797" t="s">
        <v>119</v>
      </c>
      <c r="B1797" t="s">
        <v>120</v>
      </c>
      <c r="C1797" t="s">
        <v>4207</v>
      </c>
      <c r="D1797">
        <v>4</v>
      </c>
      <c r="E1797" t="s">
        <v>4208</v>
      </c>
      <c r="F1797" t="s">
        <v>194</v>
      </c>
      <c r="G1797" t="s">
        <v>124</v>
      </c>
      <c r="H1797" t="s">
        <v>125</v>
      </c>
      <c r="I1797">
        <v>0</v>
      </c>
      <c r="J1797" t="s">
        <v>126</v>
      </c>
      <c r="K1797" t="s">
        <v>125</v>
      </c>
      <c r="L1797" t="s">
        <v>4209</v>
      </c>
      <c r="T1797" t="s">
        <v>154</v>
      </c>
      <c r="W1797" t="s">
        <v>155</v>
      </c>
      <c r="AC1797" t="s">
        <v>143</v>
      </c>
      <c r="AE1797" t="s">
        <v>144</v>
      </c>
      <c r="AG1797">
        <v>2</v>
      </c>
      <c r="AH1797" t="s">
        <v>160</v>
      </c>
      <c r="AI1797" t="s">
        <v>146</v>
      </c>
      <c r="AJ1797" t="s">
        <v>131</v>
      </c>
      <c r="AK1797" t="s">
        <v>125</v>
      </c>
      <c r="AL1797">
        <v>4</v>
      </c>
      <c r="AM1797" t="s">
        <v>132</v>
      </c>
      <c r="AN1797" t="s">
        <v>125</v>
      </c>
      <c r="AO1797" t="s">
        <v>1340</v>
      </c>
      <c r="BP1797" t="s">
        <v>149</v>
      </c>
      <c r="BR1797" t="s">
        <v>155</v>
      </c>
      <c r="BS1797">
        <v>3</v>
      </c>
      <c r="BX1797" t="s">
        <v>136</v>
      </c>
      <c r="BZ1797" t="s">
        <v>137</v>
      </c>
    </row>
    <row r="1798" spans="1:78" hidden="1" x14ac:dyDescent="0.2">
      <c r="A1798" t="s">
        <v>119</v>
      </c>
      <c r="B1798" t="s">
        <v>120</v>
      </c>
      <c r="C1798" t="s">
        <v>4210</v>
      </c>
      <c r="D1798">
        <v>1</v>
      </c>
      <c r="E1798" t="s">
        <v>4211</v>
      </c>
      <c r="F1798" t="s">
        <v>4212</v>
      </c>
      <c r="G1798" t="s">
        <v>124</v>
      </c>
      <c r="H1798" t="s">
        <v>125</v>
      </c>
      <c r="I1798">
        <v>0</v>
      </c>
      <c r="J1798" t="s">
        <v>126</v>
      </c>
      <c r="K1798" t="s">
        <v>125</v>
      </c>
      <c r="L1798" t="s">
        <v>4213</v>
      </c>
      <c r="T1798" t="s">
        <v>154</v>
      </c>
      <c r="W1798" t="s">
        <v>155</v>
      </c>
    </row>
    <row r="1799" spans="1:78" hidden="1" x14ac:dyDescent="0.2">
      <c r="A1799" t="s">
        <v>119</v>
      </c>
      <c r="B1799" t="s">
        <v>120</v>
      </c>
      <c r="C1799" t="s">
        <v>4210</v>
      </c>
      <c r="D1799">
        <v>4</v>
      </c>
      <c r="E1799" t="s">
        <v>4214</v>
      </c>
      <c r="F1799" t="s">
        <v>572</v>
      </c>
      <c r="G1799" t="s">
        <v>124</v>
      </c>
      <c r="H1799" t="s">
        <v>125</v>
      </c>
      <c r="I1799">
        <v>1</v>
      </c>
      <c r="J1799" t="s">
        <v>161</v>
      </c>
      <c r="K1799" t="s">
        <v>125</v>
      </c>
      <c r="L1799" t="s">
        <v>4215</v>
      </c>
      <c r="U1799" t="s">
        <v>149</v>
      </c>
      <c r="W1799" t="s">
        <v>155</v>
      </c>
      <c r="X1799">
        <v>1</v>
      </c>
      <c r="AC1799" t="s">
        <v>903</v>
      </c>
      <c r="AE1799" t="s">
        <v>137</v>
      </c>
    </row>
    <row r="1800" spans="1:78" x14ac:dyDescent="0.2">
      <c r="A1800" t="s">
        <v>119</v>
      </c>
      <c r="B1800" t="s">
        <v>120</v>
      </c>
      <c r="C1800" t="s">
        <v>4216</v>
      </c>
      <c r="D1800">
        <v>3</v>
      </c>
      <c r="E1800" t="s">
        <v>232</v>
      </c>
      <c r="F1800" t="s">
        <v>205</v>
      </c>
      <c r="G1800" t="s">
        <v>124</v>
      </c>
      <c r="H1800" t="s">
        <v>125</v>
      </c>
      <c r="I1800">
        <v>0</v>
      </c>
      <c r="J1800" t="s">
        <v>126</v>
      </c>
      <c r="K1800" t="s">
        <v>125</v>
      </c>
      <c r="L1800" t="s">
        <v>4217</v>
      </c>
      <c r="U1800" t="s">
        <v>149</v>
      </c>
      <c r="W1800" t="s">
        <v>155</v>
      </c>
      <c r="X1800">
        <v>1</v>
      </c>
      <c r="AC1800" t="s">
        <v>136</v>
      </c>
      <c r="AE1800" t="s">
        <v>137</v>
      </c>
    </row>
    <row r="1801" spans="1:78" hidden="1" x14ac:dyDescent="0.2">
      <c r="A1801" t="s">
        <v>119</v>
      </c>
      <c r="B1801" t="s">
        <v>120</v>
      </c>
      <c r="C1801" t="s">
        <v>4218</v>
      </c>
      <c r="D1801">
        <v>2</v>
      </c>
      <c r="E1801" t="s">
        <v>1237</v>
      </c>
      <c r="F1801" t="s">
        <v>123</v>
      </c>
      <c r="G1801" t="s">
        <v>124</v>
      </c>
      <c r="H1801" t="s">
        <v>125</v>
      </c>
      <c r="I1801">
        <v>7</v>
      </c>
      <c r="J1801" t="s">
        <v>170</v>
      </c>
      <c r="K1801" t="s">
        <v>125</v>
      </c>
      <c r="L1801" t="s">
        <v>4219</v>
      </c>
      <c r="U1801" t="s">
        <v>149</v>
      </c>
      <c r="W1801" t="s">
        <v>155</v>
      </c>
      <c r="X1801">
        <v>3</v>
      </c>
      <c r="AC1801" t="s">
        <v>209</v>
      </c>
      <c r="AE1801" t="s">
        <v>137</v>
      </c>
    </row>
    <row r="1802" spans="1:78" x14ac:dyDescent="0.2">
      <c r="A1802" t="s">
        <v>119</v>
      </c>
      <c r="B1802" t="s">
        <v>120</v>
      </c>
      <c r="C1802" t="s">
        <v>4218</v>
      </c>
      <c r="D1802">
        <v>7</v>
      </c>
      <c r="E1802" t="s">
        <v>3317</v>
      </c>
      <c r="F1802" t="s">
        <v>3318</v>
      </c>
      <c r="G1802" t="s">
        <v>124</v>
      </c>
      <c r="H1802" t="s">
        <v>125</v>
      </c>
      <c r="I1802">
        <v>0</v>
      </c>
      <c r="J1802" t="s">
        <v>126</v>
      </c>
      <c r="K1802" t="s">
        <v>125</v>
      </c>
      <c r="L1802" t="s">
        <v>4220</v>
      </c>
      <c r="U1802" t="s">
        <v>149</v>
      </c>
      <c r="W1802" t="s">
        <v>135</v>
      </c>
      <c r="X1802">
        <v>3</v>
      </c>
      <c r="AC1802" t="s">
        <v>136</v>
      </c>
      <c r="AE1802" t="s">
        <v>137</v>
      </c>
    </row>
    <row r="1803" spans="1:78" x14ac:dyDescent="0.2">
      <c r="A1803" t="s">
        <v>119</v>
      </c>
      <c r="B1803" t="s">
        <v>120</v>
      </c>
      <c r="C1803" t="s">
        <v>4221</v>
      </c>
      <c r="D1803">
        <v>4</v>
      </c>
      <c r="E1803" t="s">
        <v>2035</v>
      </c>
      <c r="F1803" t="s">
        <v>1399</v>
      </c>
      <c r="G1803" t="s">
        <v>124</v>
      </c>
      <c r="H1803" t="s">
        <v>125</v>
      </c>
      <c r="I1803">
        <v>0</v>
      </c>
      <c r="J1803" t="s">
        <v>126</v>
      </c>
      <c r="K1803" t="s">
        <v>125</v>
      </c>
      <c r="L1803" t="s">
        <v>4222</v>
      </c>
      <c r="U1803" t="s">
        <v>149</v>
      </c>
      <c r="W1803" t="s">
        <v>135</v>
      </c>
      <c r="X1803">
        <v>1</v>
      </c>
      <c r="AC1803" t="s">
        <v>136</v>
      </c>
      <c r="AE1803" t="s">
        <v>137</v>
      </c>
    </row>
    <row r="1804" spans="1:78" x14ac:dyDescent="0.2">
      <c r="A1804" t="s">
        <v>119</v>
      </c>
      <c r="B1804" t="s">
        <v>120</v>
      </c>
      <c r="C1804" t="s">
        <v>4221</v>
      </c>
      <c r="D1804">
        <v>6</v>
      </c>
      <c r="E1804" t="s">
        <v>4223</v>
      </c>
      <c r="F1804" t="s">
        <v>1399</v>
      </c>
      <c r="G1804" t="s">
        <v>124</v>
      </c>
      <c r="H1804" t="s">
        <v>125</v>
      </c>
      <c r="I1804">
        <v>4</v>
      </c>
      <c r="J1804" t="s">
        <v>161</v>
      </c>
      <c r="K1804" t="s">
        <v>125</v>
      </c>
      <c r="L1804" t="s">
        <v>4224</v>
      </c>
      <c r="U1804" t="s">
        <v>149</v>
      </c>
      <c r="W1804" t="s">
        <v>155</v>
      </c>
      <c r="X1804">
        <v>2</v>
      </c>
      <c r="AC1804" t="s">
        <v>136</v>
      </c>
      <c r="AE1804" t="s">
        <v>137</v>
      </c>
    </row>
    <row r="1805" spans="1:78" hidden="1" x14ac:dyDescent="0.2">
      <c r="A1805" t="s">
        <v>119</v>
      </c>
      <c r="B1805" t="s">
        <v>120</v>
      </c>
      <c r="C1805" t="s">
        <v>4225</v>
      </c>
      <c r="D1805">
        <v>14</v>
      </c>
      <c r="E1805" t="s">
        <v>4226</v>
      </c>
      <c r="F1805" t="s">
        <v>140</v>
      </c>
      <c r="G1805" t="s">
        <v>124</v>
      </c>
      <c r="H1805" t="s">
        <v>125</v>
      </c>
      <c r="I1805">
        <v>4</v>
      </c>
      <c r="J1805" t="s">
        <v>170</v>
      </c>
      <c r="K1805" t="s">
        <v>125</v>
      </c>
      <c r="L1805" t="s">
        <v>4227</v>
      </c>
      <c r="U1805" t="s">
        <v>149</v>
      </c>
      <c r="W1805" t="s">
        <v>135</v>
      </c>
      <c r="X1805">
        <v>3</v>
      </c>
      <c r="AC1805" t="s">
        <v>143</v>
      </c>
      <c r="AE1805" t="s">
        <v>137</v>
      </c>
    </row>
    <row r="1806" spans="1:78" hidden="1" x14ac:dyDescent="0.2">
      <c r="A1806" t="s">
        <v>119</v>
      </c>
      <c r="B1806" t="s">
        <v>120</v>
      </c>
      <c r="C1806" t="s">
        <v>4225</v>
      </c>
      <c r="D1806">
        <v>15</v>
      </c>
      <c r="E1806" t="s">
        <v>4228</v>
      </c>
      <c r="F1806" t="s">
        <v>4228</v>
      </c>
      <c r="G1806" t="s">
        <v>124</v>
      </c>
      <c r="H1806" t="s">
        <v>125</v>
      </c>
      <c r="I1806">
        <v>14</v>
      </c>
      <c r="J1806" t="s">
        <v>294</v>
      </c>
      <c r="K1806" t="s">
        <v>125</v>
      </c>
      <c r="L1806" t="s">
        <v>4229</v>
      </c>
      <c r="AE1806" t="s">
        <v>128</v>
      </c>
    </row>
    <row r="1807" spans="1:78" hidden="1" x14ac:dyDescent="0.2">
      <c r="A1807" t="s">
        <v>119</v>
      </c>
      <c r="B1807" t="s">
        <v>120</v>
      </c>
      <c r="C1807" t="s">
        <v>4230</v>
      </c>
      <c r="D1807">
        <v>3</v>
      </c>
      <c r="E1807" t="s">
        <v>4231</v>
      </c>
      <c r="F1807" t="s">
        <v>140</v>
      </c>
      <c r="G1807" t="s">
        <v>124</v>
      </c>
      <c r="H1807" t="s">
        <v>125</v>
      </c>
      <c r="I1807">
        <v>0</v>
      </c>
      <c r="J1807" t="s">
        <v>126</v>
      </c>
      <c r="K1807" t="s">
        <v>125</v>
      </c>
      <c r="L1807" t="s">
        <v>4232</v>
      </c>
      <c r="U1807" t="s">
        <v>309</v>
      </c>
      <c r="W1807" t="s">
        <v>155</v>
      </c>
      <c r="X1807">
        <v>3</v>
      </c>
      <c r="AC1807" t="s">
        <v>209</v>
      </c>
      <c r="AE1807" t="s">
        <v>137</v>
      </c>
    </row>
    <row r="1808" spans="1:78" hidden="1" x14ac:dyDescent="0.2">
      <c r="A1808" t="s">
        <v>119</v>
      </c>
      <c r="B1808" t="s">
        <v>120</v>
      </c>
      <c r="C1808" t="s">
        <v>4233</v>
      </c>
      <c r="D1808">
        <v>2</v>
      </c>
      <c r="E1808" t="s">
        <v>4234</v>
      </c>
      <c r="F1808" t="s">
        <v>1399</v>
      </c>
      <c r="G1808" t="s">
        <v>124</v>
      </c>
      <c r="H1808" t="s">
        <v>125</v>
      </c>
      <c r="I1808">
        <v>0</v>
      </c>
      <c r="J1808" t="s">
        <v>126</v>
      </c>
      <c r="K1808" t="s">
        <v>125</v>
      </c>
      <c r="L1808" t="s">
        <v>4235</v>
      </c>
      <c r="U1808" t="s">
        <v>149</v>
      </c>
      <c r="W1808" t="s">
        <v>135</v>
      </c>
      <c r="X1808">
        <v>3</v>
      </c>
      <c r="AC1808" t="s">
        <v>143</v>
      </c>
      <c r="AE1808" t="s">
        <v>137</v>
      </c>
    </row>
    <row r="1809" spans="1:78" x14ac:dyDescent="0.2">
      <c r="A1809" t="s">
        <v>119</v>
      </c>
      <c r="B1809" t="s">
        <v>120</v>
      </c>
      <c r="C1809" t="s">
        <v>4236</v>
      </c>
      <c r="D1809">
        <v>4</v>
      </c>
      <c r="E1809" t="s">
        <v>1708</v>
      </c>
      <c r="F1809" t="s">
        <v>773</v>
      </c>
      <c r="G1809" t="s">
        <v>124</v>
      </c>
      <c r="H1809" t="s">
        <v>125</v>
      </c>
      <c r="I1809">
        <v>1</v>
      </c>
      <c r="J1809" t="s">
        <v>170</v>
      </c>
      <c r="K1809" t="s">
        <v>125</v>
      </c>
      <c r="L1809" t="s">
        <v>4237</v>
      </c>
      <c r="U1809" t="s">
        <v>149</v>
      </c>
      <c r="W1809" t="s">
        <v>135</v>
      </c>
      <c r="X1809">
        <v>3</v>
      </c>
      <c r="AC1809" t="s">
        <v>136</v>
      </c>
      <c r="AE1809" t="s">
        <v>137</v>
      </c>
    </row>
    <row r="1810" spans="1:78" hidden="1" x14ac:dyDescent="0.2">
      <c r="A1810" t="s">
        <v>119</v>
      </c>
      <c r="B1810" t="s">
        <v>120</v>
      </c>
      <c r="C1810" t="s">
        <v>4238</v>
      </c>
      <c r="D1810">
        <v>3</v>
      </c>
      <c r="E1810" t="s">
        <v>186</v>
      </c>
      <c r="F1810" t="s">
        <v>186</v>
      </c>
      <c r="G1810" t="s">
        <v>124</v>
      </c>
      <c r="H1810" t="s">
        <v>125</v>
      </c>
      <c r="I1810">
        <v>0</v>
      </c>
      <c r="J1810" t="s">
        <v>126</v>
      </c>
      <c r="K1810" t="s">
        <v>125</v>
      </c>
      <c r="L1810" t="s">
        <v>4239</v>
      </c>
      <c r="AE1810" t="s">
        <v>128</v>
      </c>
      <c r="AG1810">
        <v>2</v>
      </c>
      <c r="AH1810" t="s">
        <v>3717</v>
      </c>
      <c r="AI1810" t="s">
        <v>572</v>
      </c>
      <c r="AJ1810" t="s">
        <v>131</v>
      </c>
      <c r="AK1810" t="s">
        <v>125</v>
      </c>
      <c r="AL1810">
        <v>3</v>
      </c>
      <c r="AM1810" t="s">
        <v>132</v>
      </c>
      <c r="AN1810" t="s">
        <v>125</v>
      </c>
      <c r="AO1810" t="s">
        <v>4240</v>
      </c>
      <c r="BP1810" t="s">
        <v>149</v>
      </c>
      <c r="BR1810" t="s">
        <v>155</v>
      </c>
      <c r="BS1810">
        <v>2</v>
      </c>
      <c r="BX1810" t="s">
        <v>136</v>
      </c>
      <c r="BZ1810" t="s">
        <v>137</v>
      </c>
    </row>
    <row r="1811" spans="1:78" x14ac:dyDescent="0.2">
      <c r="A1811" t="s">
        <v>119</v>
      </c>
      <c r="B1811" t="s">
        <v>120</v>
      </c>
      <c r="C1811" t="s">
        <v>4241</v>
      </c>
      <c r="D1811">
        <v>5</v>
      </c>
      <c r="E1811" t="s">
        <v>197</v>
      </c>
      <c r="F1811" t="s">
        <v>146</v>
      </c>
      <c r="G1811" t="s">
        <v>124</v>
      </c>
      <c r="H1811" t="s">
        <v>125</v>
      </c>
      <c r="I1811">
        <v>2</v>
      </c>
      <c r="J1811" t="s">
        <v>170</v>
      </c>
      <c r="K1811" t="s">
        <v>125</v>
      </c>
      <c r="L1811" t="s">
        <v>4242</v>
      </c>
      <c r="U1811" t="s">
        <v>149</v>
      </c>
      <c r="W1811" t="s">
        <v>135</v>
      </c>
      <c r="X1811">
        <v>1</v>
      </c>
      <c r="AC1811" t="s">
        <v>136</v>
      </c>
      <c r="AE1811" t="s">
        <v>137</v>
      </c>
    </row>
    <row r="1812" spans="1:78" hidden="1" x14ac:dyDescent="0.2">
      <c r="A1812" t="s">
        <v>119</v>
      </c>
      <c r="B1812" t="s">
        <v>120</v>
      </c>
      <c r="C1812" t="s">
        <v>4243</v>
      </c>
      <c r="D1812">
        <v>2</v>
      </c>
      <c r="E1812" t="s">
        <v>4244</v>
      </c>
      <c r="F1812" t="s">
        <v>3211</v>
      </c>
      <c r="G1812" t="s">
        <v>124</v>
      </c>
      <c r="H1812" t="s">
        <v>125</v>
      </c>
      <c r="I1812">
        <v>0</v>
      </c>
      <c r="J1812" t="s">
        <v>126</v>
      </c>
      <c r="K1812" t="s">
        <v>125</v>
      </c>
      <c r="L1812" t="s">
        <v>4245</v>
      </c>
      <c r="U1812" t="s">
        <v>149</v>
      </c>
      <c r="W1812" t="s">
        <v>135</v>
      </c>
      <c r="X1812">
        <v>1</v>
      </c>
      <c r="AC1812" t="s">
        <v>903</v>
      </c>
      <c r="AE1812" t="s">
        <v>137</v>
      </c>
    </row>
    <row r="1813" spans="1:78" hidden="1" x14ac:dyDescent="0.2">
      <c r="A1813" t="s">
        <v>119</v>
      </c>
      <c r="B1813" t="s">
        <v>120</v>
      </c>
      <c r="C1813" t="s">
        <v>4243</v>
      </c>
      <c r="D1813">
        <v>8</v>
      </c>
      <c r="E1813" t="s">
        <v>4234</v>
      </c>
      <c r="F1813" t="s">
        <v>1399</v>
      </c>
      <c r="G1813" t="s">
        <v>124</v>
      </c>
      <c r="H1813" t="s">
        <v>125</v>
      </c>
      <c r="I1813">
        <v>2</v>
      </c>
      <c r="J1813" t="s">
        <v>161</v>
      </c>
      <c r="K1813" t="s">
        <v>125</v>
      </c>
      <c r="L1813" t="s">
        <v>4246</v>
      </c>
      <c r="U1813" t="s">
        <v>149</v>
      </c>
      <c r="W1813" t="s">
        <v>135</v>
      </c>
      <c r="X1813">
        <v>3</v>
      </c>
      <c r="AC1813" t="s">
        <v>143</v>
      </c>
      <c r="AE1813" t="s">
        <v>137</v>
      </c>
    </row>
    <row r="1814" spans="1:78" x14ac:dyDescent="0.2">
      <c r="A1814" t="s">
        <v>119</v>
      </c>
      <c r="B1814" t="s">
        <v>120</v>
      </c>
      <c r="C1814" t="s">
        <v>4243</v>
      </c>
      <c r="D1814">
        <v>12</v>
      </c>
      <c r="E1814" t="s">
        <v>3930</v>
      </c>
      <c r="F1814" t="s">
        <v>146</v>
      </c>
      <c r="G1814" t="s">
        <v>124</v>
      </c>
      <c r="H1814" t="s">
        <v>125</v>
      </c>
      <c r="I1814">
        <v>2</v>
      </c>
      <c r="J1814" t="s">
        <v>161</v>
      </c>
      <c r="K1814" t="s">
        <v>125</v>
      </c>
      <c r="L1814" t="s">
        <v>4247</v>
      </c>
      <c r="U1814" t="s">
        <v>149</v>
      </c>
      <c r="W1814" t="s">
        <v>155</v>
      </c>
      <c r="X1814">
        <v>3</v>
      </c>
      <c r="AC1814" t="s">
        <v>136</v>
      </c>
      <c r="AE1814" t="s">
        <v>137</v>
      </c>
    </row>
    <row r="1815" spans="1:78" hidden="1" x14ac:dyDescent="0.2">
      <c r="A1815" t="s">
        <v>119</v>
      </c>
      <c r="B1815" t="s">
        <v>120</v>
      </c>
      <c r="C1815" t="s">
        <v>4243</v>
      </c>
      <c r="D1815">
        <v>15</v>
      </c>
      <c r="E1815" t="s">
        <v>4248</v>
      </c>
      <c r="F1815" t="s">
        <v>1399</v>
      </c>
      <c r="G1815" t="s">
        <v>124</v>
      </c>
      <c r="H1815" t="s">
        <v>125</v>
      </c>
      <c r="I1815">
        <v>13</v>
      </c>
      <c r="J1815" t="s">
        <v>170</v>
      </c>
      <c r="K1815" t="s">
        <v>125</v>
      </c>
      <c r="L1815" t="s">
        <v>4249</v>
      </c>
      <c r="U1815" t="s">
        <v>309</v>
      </c>
      <c r="W1815" t="s">
        <v>155</v>
      </c>
      <c r="X1815">
        <v>3</v>
      </c>
      <c r="AC1815" t="s">
        <v>209</v>
      </c>
      <c r="AE1815" t="s">
        <v>137</v>
      </c>
    </row>
    <row r="1816" spans="1:78" hidden="1" x14ac:dyDescent="0.2">
      <c r="A1816" t="s">
        <v>119</v>
      </c>
      <c r="B1816" t="s">
        <v>120</v>
      </c>
      <c r="C1816" t="s">
        <v>4250</v>
      </c>
      <c r="D1816">
        <v>2</v>
      </c>
      <c r="E1816" t="s">
        <v>4248</v>
      </c>
      <c r="F1816" t="s">
        <v>4248</v>
      </c>
      <c r="G1816" t="s">
        <v>124</v>
      </c>
      <c r="H1816" t="s">
        <v>125</v>
      </c>
      <c r="I1816">
        <v>0</v>
      </c>
      <c r="J1816" t="s">
        <v>126</v>
      </c>
      <c r="K1816" t="s">
        <v>125</v>
      </c>
      <c r="L1816" t="s">
        <v>4251</v>
      </c>
      <c r="U1816" t="s">
        <v>309</v>
      </c>
      <c r="W1816" t="s">
        <v>155</v>
      </c>
      <c r="X1816">
        <v>3</v>
      </c>
      <c r="AC1816" t="s">
        <v>209</v>
      </c>
      <c r="AE1816" t="s">
        <v>137</v>
      </c>
    </row>
    <row r="1817" spans="1:78" x14ac:dyDescent="0.2">
      <c r="A1817" t="s">
        <v>119</v>
      </c>
      <c r="B1817" t="s">
        <v>120</v>
      </c>
      <c r="C1817" t="s">
        <v>4252</v>
      </c>
      <c r="D1817">
        <v>5</v>
      </c>
      <c r="E1817" t="s">
        <v>145</v>
      </c>
      <c r="F1817" t="s">
        <v>146</v>
      </c>
      <c r="G1817" t="s">
        <v>124</v>
      </c>
      <c r="H1817" t="s">
        <v>125</v>
      </c>
      <c r="I1817">
        <v>0</v>
      </c>
      <c r="J1817" t="s">
        <v>126</v>
      </c>
      <c r="K1817" t="s">
        <v>125</v>
      </c>
      <c r="L1817" t="s">
        <v>1988</v>
      </c>
      <c r="U1817" t="s">
        <v>149</v>
      </c>
      <c r="W1817" t="s">
        <v>135</v>
      </c>
      <c r="X1817">
        <v>3</v>
      </c>
      <c r="AC1817" t="s">
        <v>136</v>
      </c>
      <c r="AE1817" t="s">
        <v>137</v>
      </c>
    </row>
    <row r="1818" spans="1:78" hidden="1" x14ac:dyDescent="0.2">
      <c r="A1818" t="s">
        <v>119</v>
      </c>
      <c r="B1818" t="s">
        <v>120</v>
      </c>
      <c r="C1818" t="s">
        <v>4252</v>
      </c>
      <c r="D1818">
        <v>11</v>
      </c>
      <c r="E1818" t="s">
        <v>449</v>
      </c>
      <c r="F1818" t="s">
        <v>449</v>
      </c>
      <c r="G1818" t="s">
        <v>124</v>
      </c>
      <c r="H1818" t="s">
        <v>125</v>
      </c>
      <c r="I1818">
        <v>8</v>
      </c>
      <c r="J1818" t="s">
        <v>170</v>
      </c>
      <c r="K1818" t="s">
        <v>125</v>
      </c>
      <c r="L1818" t="s">
        <v>4253</v>
      </c>
      <c r="AE1818" t="s">
        <v>128</v>
      </c>
      <c r="AG1818">
        <v>10</v>
      </c>
      <c r="AH1818" t="s">
        <v>3461</v>
      </c>
      <c r="AI1818" t="s">
        <v>572</v>
      </c>
      <c r="AJ1818" t="s">
        <v>131</v>
      </c>
      <c r="AK1818" t="s">
        <v>125</v>
      </c>
      <c r="AL1818">
        <v>11</v>
      </c>
      <c r="AM1818" t="s">
        <v>132</v>
      </c>
      <c r="AN1818" t="s">
        <v>125</v>
      </c>
      <c r="AO1818" t="s">
        <v>4254</v>
      </c>
      <c r="BP1818" t="s">
        <v>149</v>
      </c>
      <c r="BR1818" t="s">
        <v>155</v>
      </c>
      <c r="BS1818">
        <v>1</v>
      </c>
      <c r="BX1818" t="s">
        <v>136</v>
      </c>
      <c r="BZ1818" t="s">
        <v>137</v>
      </c>
    </row>
    <row r="1819" spans="1:78" hidden="1" x14ac:dyDescent="0.2">
      <c r="A1819" t="s">
        <v>119</v>
      </c>
      <c r="B1819" t="s">
        <v>120</v>
      </c>
      <c r="C1819" t="s">
        <v>4255</v>
      </c>
      <c r="D1819">
        <v>6</v>
      </c>
      <c r="E1819" t="s">
        <v>449</v>
      </c>
      <c r="F1819" t="s">
        <v>449</v>
      </c>
      <c r="G1819" t="s">
        <v>124</v>
      </c>
      <c r="H1819" t="s">
        <v>125</v>
      </c>
      <c r="I1819">
        <v>3</v>
      </c>
      <c r="J1819" t="s">
        <v>161</v>
      </c>
      <c r="K1819" t="s">
        <v>125</v>
      </c>
      <c r="L1819" t="s">
        <v>4256</v>
      </c>
      <c r="AE1819" t="s">
        <v>128</v>
      </c>
      <c r="AG1819">
        <v>5</v>
      </c>
      <c r="AH1819" t="s">
        <v>3461</v>
      </c>
      <c r="AI1819" t="s">
        <v>572</v>
      </c>
      <c r="AJ1819" t="s">
        <v>131</v>
      </c>
      <c r="AK1819" t="s">
        <v>125</v>
      </c>
      <c r="AL1819">
        <v>6</v>
      </c>
      <c r="AM1819" t="s">
        <v>132</v>
      </c>
      <c r="AN1819" t="s">
        <v>125</v>
      </c>
      <c r="AO1819" t="s">
        <v>4257</v>
      </c>
      <c r="BP1819" t="s">
        <v>149</v>
      </c>
      <c r="BR1819" t="s">
        <v>155</v>
      </c>
      <c r="BS1819">
        <v>1</v>
      </c>
      <c r="BX1819" t="s">
        <v>136</v>
      </c>
      <c r="BZ1819" t="s">
        <v>137</v>
      </c>
    </row>
    <row r="1820" spans="1:78" hidden="1" x14ac:dyDescent="0.2">
      <c r="A1820" t="s">
        <v>119</v>
      </c>
      <c r="B1820" t="s">
        <v>120</v>
      </c>
      <c r="C1820" t="s">
        <v>4258</v>
      </c>
      <c r="D1820">
        <v>2</v>
      </c>
      <c r="E1820" t="s">
        <v>140</v>
      </c>
      <c r="F1820" t="s">
        <v>140</v>
      </c>
      <c r="G1820" t="s">
        <v>124</v>
      </c>
      <c r="H1820" t="s">
        <v>125</v>
      </c>
      <c r="I1820">
        <v>0</v>
      </c>
      <c r="J1820" t="s">
        <v>126</v>
      </c>
      <c r="K1820" t="s">
        <v>125</v>
      </c>
      <c r="L1820" t="s">
        <v>4259</v>
      </c>
      <c r="AE1820" t="s">
        <v>128</v>
      </c>
      <c r="AG1820">
        <v>1</v>
      </c>
      <c r="AH1820" t="s">
        <v>3461</v>
      </c>
      <c r="AI1820" t="s">
        <v>572</v>
      </c>
      <c r="AJ1820" t="s">
        <v>131</v>
      </c>
      <c r="AK1820" t="s">
        <v>125</v>
      </c>
      <c r="AL1820">
        <v>2</v>
      </c>
      <c r="AM1820" t="s">
        <v>132</v>
      </c>
      <c r="AN1820" t="s">
        <v>125</v>
      </c>
      <c r="AO1820" t="s">
        <v>4260</v>
      </c>
      <c r="BP1820" t="s">
        <v>149</v>
      </c>
      <c r="BR1820" t="s">
        <v>155</v>
      </c>
      <c r="BS1820">
        <v>1</v>
      </c>
      <c r="BX1820" t="s">
        <v>136</v>
      </c>
      <c r="BZ1820" t="s">
        <v>137</v>
      </c>
    </row>
    <row r="1821" spans="1:78" hidden="1" x14ac:dyDescent="0.2">
      <c r="A1821" t="s">
        <v>119</v>
      </c>
      <c r="B1821" t="s">
        <v>120</v>
      </c>
      <c r="C1821" t="s">
        <v>4258</v>
      </c>
      <c r="D1821">
        <v>6</v>
      </c>
      <c r="E1821" t="s">
        <v>407</v>
      </c>
      <c r="F1821" t="s">
        <v>140</v>
      </c>
      <c r="G1821" t="s">
        <v>124</v>
      </c>
      <c r="H1821" t="s">
        <v>125</v>
      </c>
      <c r="I1821">
        <v>3</v>
      </c>
      <c r="J1821" t="s">
        <v>170</v>
      </c>
      <c r="K1821" t="s">
        <v>125</v>
      </c>
      <c r="L1821" t="s">
        <v>4261</v>
      </c>
      <c r="T1821" t="s">
        <v>154</v>
      </c>
      <c r="W1821" t="s">
        <v>135</v>
      </c>
      <c r="AC1821" t="s">
        <v>143</v>
      </c>
      <c r="AE1821" t="s">
        <v>144</v>
      </c>
      <c r="AG1821">
        <v>5</v>
      </c>
      <c r="AH1821" t="s">
        <v>218</v>
      </c>
      <c r="AI1821" t="s">
        <v>205</v>
      </c>
      <c r="AJ1821" t="s">
        <v>131</v>
      </c>
      <c r="AK1821" t="s">
        <v>125</v>
      </c>
      <c r="AL1821">
        <v>6</v>
      </c>
      <c r="AM1821" t="s">
        <v>132</v>
      </c>
      <c r="AN1821" t="s">
        <v>125</v>
      </c>
      <c r="AO1821" t="s">
        <v>4262</v>
      </c>
      <c r="BP1821" t="s">
        <v>149</v>
      </c>
      <c r="BR1821" t="s">
        <v>155</v>
      </c>
      <c r="BS1821">
        <v>3</v>
      </c>
      <c r="BX1821" t="s">
        <v>136</v>
      </c>
      <c r="BZ1821" t="s">
        <v>137</v>
      </c>
    </row>
    <row r="1822" spans="1:78" hidden="1" x14ac:dyDescent="0.2">
      <c r="A1822" t="s">
        <v>119</v>
      </c>
      <c r="B1822" t="s">
        <v>120</v>
      </c>
      <c r="C1822" t="s">
        <v>4263</v>
      </c>
      <c r="D1822">
        <v>2</v>
      </c>
      <c r="E1822" t="s">
        <v>373</v>
      </c>
      <c r="F1822" t="s">
        <v>373</v>
      </c>
      <c r="G1822" t="s">
        <v>124</v>
      </c>
      <c r="H1822" t="s">
        <v>125</v>
      </c>
      <c r="I1822">
        <v>0</v>
      </c>
      <c r="J1822" t="s">
        <v>126</v>
      </c>
      <c r="K1822" t="s">
        <v>125</v>
      </c>
      <c r="L1822" t="s">
        <v>4264</v>
      </c>
      <c r="AE1822" t="s">
        <v>128</v>
      </c>
      <c r="AG1822">
        <v>1</v>
      </c>
      <c r="AH1822" t="s">
        <v>3461</v>
      </c>
      <c r="AI1822" t="s">
        <v>572</v>
      </c>
      <c r="AJ1822" t="s">
        <v>131</v>
      </c>
      <c r="AK1822" t="s">
        <v>125</v>
      </c>
      <c r="AL1822">
        <v>2</v>
      </c>
      <c r="AM1822" t="s">
        <v>132</v>
      </c>
      <c r="AN1822" t="s">
        <v>125</v>
      </c>
      <c r="AO1822" t="s">
        <v>4265</v>
      </c>
      <c r="BP1822" t="s">
        <v>149</v>
      </c>
      <c r="BR1822" t="s">
        <v>155</v>
      </c>
      <c r="BS1822">
        <v>1</v>
      </c>
      <c r="BX1822" t="s">
        <v>136</v>
      </c>
      <c r="BZ1822" t="s">
        <v>137</v>
      </c>
    </row>
    <row r="1823" spans="1:78" hidden="1" x14ac:dyDescent="0.2">
      <c r="A1823" t="s">
        <v>119</v>
      </c>
      <c r="B1823" t="s">
        <v>120</v>
      </c>
      <c r="C1823" t="s">
        <v>4266</v>
      </c>
      <c r="D1823">
        <v>2</v>
      </c>
      <c r="E1823" t="s">
        <v>140</v>
      </c>
      <c r="F1823" t="s">
        <v>140</v>
      </c>
      <c r="G1823" t="s">
        <v>124</v>
      </c>
      <c r="H1823" t="s">
        <v>125</v>
      </c>
      <c r="I1823">
        <v>0</v>
      </c>
      <c r="J1823" t="s">
        <v>126</v>
      </c>
      <c r="K1823" t="s">
        <v>125</v>
      </c>
      <c r="L1823" t="s">
        <v>4267</v>
      </c>
      <c r="AE1823" t="s">
        <v>128</v>
      </c>
    </row>
    <row r="1824" spans="1:78" hidden="1" x14ac:dyDescent="0.2">
      <c r="A1824" t="s">
        <v>119</v>
      </c>
      <c r="B1824" t="s">
        <v>120</v>
      </c>
      <c r="C1824" t="s">
        <v>4266</v>
      </c>
      <c r="D1824">
        <v>8</v>
      </c>
      <c r="E1824" t="s">
        <v>602</v>
      </c>
      <c r="F1824" t="s">
        <v>602</v>
      </c>
      <c r="G1824" t="s">
        <v>124</v>
      </c>
      <c r="H1824" t="s">
        <v>125</v>
      </c>
      <c r="I1824">
        <v>2</v>
      </c>
      <c r="J1824" t="s">
        <v>161</v>
      </c>
      <c r="K1824" t="s">
        <v>125</v>
      </c>
      <c r="L1824" t="s">
        <v>4268</v>
      </c>
      <c r="AE1824" t="s">
        <v>128</v>
      </c>
    </row>
    <row r="1825" spans="1:78" hidden="1" x14ac:dyDescent="0.2">
      <c r="A1825" t="s">
        <v>119</v>
      </c>
      <c r="B1825" t="s">
        <v>120</v>
      </c>
      <c r="C1825" t="s">
        <v>4269</v>
      </c>
      <c r="D1825">
        <v>10</v>
      </c>
      <c r="E1825" t="s">
        <v>3467</v>
      </c>
      <c r="F1825" t="s">
        <v>3467</v>
      </c>
      <c r="G1825" t="s">
        <v>124</v>
      </c>
      <c r="H1825" t="s">
        <v>125</v>
      </c>
      <c r="I1825">
        <v>0</v>
      </c>
      <c r="J1825" t="s">
        <v>126</v>
      </c>
      <c r="K1825" t="s">
        <v>125</v>
      </c>
      <c r="L1825" t="s">
        <v>4270</v>
      </c>
      <c r="AE1825" t="s">
        <v>128</v>
      </c>
      <c r="AG1825">
        <v>9</v>
      </c>
      <c r="AH1825" t="s">
        <v>3461</v>
      </c>
      <c r="AI1825" t="s">
        <v>572</v>
      </c>
      <c r="AJ1825" t="s">
        <v>131</v>
      </c>
      <c r="AK1825" t="s">
        <v>125</v>
      </c>
      <c r="AL1825">
        <v>10</v>
      </c>
      <c r="AM1825" t="s">
        <v>132</v>
      </c>
      <c r="AN1825" t="s">
        <v>125</v>
      </c>
      <c r="AO1825" t="s">
        <v>4271</v>
      </c>
      <c r="BP1825" t="s">
        <v>149</v>
      </c>
      <c r="BR1825" t="s">
        <v>155</v>
      </c>
      <c r="BS1825">
        <v>1</v>
      </c>
      <c r="BX1825" t="s">
        <v>136</v>
      </c>
      <c r="BZ1825" t="s">
        <v>137</v>
      </c>
    </row>
    <row r="1826" spans="1:78" hidden="1" x14ac:dyDescent="0.2">
      <c r="A1826" t="s">
        <v>119</v>
      </c>
      <c r="B1826" t="s">
        <v>120</v>
      </c>
      <c r="C1826" t="s">
        <v>4269</v>
      </c>
      <c r="D1826">
        <v>12</v>
      </c>
      <c r="E1826" t="s">
        <v>3840</v>
      </c>
      <c r="F1826" t="s">
        <v>3840</v>
      </c>
      <c r="G1826" t="s">
        <v>124</v>
      </c>
      <c r="H1826" t="s">
        <v>125</v>
      </c>
      <c r="I1826">
        <v>10</v>
      </c>
      <c r="J1826" t="s">
        <v>294</v>
      </c>
      <c r="K1826" t="s">
        <v>125</v>
      </c>
      <c r="L1826" t="s">
        <v>4272</v>
      </c>
      <c r="AE1826" t="s">
        <v>128</v>
      </c>
    </row>
    <row r="1827" spans="1:78" hidden="1" x14ac:dyDescent="0.2">
      <c r="A1827" t="s">
        <v>119</v>
      </c>
      <c r="B1827" t="s">
        <v>120</v>
      </c>
      <c r="C1827" t="s">
        <v>4273</v>
      </c>
      <c r="D1827">
        <v>7</v>
      </c>
      <c r="E1827" t="s">
        <v>449</v>
      </c>
      <c r="F1827" t="s">
        <v>449</v>
      </c>
      <c r="G1827" t="s">
        <v>124</v>
      </c>
      <c r="H1827" t="s">
        <v>125</v>
      </c>
      <c r="I1827">
        <v>0</v>
      </c>
      <c r="J1827" t="s">
        <v>126</v>
      </c>
      <c r="K1827" t="s">
        <v>125</v>
      </c>
      <c r="L1827" t="s">
        <v>4274</v>
      </c>
      <c r="AE1827" t="s">
        <v>128</v>
      </c>
      <c r="AG1827">
        <v>6</v>
      </c>
      <c r="AH1827" t="s">
        <v>3461</v>
      </c>
      <c r="AI1827" t="s">
        <v>572</v>
      </c>
      <c r="AJ1827" t="s">
        <v>131</v>
      </c>
      <c r="AK1827" t="s">
        <v>125</v>
      </c>
      <c r="AL1827">
        <v>7</v>
      </c>
      <c r="AM1827" t="s">
        <v>132</v>
      </c>
      <c r="AN1827" t="s">
        <v>125</v>
      </c>
      <c r="AO1827" t="s">
        <v>4275</v>
      </c>
      <c r="BP1827" t="s">
        <v>149</v>
      </c>
      <c r="BR1827" t="s">
        <v>155</v>
      </c>
      <c r="BS1827">
        <v>1</v>
      </c>
      <c r="BX1827" t="s">
        <v>136</v>
      </c>
      <c r="BZ1827" t="s">
        <v>137</v>
      </c>
    </row>
    <row r="1828" spans="1:78" x14ac:dyDescent="0.2">
      <c r="A1828" t="s">
        <v>119</v>
      </c>
      <c r="B1828" t="s">
        <v>120</v>
      </c>
      <c r="C1828" t="s">
        <v>4273</v>
      </c>
      <c r="D1828">
        <v>9</v>
      </c>
      <c r="E1828" t="s">
        <v>3913</v>
      </c>
      <c r="F1828" t="s">
        <v>202</v>
      </c>
      <c r="G1828" t="s">
        <v>124</v>
      </c>
      <c r="H1828" t="s">
        <v>125</v>
      </c>
      <c r="I1828">
        <v>7</v>
      </c>
      <c r="J1828" t="s">
        <v>161</v>
      </c>
      <c r="K1828" t="s">
        <v>125</v>
      </c>
      <c r="L1828" t="s">
        <v>4276</v>
      </c>
      <c r="U1828" t="s">
        <v>149</v>
      </c>
      <c r="W1828" t="s">
        <v>155</v>
      </c>
      <c r="X1828">
        <v>1</v>
      </c>
      <c r="AC1828" t="s">
        <v>136</v>
      </c>
      <c r="AE1828" t="s">
        <v>137</v>
      </c>
    </row>
    <row r="1829" spans="1:78" x14ac:dyDescent="0.2">
      <c r="A1829" t="s">
        <v>119</v>
      </c>
      <c r="B1829" t="s">
        <v>120</v>
      </c>
      <c r="C1829" t="s">
        <v>4277</v>
      </c>
      <c r="D1829">
        <v>1</v>
      </c>
      <c r="E1829" t="s">
        <v>160</v>
      </c>
      <c r="F1829" t="s">
        <v>146</v>
      </c>
      <c r="G1829" t="s">
        <v>124</v>
      </c>
      <c r="H1829" t="s">
        <v>125</v>
      </c>
      <c r="I1829">
        <v>9</v>
      </c>
      <c r="J1829" t="s">
        <v>210</v>
      </c>
      <c r="K1829" t="s">
        <v>125</v>
      </c>
      <c r="L1829" t="s">
        <v>4278</v>
      </c>
      <c r="U1829" t="s">
        <v>149</v>
      </c>
      <c r="W1829" t="s">
        <v>155</v>
      </c>
      <c r="X1829">
        <v>3</v>
      </c>
      <c r="AC1829" t="s">
        <v>136</v>
      </c>
      <c r="AE1829" t="s">
        <v>137</v>
      </c>
    </row>
    <row r="1830" spans="1:78" x14ac:dyDescent="0.2">
      <c r="A1830" t="s">
        <v>119</v>
      </c>
      <c r="B1830" t="s">
        <v>120</v>
      </c>
      <c r="C1830" t="s">
        <v>4277</v>
      </c>
      <c r="D1830">
        <v>3</v>
      </c>
      <c r="E1830" t="s">
        <v>232</v>
      </c>
      <c r="F1830" t="s">
        <v>205</v>
      </c>
      <c r="G1830" t="s">
        <v>124</v>
      </c>
      <c r="H1830" t="s">
        <v>125</v>
      </c>
      <c r="I1830">
        <v>1</v>
      </c>
      <c r="J1830" t="s">
        <v>268</v>
      </c>
      <c r="K1830" t="s">
        <v>125</v>
      </c>
      <c r="L1830" t="s">
        <v>4279</v>
      </c>
      <c r="U1830" t="s">
        <v>149</v>
      </c>
      <c r="W1830" t="s">
        <v>155</v>
      </c>
      <c r="X1830">
        <v>1</v>
      </c>
      <c r="AC1830" t="s">
        <v>136</v>
      </c>
      <c r="AE1830" t="s">
        <v>137</v>
      </c>
    </row>
    <row r="1831" spans="1:78" hidden="1" x14ac:dyDescent="0.2">
      <c r="A1831" t="s">
        <v>119</v>
      </c>
      <c r="B1831" t="s">
        <v>120</v>
      </c>
      <c r="C1831" t="s">
        <v>4277</v>
      </c>
      <c r="D1831">
        <v>7</v>
      </c>
      <c r="E1831" t="s">
        <v>4280</v>
      </c>
      <c r="F1831" t="s">
        <v>186</v>
      </c>
      <c r="G1831" t="s">
        <v>124</v>
      </c>
      <c r="H1831" t="s">
        <v>125</v>
      </c>
      <c r="I1831">
        <v>5</v>
      </c>
      <c r="J1831" t="s">
        <v>386</v>
      </c>
      <c r="K1831" t="s">
        <v>125</v>
      </c>
      <c r="L1831" t="s">
        <v>4281</v>
      </c>
    </row>
    <row r="1832" spans="1:78" x14ac:dyDescent="0.2">
      <c r="A1832" t="s">
        <v>119</v>
      </c>
      <c r="B1832" t="s">
        <v>120</v>
      </c>
      <c r="C1832" t="s">
        <v>4277</v>
      </c>
      <c r="D1832">
        <v>9</v>
      </c>
      <c r="E1832" t="s">
        <v>160</v>
      </c>
      <c r="F1832" t="s">
        <v>146</v>
      </c>
      <c r="G1832" t="s">
        <v>124</v>
      </c>
      <c r="H1832" t="s">
        <v>125</v>
      </c>
      <c r="I1832">
        <v>0</v>
      </c>
      <c r="J1832" t="s">
        <v>126</v>
      </c>
      <c r="K1832" t="s">
        <v>125</v>
      </c>
      <c r="L1832" t="s">
        <v>4282</v>
      </c>
      <c r="U1832" t="s">
        <v>149</v>
      </c>
      <c r="W1832" t="s">
        <v>155</v>
      </c>
      <c r="X1832">
        <v>3</v>
      </c>
      <c r="AC1832" t="s">
        <v>136</v>
      </c>
      <c r="AE1832" t="s">
        <v>137</v>
      </c>
    </row>
    <row r="1833" spans="1:78" x14ac:dyDescent="0.2">
      <c r="A1833" t="s">
        <v>119</v>
      </c>
      <c r="B1833" t="s">
        <v>120</v>
      </c>
      <c r="C1833" t="s">
        <v>4283</v>
      </c>
      <c r="D1833">
        <v>1</v>
      </c>
      <c r="E1833" t="s">
        <v>3391</v>
      </c>
      <c r="F1833" t="s">
        <v>1399</v>
      </c>
      <c r="G1833" t="s">
        <v>124</v>
      </c>
      <c r="H1833" t="s">
        <v>125</v>
      </c>
      <c r="I1833">
        <v>0</v>
      </c>
      <c r="J1833" t="s">
        <v>126</v>
      </c>
      <c r="K1833" t="s">
        <v>125</v>
      </c>
      <c r="L1833" t="s">
        <v>4284</v>
      </c>
      <c r="U1833" t="s">
        <v>149</v>
      </c>
      <c r="W1833" t="s">
        <v>135</v>
      </c>
      <c r="X1833">
        <v>3</v>
      </c>
      <c r="AC1833" t="s">
        <v>136</v>
      </c>
      <c r="AE1833" t="s">
        <v>137</v>
      </c>
    </row>
    <row r="1834" spans="1:78" hidden="1" x14ac:dyDescent="0.2">
      <c r="A1834" t="s">
        <v>119</v>
      </c>
      <c r="B1834" t="s">
        <v>120</v>
      </c>
      <c r="C1834" t="s">
        <v>4283</v>
      </c>
      <c r="D1834">
        <v>9</v>
      </c>
      <c r="E1834" t="s">
        <v>1023</v>
      </c>
      <c r="F1834" t="s">
        <v>186</v>
      </c>
      <c r="G1834" t="s">
        <v>124</v>
      </c>
      <c r="H1834" t="s">
        <v>125</v>
      </c>
      <c r="I1834">
        <v>3</v>
      </c>
      <c r="J1834" t="s">
        <v>170</v>
      </c>
      <c r="K1834" t="s">
        <v>125</v>
      </c>
      <c r="L1834" t="s">
        <v>4285</v>
      </c>
      <c r="T1834" t="s">
        <v>154</v>
      </c>
      <c r="W1834" t="s">
        <v>135</v>
      </c>
      <c r="AC1834" t="s">
        <v>143</v>
      </c>
      <c r="AE1834" t="s">
        <v>144</v>
      </c>
      <c r="AG1834">
        <v>8</v>
      </c>
      <c r="AH1834" t="s">
        <v>145</v>
      </c>
      <c r="AI1834" t="s">
        <v>146</v>
      </c>
      <c r="AJ1834" t="s">
        <v>131</v>
      </c>
      <c r="AK1834" t="s">
        <v>125</v>
      </c>
      <c r="AL1834">
        <v>9</v>
      </c>
      <c r="AM1834" t="s">
        <v>132</v>
      </c>
      <c r="AN1834" t="s">
        <v>125</v>
      </c>
      <c r="AO1834" t="s">
        <v>4286</v>
      </c>
      <c r="BP1834" t="s">
        <v>149</v>
      </c>
      <c r="BR1834" t="s">
        <v>135</v>
      </c>
      <c r="BS1834">
        <v>3</v>
      </c>
      <c r="BX1834" t="s">
        <v>136</v>
      </c>
      <c r="BZ1834" t="s">
        <v>137</v>
      </c>
    </row>
    <row r="1835" spans="1:78" hidden="1" x14ac:dyDescent="0.2">
      <c r="A1835" t="s">
        <v>119</v>
      </c>
      <c r="B1835" t="s">
        <v>120</v>
      </c>
      <c r="C1835" t="s">
        <v>4287</v>
      </c>
      <c r="D1835">
        <v>3</v>
      </c>
      <c r="E1835" t="s">
        <v>1548</v>
      </c>
      <c r="F1835" t="s">
        <v>1399</v>
      </c>
      <c r="G1835" t="s">
        <v>124</v>
      </c>
      <c r="H1835" t="s">
        <v>125</v>
      </c>
      <c r="I1835">
        <v>0</v>
      </c>
      <c r="J1835" t="s">
        <v>126</v>
      </c>
      <c r="K1835" t="s">
        <v>125</v>
      </c>
      <c r="L1835" t="s">
        <v>4288</v>
      </c>
      <c r="T1835" t="s">
        <v>154</v>
      </c>
      <c r="W1835" t="s">
        <v>135</v>
      </c>
      <c r="AC1835" t="s">
        <v>143</v>
      </c>
      <c r="AE1835" t="s">
        <v>144</v>
      </c>
      <c r="AG1835">
        <v>2</v>
      </c>
      <c r="AH1835" t="s">
        <v>614</v>
      </c>
      <c r="AI1835" t="s">
        <v>205</v>
      </c>
      <c r="AJ1835" t="s">
        <v>131</v>
      </c>
      <c r="AK1835" t="s">
        <v>125</v>
      </c>
      <c r="AL1835">
        <v>3</v>
      </c>
      <c r="AM1835" t="s">
        <v>132</v>
      </c>
      <c r="AN1835" t="s">
        <v>125</v>
      </c>
      <c r="AO1835" t="s">
        <v>2003</v>
      </c>
      <c r="BP1835" t="s">
        <v>149</v>
      </c>
      <c r="BR1835" t="s">
        <v>135</v>
      </c>
      <c r="BS1835">
        <v>3</v>
      </c>
      <c r="BX1835" t="s">
        <v>136</v>
      </c>
      <c r="BZ1835" t="s">
        <v>137</v>
      </c>
    </row>
    <row r="1836" spans="1:78" hidden="1" x14ac:dyDescent="0.2">
      <c r="A1836" t="s">
        <v>119</v>
      </c>
      <c r="B1836" t="s">
        <v>120</v>
      </c>
      <c r="C1836" t="s">
        <v>4289</v>
      </c>
      <c r="D1836">
        <v>4</v>
      </c>
      <c r="E1836" t="s">
        <v>1548</v>
      </c>
      <c r="F1836" t="s">
        <v>1399</v>
      </c>
      <c r="G1836" t="s">
        <v>124</v>
      </c>
      <c r="H1836" t="s">
        <v>125</v>
      </c>
      <c r="I1836">
        <v>0</v>
      </c>
      <c r="J1836" t="s">
        <v>126</v>
      </c>
      <c r="K1836" t="s">
        <v>125</v>
      </c>
      <c r="L1836" t="s">
        <v>4290</v>
      </c>
      <c r="T1836" t="s">
        <v>154</v>
      </c>
      <c r="W1836" t="s">
        <v>135</v>
      </c>
      <c r="AC1836" t="s">
        <v>143</v>
      </c>
      <c r="AE1836" t="s">
        <v>144</v>
      </c>
      <c r="AG1836">
        <v>3</v>
      </c>
      <c r="AH1836" t="s">
        <v>4291</v>
      </c>
      <c r="AI1836" t="s">
        <v>205</v>
      </c>
      <c r="AJ1836" t="s">
        <v>131</v>
      </c>
      <c r="AK1836" t="s">
        <v>125</v>
      </c>
      <c r="AL1836">
        <v>4</v>
      </c>
      <c r="AM1836" t="s">
        <v>132</v>
      </c>
      <c r="AN1836" t="s">
        <v>125</v>
      </c>
      <c r="AO1836" t="s">
        <v>4292</v>
      </c>
      <c r="BP1836" t="s">
        <v>309</v>
      </c>
      <c r="BR1836" t="s">
        <v>155</v>
      </c>
      <c r="BS1836">
        <v>3</v>
      </c>
      <c r="BX1836" t="s">
        <v>136</v>
      </c>
      <c r="BZ1836" t="s">
        <v>137</v>
      </c>
    </row>
    <row r="1837" spans="1:78" x14ac:dyDescent="0.2">
      <c r="A1837" t="s">
        <v>119</v>
      </c>
      <c r="B1837" t="s">
        <v>120</v>
      </c>
      <c r="C1837" t="s">
        <v>4289</v>
      </c>
      <c r="D1837">
        <v>8</v>
      </c>
      <c r="E1837" t="s">
        <v>3317</v>
      </c>
      <c r="F1837" t="s">
        <v>3318</v>
      </c>
      <c r="G1837" t="s">
        <v>124</v>
      </c>
      <c r="H1837" t="s">
        <v>125</v>
      </c>
      <c r="I1837">
        <v>4</v>
      </c>
      <c r="J1837" t="s">
        <v>161</v>
      </c>
      <c r="K1837" t="s">
        <v>125</v>
      </c>
      <c r="L1837" t="s">
        <v>4293</v>
      </c>
      <c r="U1837" t="s">
        <v>149</v>
      </c>
      <c r="W1837" t="s">
        <v>135</v>
      </c>
      <c r="X1837">
        <v>3</v>
      </c>
      <c r="AC1837" t="s">
        <v>136</v>
      </c>
      <c r="AE1837" t="s">
        <v>137</v>
      </c>
    </row>
    <row r="1838" spans="1:78" x14ac:dyDescent="0.2">
      <c r="A1838" t="s">
        <v>119</v>
      </c>
      <c r="B1838" t="s">
        <v>120</v>
      </c>
      <c r="C1838" t="s">
        <v>4294</v>
      </c>
      <c r="D1838">
        <v>13</v>
      </c>
      <c r="E1838" t="s">
        <v>232</v>
      </c>
      <c r="F1838" t="s">
        <v>205</v>
      </c>
      <c r="G1838" t="s">
        <v>124</v>
      </c>
      <c r="H1838" t="s">
        <v>125</v>
      </c>
      <c r="I1838">
        <v>10</v>
      </c>
      <c r="J1838" t="s">
        <v>170</v>
      </c>
      <c r="K1838" t="s">
        <v>125</v>
      </c>
      <c r="L1838" t="s">
        <v>4295</v>
      </c>
      <c r="U1838" t="s">
        <v>149</v>
      </c>
      <c r="W1838" t="s">
        <v>155</v>
      </c>
      <c r="X1838">
        <v>1</v>
      </c>
      <c r="AC1838" t="s">
        <v>136</v>
      </c>
      <c r="AE1838" t="s">
        <v>137</v>
      </c>
    </row>
    <row r="1839" spans="1:78" x14ac:dyDescent="0.2">
      <c r="A1839" t="s">
        <v>119</v>
      </c>
      <c r="B1839" t="s">
        <v>120</v>
      </c>
      <c r="C1839" t="s">
        <v>4296</v>
      </c>
      <c r="D1839">
        <v>1</v>
      </c>
      <c r="E1839" t="s">
        <v>145</v>
      </c>
      <c r="F1839" t="s">
        <v>146</v>
      </c>
      <c r="G1839" t="s">
        <v>124</v>
      </c>
      <c r="H1839" t="s">
        <v>125</v>
      </c>
      <c r="I1839">
        <v>0</v>
      </c>
      <c r="J1839" t="s">
        <v>126</v>
      </c>
      <c r="K1839" t="s">
        <v>125</v>
      </c>
      <c r="L1839" t="s">
        <v>4297</v>
      </c>
      <c r="U1839" t="s">
        <v>149</v>
      </c>
      <c r="W1839" t="s">
        <v>135</v>
      </c>
      <c r="X1839">
        <v>3</v>
      </c>
      <c r="AC1839" t="s">
        <v>136</v>
      </c>
      <c r="AE1839" t="s">
        <v>137</v>
      </c>
    </row>
    <row r="1840" spans="1:78" x14ac:dyDescent="0.2">
      <c r="A1840" t="s">
        <v>119</v>
      </c>
      <c r="B1840" t="s">
        <v>120</v>
      </c>
      <c r="C1840" t="s">
        <v>4296</v>
      </c>
      <c r="D1840">
        <v>5</v>
      </c>
      <c r="E1840" t="s">
        <v>4298</v>
      </c>
      <c r="F1840" t="s">
        <v>4299</v>
      </c>
      <c r="G1840" t="s">
        <v>124</v>
      </c>
      <c r="H1840" t="s">
        <v>125</v>
      </c>
      <c r="I1840">
        <v>1</v>
      </c>
      <c r="J1840" t="s">
        <v>170</v>
      </c>
      <c r="K1840" t="s">
        <v>125</v>
      </c>
      <c r="L1840" t="s">
        <v>4300</v>
      </c>
      <c r="U1840" t="s">
        <v>149</v>
      </c>
      <c r="W1840" t="s">
        <v>135</v>
      </c>
      <c r="X1840">
        <v>3</v>
      </c>
      <c r="AC1840" t="s">
        <v>136</v>
      </c>
      <c r="AE1840" t="s">
        <v>137</v>
      </c>
    </row>
    <row r="1841" spans="1:78" x14ac:dyDescent="0.2">
      <c r="A1841" t="s">
        <v>119</v>
      </c>
      <c r="B1841" t="s">
        <v>120</v>
      </c>
      <c r="C1841" t="s">
        <v>4301</v>
      </c>
      <c r="D1841">
        <v>2</v>
      </c>
      <c r="E1841" t="s">
        <v>197</v>
      </c>
      <c r="F1841" t="s">
        <v>198</v>
      </c>
      <c r="G1841" t="s">
        <v>124</v>
      </c>
      <c r="H1841" t="s">
        <v>125</v>
      </c>
      <c r="I1841">
        <v>0</v>
      </c>
      <c r="J1841" t="s">
        <v>126</v>
      </c>
      <c r="K1841" t="s">
        <v>125</v>
      </c>
      <c r="L1841" t="s">
        <v>4302</v>
      </c>
      <c r="U1841" t="s">
        <v>149</v>
      </c>
      <c r="W1841" t="s">
        <v>135</v>
      </c>
      <c r="X1841">
        <v>1</v>
      </c>
      <c r="AC1841" t="s">
        <v>136</v>
      </c>
      <c r="AE1841" t="s">
        <v>137</v>
      </c>
    </row>
    <row r="1842" spans="1:78" x14ac:dyDescent="0.2">
      <c r="A1842" t="s">
        <v>119</v>
      </c>
      <c r="B1842" t="s">
        <v>120</v>
      </c>
      <c r="C1842" t="s">
        <v>4301</v>
      </c>
      <c r="D1842">
        <v>5</v>
      </c>
      <c r="E1842" t="s">
        <v>4303</v>
      </c>
      <c r="F1842" t="s">
        <v>4304</v>
      </c>
      <c r="G1842" t="s">
        <v>124</v>
      </c>
      <c r="H1842" t="s">
        <v>125</v>
      </c>
      <c r="I1842">
        <v>2</v>
      </c>
      <c r="J1842" t="s">
        <v>268</v>
      </c>
      <c r="K1842" t="s">
        <v>125</v>
      </c>
      <c r="L1842" t="s">
        <v>4305</v>
      </c>
      <c r="U1842" t="s">
        <v>149</v>
      </c>
      <c r="W1842" t="s">
        <v>135</v>
      </c>
      <c r="X1842">
        <v>1</v>
      </c>
      <c r="AC1842" t="s">
        <v>136</v>
      </c>
      <c r="AE1842" t="s">
        <v>137</v>
      </c>
    </row>
    <row r="1843" spans="1:78" x14ac:dyDescent="0.2">
      <c r="A1843" t="s">
        <v>119</v>
      </c>
      <c r="B1843" t="s">
        <v>120</v>
      </c>
      <c r="C1843" t="s">
        <v>4301</v>
      </c>
      <c r="D1843">
        <v>10</v>
      </c>
      <c r="E1843" t="s">
        <v>197</v>
      </c>
      <c r="F1843" t="s">
        <v>198</v>
      </c>
      <c r="G1843" t="s">
        <v>124</v>
      </c>
      <c r="H1843" t="s">
        <v>125</v>
      </c>
      <c r="I1843">
        <v>5</v>
      </c>
      <c r="J1843" t="s">
        <v>161</v>
      </c>
      <c r="K1843" t="s">
        <v>125</v>
      </c>
      <c r="L1843" t="s">
        <v>4306</v>
      </c>
      <c r="U1843" t="s">
        <v>149</v>
      </c>
      <c r="W1843" t="s">
        <v>135</v>
      </c>
      <c r="X1843">
        <v>1</v>
      </c>
      <c r="AC1843" t="s">
        <v>136</v>
      </c>
      <c r="AE1843" t="s">
        <v>137</v>
      </c>
    </row>
    <row r="1844" spans="1:78" x14ac:dyDescent="0.2">
      <c r="A1844" t="s">
        <v>119</v>
      </c>
      <c r="B1844" t="s">
        <v>120</v>
      </c>
      <c r="C1844" t="s">
        <v>4307</v>
      </c>
      <c r="D1844">
        <v>5</v>
      </c>
      <c r="E1844" t="s">
        <v>4308</v>
      </c>
      <c r="F1844" t="s">
        <v>4309</v>
      </c>
      <c r="G1844" t="s">
        <v>124</v>
      </c>
      <c r="H1844" t="s">
        <v>125</v>
      </c>
      <c r="I1844">
        <v>0</v>
      </c>
      <c r="J1844" t="s">
        <v>126</v>
      </c>
      <c r="K1844" t="s">
        <v>125</v>
      </c>
      <c r="L1844" t="s">
        <v>4310</v>
      </c>
      <c r="U1844" t="s">
        <v>209</v>
      </c>
      <c r="W1844" t="s">
        <v>135</v>
      </c>
      <c r="X1844">
        <v>3</v>
      </c>
      <c r="AC1844" t="s">
        <v>136</v>
      </c>
      <c r="AE1844" t="s">
        <v>137</v>
      </c>
      <c r="AG1844">
        <v>3</v>
      </c>
      <c r="AH1844" t="s">
        <v>160</v>
      </c>
      <c r="AI1844" t="s">
        <v>146</v>
      </c>
      <c r="AJ1844" t="s">
        <v>131</v>
      </c>
      <c r="AK1844" t="s">
        <v>125</v>
      </c>
      <c r="AL1844">
        <v>5</v>
      </c>
      <c r="AM1844" t="s">
        <v>132</v>
      </c>
      <c r="AN1844" t="s">
        <v>125</v>
      </c>
      <c r="AO1844" t="s">
        <v>4311</v>
      </c>
      <c r="BP1844" t="s">
        <v>149</v>
      </c>
      <c r="BR1844" t="s">
        <v>155</v>
      </c>
      <c r="BS1844">
        <v>3</v>
      </c>
      <c r="BX1844" t="s">
        <v>136</v>
      </c>
      <c r="BZ1844" t="s">
        <v>137</v>
      </c>
    </row>
    <row r="1845" spans="1:78" hidden="1" x14ac:dyDescent="0.2">
      <c r="A1845" t="s">
        <v>119</v>
      </c>
      <c r="B1845" t="s">
        <v>120</v>
      </c>
      <c r="C1845" t="s">
        <v>4307</v>
      </c>
      <c r="D1845">
        <v>10</v>
      </c>
      <c r="E1845" t="s">
        <v>1237</v>
      </c>
      <c r="F1845" t="s">
        <v>123</v>
      </c>
      <c r="G1845" t="s">
        <v>124</v>
      </c>
      <c r="H1845" t="s">
        <v>125</v>
      </c>
      <c r="I1845">
        <v>5</v>
      </c>
      <c r="J1845" t="s">
        <v>170</v>
      </c>
      <c r="K1845" t="s">
        <v>125</v>
      </c>
      <c r="L1845" t="s">
        <v>4312</v>
      </c>
      <c r="U1845" t="s">
        <v>149</v>
      </c>
      <c r="W1845" t="s">
        <v>155</v>
      </c>
      <c r="X1845">
        <v>3</v>
      </c>
      <c r="AC1845" t="s">
        <v>209</v>
      </c>
      <c r="AE1845" t="s">
        <v>137</v>
      </c>
    </row>
    <row r="1846" spans="1:78" hidden="1" x14ac:dyDescent="0.2">
      <c r="A1846" t="s">
        <v>119</v>
      </c>
      <c r="B1846" t="s">
        <v>120</v>
      </c>
      <c r="C1846" t="s">
        <v>4307</v>
      </c>
      <c r="D1846">
        <v>17</v>
      </c>
      <c r="E1846" t="s">
        <v>4313</v>
      </c>
      <c r="F1846" t="s">
        <v>4313</v>
      </c>
      <c r="G1846" t="s">
        <v>124</v>
      </c>
      <c r="H1846" t="s">
        <v>125</v>
      </c>
      <c r="I1846">
        <v>5</v>
      </c>
      <c r="J1846" t="s">
        <v>161</v>
      </c>
      <c r="K1846" t="s">
        <v>125</v>
      </c>
      <c r="L1846" t="s">
        <v>4314</v>
      </c>
      <c r="AE1846" t="s">
        <v>128</v>
      </c>
      <c r="AG1846">
        <v>16</v>
      </c>
      <c r="AH1846" t="s">
        <v>571</v>
      </c>
      <c r="AI1846" t="s">
        <v>572</v>
      </c>
      <c r="AJ1846" t="s">
        <v>131</v>
      </c>
      <c r="AK1846" t="s">
        <v>125</v>
      </c>
      <c r="AL1846">
        <v>17</v>
      </c>
      <c r="AM1846" t="s">
        <v>132</v>
      </c>
      <c r="AN1846" t="s">
        <v>125</v>
      </c>
      <c r="AO1846" t="s">
        <v>4315</v>
      </c>
      <c r="BP1846" t="s">
        <v>149</v>
      </c>
      <c r="BR1846" t="s">
        <v>155</v>
      </c>
      <c r="BS1846">
        <v>3</v>
      </c>
      <c r="BX1846" t="s">
        <v>136</v>
      </c>
      <c r="BZ1846" t="s">
        <v>137</v>
      </c>
    </row>
    <row r="1847" spans="1:78" x14ac:dyDescent="0.2">
      <c r="A1847" t="s">
        <v>119</v>
      </c>
      <c r="B1847" t="s">
        <v>120</v>
      </c>
      <c r="C1847" t="s">
        <v>4316</v>
      </c>
      <c r="D1847">
        <v>2</v>
      </c>
      <c r="E1847" t="s">
        <v>1764</v>
      </c>
      <c r="F1847" t="s">
        <v>261</v>
      </c>
      <c r="G1847" t="s">
        <v>124</v>
      </c>
      <c r="H1847" t="s">
        <v>125</v>
      </c>
      <c r="I1847">
        <v>0</v>
      </c>
      <c r="J1847" t="s">
        <v>126</v>
      </c>
      <c r="K1847" t="s">
        <v>125</v>
      </c>
      <c r="L1847" t="s">
        <v>4317</v>
      </c>
      <c r="U1847" t="s">
        <v>149</v>
      </c>
      <c r="W1847" t="s">
        <v>135</v>
      </c>
      <c r="X1847">
        <v>3</v>
      </c>
      <c r="AC1847" t="s">
        <v>136</v>
      </c>
      <c r="AE1847" t="s">
        <v>137</v>
      </c>
    </row>
    <row r="1848" spans="1:78" hidden="1" x14ac:dyDescent="0.2">
      <c r="A1848" t="s">
        <v>119</v>
      </c>
      <c r="B1848" t="s">
        <v>120</v>
      </c>
      <c r="C1848" t="s">
        <v>4318</v>
      </c>
      <c r="D1848">
        <v>2</v>
      </c>
      <c r="E1848" t="s">
        <v>1548</v>
      </c>
      <c r="F1848" t="s">
        <v>1399</v>
      </c>
      <c r="G1848" t="s">
        <v>124</v>
      </c>
      <c r="H1848" t="s">
        <v>125</v>
      </c>
      <c r="I1848">
        <v>0</v>
      </c>
      <c r="J1848" t="s">
        <v>126</v>
      </c>
      <c r="K1848" t="s">
        <v>125</v>
      </c>
      <c r="L1848" t="s">
        <v>4319</v>
      </c>
      <c r="T1848" t="s">
        <v>154</v>
      </c>
      <c r="W1848" t="s">
        <v>135</v>
      </c>
      <c r="AC1848" t="s">
        <v>143</v>
      </c>
      <c r="AE1848" t="s">
        <v>144</v>
      </c>
      <c r="AG1848">
        <v>1</v>
      </c>
      <c r="AH1848" t="s">
        <v>207</v>
      </c>
      <c r="AI1848" t="s">
        <v>146</v>
      </c>
      <c r="AJ1848" t="s">
        <v>131</v>
      </c>
      <c r="AK1848" t="s">
        <v>125</v>
      </c>
      <c r="AL1848">
        <v>2</v>
      </c>
      <c r="AM1848" t="s">
        <v>132</v>
      </c>
      <c r="AN1848" t="s">
        <v>125</v>
      </c>
      <c r="AO1848" t="s">
        <v>4320</v>
      </c>
      <c r="BP1848" t="s">
        <v>149</v>
      </c>
      <c r="BR1848" t="s">
        <v>135</v>
      </c>
      <c r="BS1848">
        <v>3</v>
      </c>
      <c r="BX1848" t="s">
        <v>209</v>
      </c>
      <c r="BZ1848" t="s">
        <v>137</v>
      </c>
    </row>
    <row r="1849" spans="1:78" hidden="1" x14ac:dyDescent="0.2">
      <c r="A1849" t="s">
        <v>119</v>
      </c>
      <c r="B1849" t="s">
        <v>120</v>
      </c>
      <c r="C1849" t="s">
        <v>4321</v>
      </c>
      <c r="D1849">
        <v>6</v>
      </c>
      <c r="E1849" t="s">
        <v>4322</v>
      </c>
      <c r="F1849" t="s">
        <v>350</v>
      </c>
      <c r="G1849" t="s">
        <v>124</v>
      </c>
      <c r="H1849" t="s">
        <v>125</v>
      </c>
      <c r="I1849">
        <v>0</v>
      </c>
      <c r="J1849" t="s">
        <v>126</v>
      </c>
      <c r="K1849" t="s">
        <v>125</v>
      </c>
      <c r="L1849" t="s">
        <v>4323</v>
      </c>
      <c r="T1849" t="s">
        <v>154</v>
      </c>
      <c r="W1849" t="s">
        <v>135</v>
      </c>
      <c r="AC1849" t="s">
        <v>143</v>
      </c>
      <c r="AE1849" t="s">
        <v>144</v>
      </c>
      <c r="AG1849">
        <v>5</v>
      </c>
      <c r="AH1849" t="s">
        <v>145</v>
      </c>
      <c r="AI1849" t="s">
        <v>146</v>
      </c>
      <c r="AJ1849" t="s">
        <v>131</v>
      </c>
      <c r="AK1849" t="s">
        <v>125</v>
      </c>
      <c r="AL1849">
        <v>6</v>
      </c>
      <c r="AM1849" t="s">
        <v>132</v>
      </c>
      <c r="AN1849" t="s">
        <v>125</v>
      </c>
      <c r="AO1849" t="s">
        <v>4324</v>
      </c>
      <c r="BP1849" t="s">
        <v>149</v>
      </c>
      <c r="BR1849" t="s">
        <v>135</v>
      </c>
      <c r="BS1849">
        <v>3</v>
      </c>
      <c r="BX1849" t="s">
        <v>136</v>
      </c>
      <c r="BZ1849" t="s">
        <v>137</v>
      </c>
    </row>
    <row r="1850" spans="1:78" hidden="1" x14ac:dyDescent="0.2">
      <c r="A1850" t="s">
        <v>119</v>
      </c>
      <c r="B1850" t="s">
        <v>120</v>
      </c>
      <c r="C1850" t="s">
        <v>4325</v>
      </c>
      <c r="D1850">
        <v>2</v>
      </c>
      <c r="E1850" t="s">
        <v>2177</v>
      </c>
      <c r="F1850" t="s">
        <v>242</v>
      </c>
      <c r="G1850" t="s">
        <v>124</v>
      </c>
      <c r="H1850" t="s">
        <v>125</v>
      </c>
      <c r="I1850">
        <v>0</v>
      </c>
      <c r="J1850" t="s">
        <v>126</v>
      </c>
      <c r="K1850" t="s">
        <v>125</v>
      </c>
      <c r="L1850" t="s">
        <v>4326</v>
      </c>
      <c r="T1850" t="s">
        <v>154</v>
      </c>
      <c r="W1850" t="s">
        <v>135</v>
      </c>
      <c r="AC1850" t="s">
        <v>143</v>
      </c>
      <c r="AE1850" t="s">
        <v>144</v>
      </c>
      <c r="AG1850">
        <v>1</v>
      </c>
      <c r="AH1850" t="s">
        <v>614</v>
      </c>
      <c r="AI1850" t="s">
        <v>205</v>
      </c>
      <c r="AJ1850" t="s">
        <v>131</v>
      </c>
      <c r="AK1850" t="s">
        <v>125</v>
      </c>
      <c r="AL1850">
        <v>2</v>
      </c>
      <c r="AM1850" t="s">
        <v>132</v>
      </c>
      <c r="AN1850" t="s">
        <v>125</v>
      </c>
      <c r="AO1850" t="s">
        <v>4327</v>
      </c>
      <c r="BP1850" t="s">
        <v>149</v>
      </c>
      <c r="BR1850" t="s">
        <v>135</v>
      </c>
      <c r="BS1850">
        <v>3</v>
      </c>
      <c r="BX1850" t="s">
        <v>136</v>
      </c>
      <c r="BZ1850" t="s">
        <v>137</v>
      </c>
    </row>
    <row r="1851" spans="1:78" hidden="1" x14ac:dyDescent="0.2">
      <c r="A1851" t="s">
        <v>119</v>
      </c>
      <c r="B1851" t="s">
        <v>120</v>
      </c>
      <c r="C1851" t="s">
        <v>4328</v>
      </c>
      <c r="D1851">
        <v>4</v>
      </c>
      <c r="E1851" t="s">
        <v>4329</v>
      </c>
      <c r="F1851" t="s">
        <v>4330</v>
      </c>
      <c r="G1851" t="s">
        <v>124</v>
      </c>
      <c r="H1851" t="s">
        <v>125</v>
      </c>
      <c r="I1851">
        <v>0</v>
      </c>
      <c r="J1851" t="s">
        <v>126</v>
      </c>
      <c r="K1851" t="s">
        <v>125</v>
      </c>
      <c r="L1851" t="s">
        <v>4331</v>
      </c>
      <c r="T1851" t="s">
        <v>154</v>
      </c>
      <c r="W1851" t="s">
        <v>135</v>
      </c>
      <c r="AC1851" t="s">
        <v>143</v>
      </c>
      <c r="AE1851" t="s">
        <v>144</v>
      </c>
      <c r="AG1851">
        <v>2</v>
      </c>
      <c r="AH1851" t="s">
        <v>145</v>
      </c>
      <c r="AI1851" t="s">
        <v>146</v>
      </c>
      <c r="AJ1851" t="s">
        <v>131</v>
      </c>
      <c r="AK1851" t="s">
        <v>125</v>
      </c>
      <c r="AL1851">
        <v>4</v>
      </c>
      <c r="AM1851" t="s">
        <v>132</v>
      </c>
      <c r="AN1851" t="s">
        <v>125</v>
      </c>
      <c r="AO1851" t="s">
        <v>4332</v>
      </c>
      <c r="BP1851" t="s">
        <v>149</v>
      </c>
      <c r="BR1851" t="s">
        <v>135</v>
      </c>
      <c r="BS1851">
        <v>3</v>
      </c>
      <c r="BX1851" t="s">
        <v>136</v>
      </c>
      <c r="BZ1851" t="s">
        <v>137</v>
      </c>
    </row>
    <row r="1852" spans="1:78" x14ac:dyDescent="0.2">
      <c r="A1852" t="s">
        <v>119</v>
      </c>
      <c r="B1852" t="s">
        <v>120</v>
      </c>
      <c r="C1852" t="s">
        <v>4333</v>
      </c>
      <c r="D1852">
        <v>4</v>
      </c>
      <c r="E1852" t="s">
        <v>327</v>
      </c>
      <c r="F1852" t="s">
        <v>198</v>
      </c>
      <c r="G1852" t="s">
        <v>124</v>
      </c>
      <c r="H1852" t="s">
        <v>125</v>
      </c>
      <c r="I1852">
        <v>0</v>
      </c>
      <c r="J1852" t="s">
        <v>126</v>
      </c>
      <c r="K1852" t="s">
        <v>125</v>
      </c>
      <c r="L1852" t="s">
        <v>4334</v>
      </c>
      <c r="U1852" t="s">
        <v>149</v>
      </c>
      <c r="W1852" t="s">
        <v>135</v>
      </c>
      <c r="X1852">
        <v>3</v>
      </c>
      <c r="AC1852" t="s">
        <v>136</v>
      </c>
      <c r="AE1852" t="s">
        <v>137</v>
      </c>
    </row>
    <row r="1853" spans="1:78" hidden="1" x14ac:dyDescent="0.2">
      <c r="A1853" t="s">
        <v>119</v>
      </c>
      <c r="B1853" t="s">
        <v>120</v>
      </c>
      <c r="C1853" t="s">
        <v>4335</v>
      </c>
      <c r="D1853">
        <v>7</v>
      </c>
      <c r="E1853" t="s">
        <v>1023</v>
      </c>
      <c r="F1853" t="s">
        <v>186</v>
      </c>
      <c r="G1853" t="s">
        <v>124</v>
      </c>
      <c r="H1853" t="s">
        <v>125</v>
      </c>
      <c r="I1853">
        <v>0</v>
      </c>
      <c r="J1853" t="s">
        <v>126</v>
      </c>
      <c r="K1853" t="s">
        <v>125</v>
      </c>
      <c r="L1853" t="s">
        <v>4336</v>
      </c>
      <c r="T1853" t="s">
        <v>154</v>
      </c>
      <c r="W1853" t="s">
        <v>135</v>
      </c>
      <c r="AC1853" t="s">
        <v>143</v>
      </c>
      <c r="AE1853" t="s">
        <v>144</v>
      </c>
      <c r="AG1853">
        <v>4</v>
      </c>
      <c r="AH1853" t="s">
        <v>145</v>
      </c>
      <c r="AI1853" t="s">
        <v>146</v>
      </c>
      <c r="AJ1853" t="s">
        <v>131</v>
      </c>
      <c r="AK1853" t="s">
        <v>125</v>
      </c>
      <c r="AL1853">
        <v>7</v>
      </c>
      <c r="AM1853" t="s">
        <v>132</v>
      </c>
      <c r="AN1853" t="s">
        <v>125</v>
      </c>
      <c r="AO1853" t="s">
        <v>4337</v>
      </c>
      <c r="BP1853" t="s">
        <v>149</v>
      </c>
      <c r="BR1853" t="s">
        <v>135</v>
      </c>
      <c r="BS1853">
        <v>3</v>
      </c>
      <c r="BX1853" t="s">
        <v>136</v>
      </c>
      <c r="BZ1853" t="s">
        <v>137</v>
      </c>
    </row>
    <row r="1854" spans="1:78" x14ac:dyDescent="0.2">
      <c r="A1854" t="s">
        <v>119</v>
      </c>
      <c r="B1854" t="s">
        <v>120</v>
      </c>
      <c r="C1854" t="s">
        <v>4335</v>
      </c>
      <c r="D1854">
        <v>23</v>
      </c>
      <c r="E1854" t="s">
        <v>1708</v>
      </c>
      <c r="F1854" t="s">
        <v>773</v>
      </c>
      <c r="G1854" t="s">
        <v>124</v>
      </c>
      <c r="H1854" t="s">
        <v>125</v>
      </c>
      <c r="I1854">
        <v>7</v>
      </c>
      <c r="J1854" t="s">
        <v>161</v>
      </c>
      <c r="K1854" t="s">
        <v>125</v>
      </c>
      <c r="L1854" t="s">
        <v>4338</v>
      </c>
      <c r="U1854" t="s">
        <v>149</v>
      </c>
      <c r="W1854" t="s">
        <v>135</v>
      </c>
      <c r="X1854">
        <v>3</v>
      </c>
      <c r="AC1854" t="s">
        <v>136</v>
      </c>
      <c r="AE1854" t="s">
        <v>137</v>
      </c>
    </row>
    <row r="1855" spans="1:78" x14ac:dyDescent="0.2">
      <c r="A1855" t="s">
        <v>119</v>
      </c>
      <c r="B1855" t="s">
        <v>120</v>
      </c>
      <c r="C1855" t="s">
        <v>4339</v>
      </c>
      <c r="D1855">
        <v>2</v>
      </c>
      <c r="E1855" t="s">
        <v>1368</v>
      </c>
      <c r="F1855" t="s">
        <v>123</v>
      </c>
      <c r="G1855" t="s">
        <v>124</v>
      </c>
      <c r="H1855" t="s">
        <v>125</v>
      </c>
      <c r="I1855">
        <v>0</v>
      </c>
      <c r="J1855" t="s">
        <v>126</v>
      </c>
      <c r="K1855" t="s">
        <v>125</v>
      </c>
      <c r="L1855" t="s">
        <v>4340</v>
      </c>
      <c r="U1855" t="s">
        <v>149</v>
      </c>
      <c r="W1855" t="s">
        <v>135</v>
      </c>
      <c r="X1855">
        <v>3</v>
      </c>
      <c r="AC1855" t="s">
        <v>136</v>
      </c>
      <c r="AE1855" t="s">
        <v>137</v>
      </c>
    </row>
    <row r="1856" spans="1:78" x14ac:dyDescent="0.2">
      <c r="A1856" t="s">
        <v>119</v>
      </c>
      <c r="B1856" t="s">
        <v>120</v>
      </c>
      <c r="C1856" t="s">
        <v>4339</v>
      </c>
      <c r="D1856">
        <v>13</v>
      </c>
      <c r="E1856" t="s">
        <v>4341</v>
      </c>
      <c r="F1856" t="s">
        <v>773</v>
      </c>
      <c r="G1856" t="s">
        <v>124</v>
      </c>
      <c r="H1856" t="s">
        <v>125</v>
      </c>
      <c r="I1856">
        <v>7</v>
      </c>
      <c r="J1856" t="s">
        <v>170</v>
      </c>
      <c r="K1856" t="s">
        <v>125</v>
      </c>
      <c r="L1856" t="s">
        <v>4342</v>
      </c>
      <c r="U1856" t="s">
        <v>149</v>
      </c>
      <c r="W1856" t="s">
        <v>155</v>
      </c>
      <c r="X1856">
        <v>3</v>
      </c>
      <c r="AC1856" t="s">
        <v>136</v>
      </c>
      <c r="AE1856" t="s">
        <v>137</v>
      </c>
    </row>
    <row r="1857" spans="1:78" hidden="1" x14ac:dyDescent="0.2">
      <c r="A1857" t="s">
        <v>119</v>
      </c>
      <c r="B1857" t="s">
        <v>120</v>
      </c>
      <c r="C1857" t="s">
        <v>4343</v>
      </c>
      <c r="D1857">
        <v>3</v>
      </c>
      <c r="E1857" t="s">
        <v>4344</v>
      </c>
      <c r="F1857" t="s">
        <v>4345</v>
      </c>
      <c r="G1857" t="s">
        <v>124</v>
      </c>
      <c r="H1857" t="s">
        <v>125</v>
      </c>
      <c r="I1857">
        <v>0</v>
      </c>
      <c r="J1857" t="s">
        <v>126</v>
      </c>
      <c r="K1857" t="s">
        <v>125</v>
      </c>
      <c r="L1857" t="s">
        <v>4346</v>
      </c>
      <c r="T1857" t="s">
        <v>142</v>
      </c>
      <c r="W1857" t="s">
        <v>135</v>
      </c>
      <c r="AC1857" t="s">
        <v>143</v>
      </c>
      <c r="AE1857" t="s">
        <v>144</v>
      </c>
      <c r="AG1857">
        <v>2</v>
      </c>
      <c r="AH1857" t="s">
        <v>145</v>
      </c>
      <c r="AI1857" t="s">
        <v>146</v>
      </c>
      <c r="AJ1857" t="s">
        <v>131</v>
      </c>
      <c r="AK1857" t="s">
        <v>125</v>
      </c>
      <c r="AL1857">
        <v>3</v>
      </c>
      <c r="AM1857" t="s">
        <v>132</v>
      </c>
      <c r="AN1857" t="s">
        <v>125</v>
      </c>
      <c r="AO1857" t="s">
        <v>4347</v>
      </c>
      <c r="BP1857" t="s">
        <v>149</v>
      </c>
      <c r="BR1857" t="s">
        <v>135</v>
      </c>
      <c r="BS1857">
        <v>3</v>
      </c>
      <c r="BX1857" t="s">
        <v>136</v>
      </c>
      <c r="BZ1857" t="s">
        <v>137</v>
      </c>
    </row>
    <row r="1858" spans="1:78" x14ac:dyDescent="0.2">
      <c r="A1858" t="s">
        <v>119</v>
      </c>
      <c r="B1858" t="s">
        <v>120</v>
      </c>
      <c r="C1858" t="s">
        <v>4348</v>
      </c>
      <c r="D1858">
        <v>9</v>
      </c>
      <c r="E1858" t="s">
        <v>1764</v>
      </c>
      <c r="F1858" t="s">
        <v>261</v>
      </c>
      <c r="G1858" t="s">
        <v>124</v>
      </c>
      <c r="H1858" t="s">
        <v>125</v>
      </c>
      <c r="I1858">
        <v>0</v>
      </c>
      <c r="J1858" t="s">
        <v>126</v>
      </c>
      <c r="K1858" t="s">
        <v>125</v>
      </c>
      <c r="L1858" t="s">
        <v>4349</v>
      </c>
      <c r="U1858" t="s">
        <v>149</v>
      </c>
      <c r="W1858" t="s">
        <v>135</v>
      </c>
      <c r="X1858">
        <v>3</v>
      </c>
      <c r="AC1858" t="s">
        <v>136</v>
      </c>
      <c r="AE1858" t="s">
        <v>137</v>
      </c>
    </row>
    <row r="1859" spans="1:78" x14ac:dyDescent="0.2">
      <c r="A1859" t="s">
        <v>119</v>
      </c>
      <c r="B1859" t="s">
        <v>120</v>
      </c>
      <c r="C1859" t="s">
        <v>4350</v>
      </c>
      <c r="D1859">
        <v>2</v>
      </c>
      <c r="E1859" t="s">
        <v>145</v>
      </c>
      <c r="F1859" t="s">
        <v>146</v>
      </c>
      <c r="G1859" t="s">
        <v>124</v>
      </c>
      <c r="H1859" t="s">
        <v>125</v>
      </c>
      <c r="I1859">
        <v>0</v>
      </c>
      <c r="J1859" t="s">
        <v>126</v>
      </c>
      <c r="K1859" t="s">
        <v>125</v>
      </c>
      <c r="L1859" t="s">
        <v>4351</v>
      </c>
      <c r="U1859" t="s">
        <v>149</v>
      </c>
      <c r="W1859" t="s">
        <v>135</v>
      </c>
      <c r="X1859">
        <v>3</v>
      </c>
      <c r="AC1859" t="s">
        <v>136</v>
      </c>
      <c r="AE1859" t="s">
        <v>137</v>
      </c>
    </row>
    <row r="1860" spans="1:78" hidden="1" x14ac:dyDescent="0.2">
      <c r="A1860" t="s">
        <v>119</v>
      </c>
      <c r="B1860" t="s">
        <v>120</v>
      </c>
      <c r="C1860" t="s">
        <v>4350</v>
      </c>
      <c r="D1860">
        <v>7</v>
      </c>
      <c r="E1860" t="s">
        <v>4352</v>
      </c>
      <c r="F1860" t="s">
        <v>773</v>
      </c>
      <c r="G1860" t="s">
        <v>124</v>
      </c>
      <c r="H1860" t="s">
        <v>125</v>
      </c>
      <c r="I1860">
        <v>4</v>
      </c>
      <c r="J1860" t="s">
        <v>170</v>
      </c>
      <c r="K1860" t="s">
        <v>125</v>
      </c>
      <c r="L1860" t="s">
        <v>4353</v>
      </c>
      <c r="U1860" t="s">
        <v>149</v>
      </c>
      <c r="W1860" t="s">
        <v>135</v>
      </c>
      <c r="X1860">
        <v>3</v>
      </c>
      <c r="AC1860" t="s">
        <v>209</v>
      </c>
      <c r="AE1860" t="s">
        <v>137</v>
      </c>
    </row>
    <row r="1861" spans="1:78" hidden="1" x14ac:dyDescent="0.2">
      <c r="A1861" t="s">
        <v>119</v>
      </c>
      <c r="B1861" t="s">
        <v>120</v>
      </c>
      <c r="C1861" t="s">
        <v>4354</v>
      </c>
      <c r="D1861">
        <v>5</v>
      </c>
      <c r="E1861" t="s">
        <v>773</v>
      </c>
      <c r="F1861" t="s">
        <v>773</v>
      </c>
      <c r="G1861" t="s">
        <v>124</v>
      </c>
      <c r="H1861" t="s">
        <v>125</v>
      </c>
      <c r="I1861">
        <v>0</v>
      </c>
      <c r="J1861" t="s">
        <v>126</v>
      </c>
      <c r="K1861" t="s">
        <v>125</v>
      </c>
      <c r="L1861" t="s">
        <v>4355</v>
      </c>
      <c r="AE1861" t="s">
        <v>128</v>
      </c>
      <c r="AG1861">
        <v>3</v>
      </c>
      <c r="AH1861" t="s">
        <v>3717</v>
      </c>
      <c r="AI1861" t="s">
        <v>572</v>
      </c>
      <c r="AJ1861" t="s">
        <v>131</v>
      </c>
      <c r="AK1861" t="s">
        <v>125</v>
      </c>
      <c r="AL1861">
        <v>5</v>
      </c>
      <c r="AM1861" t="s">
        <v>132</v>
      </c>
      <c r="AN1861" t="s">
        <v>125</v>
      </c>
      <c r="AO1861" t="s">
        <v>4356</v>
      </c>
      <c r="BP1861" t="s">
        <v>149</v>
      </c>
      <c r="BR1861" t="s">
        <v>155</v>
      </c>
      <c r="BS1861">
        <v>2</v>
      </c>
      <c r="BX1861" t="s">
        <v>136</v>
      </c>
      <c r="BZ1861" t="s">
        <v>137</v>
      </c>
    </row>
    <row r="1862" spans="1:78" x14ac:dyDescent="0.2">
      <c r="A1862" t="s">
        <v>119</v>
      </c>
      <c r="B1862" t="s">
        <v>120</v>
      </c>
      <c r="C1862" t="s">
        <v>4357</v>
      </c>
      <c r="D1862">
        <v>8</v>
      </c>
      <c r="E1862" t="s">
        <v>3584</v>
      </c>
      <c r="F1862" t="s">
        <v>1001</v>
      </c>
      <c r="G1862" t="s">
        <v>124</v>
      </c>
      <c r="H1862" t="s">
        <v>125</v>
      </c>
      <c r="I1862">
        <v>0</v>
      </c>
      <c r="J1862" t="s">
        <v>126</v>
      </c>
      <c r="K1862" t="s">
        <v>125</v>
      </c>
      <c r="L1862" t="s">
        <v>4358</v>
      </c>
      <c r="U1862" t="s">
        <v>149</v>
      </c>
      <c r="W1862" t="s">
        <v>155</v>
      </c>
      <c r="X1862">
        <v>3</v>
      </c>
      <c r="AC1862" t="s">
        <v>136</v>
      </c>
      <c r="AE1862" t="s">
        <v>137</v>
      </c>
    </row>
    <row r="1863" spans="1:78" x14ac:dyDescent="0.2">
      <c r="A1863" t="s">
        <v>119</v>
      </c>
      <c r="B1863" t="s">
        <v>120</v>
      </c>
      <c r="C1863" t="s">
        <v>4357</v>
      </c>
      <c r="D1863">
        <v>14</v>
      </c>
      <c r="E1863" t="s">
        <v>4359</v>
      </c>
      <c r="F1863" t="s">
        <v>1001</v>
      </c>
      <c r="G1863" t="s">
        <v>124</v>
      </c>
      <c r="H1863" t="s">
        <v>125</v>
      </c>
      <c r="I1863">
        <v>8</v>
      </c>
      <c r="J1863" t="s">
        <v>161</v>
      </c>
      <c r="K1863" t="s">
        <v>125</v>
      </c>
      <c r="L1863" t="s">
        <v>4360</v>
      </c>
      <c r="U1863" t="s">
        <v>149</v>
      </c>
      <c r="W1863" t="s">
        <v>135</v>
      </c>
      <c r="X1863">
        <v>1</v>
      </c>
      <c r="AC1863" t="s">
        <v>136</v>
      </c>
      <c r="AE1863" t="s">
        <v>137</v>
      </c>
    </row>
    <row r="1864" spans="1:78" x14ac:dyDescent="0.2">
      <c r="A1864" t="s">
        <v>119</v>
      </c>
      <c r="B1864" t="s">
        <v>120</v>
      </c>
      <c r="C1864" t="s">
        <v>4361</v>
      </c>
      <c r="D1864">
        <v>4</v>
      </c>
      <c r="E1864" t="s">
        <v>2512</v>
      </c>
      <c r="F1864" t="s">
        <v>1399</v>
      </c>
      <c r="G1864" t="s">
        <v>124</v>
      </c>
      <c r="H1864" t="s">
        <v>125</v>
      </c>
      <c r="I1864">
        <v>12</v>
      </c>
      <c r="J1864" t="s">
        <v>268</v>
      </c>
      <c r="K1864" t="s">
        <v>125</v>
      </c>
      <c r="L1864" t="s">
        <v>4362</v>
      </c>
      <c r="U1864" t="s">
        <v>149</v>
      </c>
      <c r="W1864" t="s">
        <v>135</v>
      </c>
      <c r="X1864">
        <v>3</v>
      </c>
      <c r="AC1864" t="s">
        <v>136</v>
      </c>
      <c r="AE1864" t="s">
        <v>137</v>
      </c>
    </row>
    <row r="1865" spans="1:78" x14ac:dyDescent="0.2">
      <c r="A1865" t="s">
        <v>119</v>
      </c>
      <c r="B1865" t="s">
        <v>120</v>
      </c>
      <c r="C1865" t="s">
        <v>4363</v>
      </c>
      <c r="D1865">
        <v>5</v>
      </c>
      <c r="E1865" t="s">
        <v>4364</v>
      </c>
      <c r="F1865" t="s">
        <v>434</v>
      </c>
      <c r="G1865" t="s">
        <v>124</v>
      </c>
      <c r="H1865" t="s">
        <v>125</v>
      </c>
      <c r="I1865">
        <v>0</v>
      </c>
      <c r="J1865" t="s">
        <v>126</v>
      </c>
      <c r="K1865" t="s">
        <v>125</v>
      </c>
      <c r="L1865" t="s">
        <v>4365</v>
      </c>
      <c r="U1865" t="s">
        <v>149</v>
      </c>
      <c r="W1865" t="s">
        <v>155</v>
      </c>
      <c r="X1865">
        <v>3</v>
      </c>
      <c r="AC1865" t="s">
        <v>136</v>
      </c>
      <c r="AE1865" t="s">
        <v>137</v>
      </c>
    </row>
    <row r="1866" spans="1:78" x14ac:dyDescent="0.2">
      <c r="A1866" t="s">
        <v>119</v>
      </c>
      <c r="B1866" t="s">
        <v>120</v>
      </c>
      <c r="C1866" t="s">
        <v>4366</v>
      </c>
      <c r="D1866">
        <v>2</v>
      </c>
      <c r="E1866" t="s">
        <v>1625</v>
      </c>
      <c r="F1866" t="s">
        <v>261</v>
      </c>
      <c r="G1866" t="s">
        <v>124</v>
      </c>
      <c r="H1866" t="s">
        <v>125</v>
      </c>
      <c r="I1866">
        <v>0</v>
      </c>
      <c r="J1866" t="s">
        <v>126</v>
      </c>
      <c r="K1866" t="s">
        <v>125</v>
      </c>
      <c r="L1866" t="s">
        <v>4367</v>
      </c>
      <c r="U1866" t="s">
        <v>149</v>
      </c>
      <c r="W1866" t="s">
        <v>155</v>
      </c>
      <c r="X1866">
        <v>3</v>
      </c>
      <c r="AC1866" t="s">
        <v>136</v>
      </c>
      <c r="AE1866" t="s">
        <v>137</v>
      </c>
    </row>
    <row r="1867" spans="1:78" hidden="1" x14ac:dyDescent="0.2">
      <c r="A1867" t="s">
        <v>119</v>
      </c>
      <c r="B1867" t="s">
        <v>120</v>
      </c>
      <c r="C1867" t="s">
        <v>4366</v>
      </c>
      <c r="D1867">
        <v>6</v>
      </c>
      <c r="E1867" t="s">
        <v>207</v>
      </c>
      <c r="F1867" t="s">
        <v>146</v>
      </c>
      <c r="G1867" t="s">
        <v>124</v>
      </c>
      <c r="H1867" t="s">
        <v>125</v>
      </c>
      <c r="I1867">
        <v>2</v>
      </c>
      <c r="J1867" t="s">
        <v>1249</v>
      </c>
      <c r="K1867" t="s">
        <v>125</v>
      </c>
      <c r="L1867" t="s">
        <v>4368</v>
      </c>
      <c r="U1867" t="s">
        <v>149</v>
      </c>
      <c r="W1867" t="s">
        <v>135</v>
      </c>
      <c r="X1867">
        <v>3</v>
      </c>
      <c r="AC1867" t="s">
        <v>209</v>
      </c>
      <c r="AE1867" t="s">
        <v>137</v>
      </c>
    </row>
    <row r="1868" spans="1:78" x14ac:dyDescent="0.2">
      <c r="A1868" t="s">
        <v>119</v>
      </c>
      <c r="B1868" t="s">
        <v>120</v>
      </c>
      <c r="C1868" t="s">
        <v>4369</v>
      </c>
      <c r="D1868">
        <v>8</v>
      </c>
      <c r="E1868" t="s">
        <v>3947</v>
      </c>
      <c r="F1868" t="s">
        <v>198</v>
      </c>
      <c r="G1868" t="s">
        <v>124</v>
      </c>
      <c r="H1868" t="s">
        <v>125</v>
      </c>
      <c r="I1868">
        <v>4</v>
      </c>
      <c r="J1868" t="s">
        <v>161</v>
      </c>
      <c r="K1868" t="s">
        <v>125</v>
      </c>
      <c r="L1868" t="s">
        <v>4370</v>
      </c>
      <c r="U1868" t="s">
        <v>149</v>
      </c>
      <c r="W1868" t="s">
        <v>155</v>
      </c>
      <c r="X1868">
        <v>1</v>
      </c>
      <c r="AC1868" t="s">
        <v>136</v>
      </c>
      <c r="AE1868" t="s">
        <v>137</v>
      </c>
    </row>
    <row r="1869" spans="1:78" hidden="1" x14ac:dyDescent="0.2">
      <c r="A1869" t="s">
        <v>119</v>
      </c>
      <c r="B1869" t="s">
        <v>120</v>
      </c>
      <c r="C1869" t="s">
        <v>4369</v>
      </c>
      <c r="D1869">
        <v>14</v>
      </c>
      <c r="E1869" t="s">
        <v>4371</v>
      </c>
      <c r="F1869" t="s">
        <v>123</v>
      </c>
      <c r="G1869" t="s">
        <v>124</v>
      </c>
      <c r="H1869" t="s">
        <v>125</v>
      </c>
      <c r="I1869">
        <v>12</v>
      </c>
      <c r="J1869" t="s">
        <v>170</v>
      </c>
      <c r="K1869" t="s">
        <v>125</v>
      </c>
      <c r="L1869" t="s">
        <v>4372</v>
      </c>
      <c r="U1869" t="s">
        <v>309</v>
      </c>
      <c r="W1869" t="s">
        <v>135</v>
      </c>
      <c r="X1869">
        <v>3</v>
      </c>
      <c r="AC1869" t="s">
        <v>209</v>
      </c>
      <c r="AE1869" t="s">
        <v>137</v>
      </c>
    </row>
    <row r="1870" spans="1:78" x14ac:dyDescent="0.2">
      <c r="A1870" t="s">
        <v>119</v>
      </c>
      <c r="B1870" t="s">
        <v>120</v>
      </c>
      <c r="C1870" t="s">
        <v>4373</v>
      </c>
      <c r="D1870">
        <v>1</v>
      </c>
      <c r="E1870" t="s">
        <v>4075</v>
      </c>
      <c r="F1870" t="s">
        <v>1725</v>
      </c>
      <c r="G1870" t="s">
        <v>124</v>
      </c>
      <c r="H1870" t="s">
        <v>125</v>
      </c>
      <c r="I1870">
        <v>0</v>
      </c>
      <c r="J1870" t="s">
        <v>126</v>
      </c>
      <c r="K1870" t="s">
        <v>125</v>
      </c>
      <c r="L1870" t="s">
        <v>4374</v>
      </c>
      <c r="U1870" t="s">
        <v>209</v>
      </c>
      <c r="W1870" t="s">
        <v>155</v>
      </c>
      <c r="X1870">
        <v>2</v>
      </c>
      <c r="AC1870" t="s">
        <v>136</v>
      </c>
      <c r="AE1870" t="s">
        <v>137</v>
      </c>
    </row>
    <row r="1871" spans="1:78" x14ac:dyDescent="0.2">
      <c r="A1871" t="s">
        <v>119</v>
      </c>
      <c r="B1871" t="s">
        <v>120</v>
      </c>
      <c r="C1871" t="s">
        <v>4375</v>
      </c>
      <c r="D1871">
        <v>4</v>
      </c>
      <c r="E1871" t="s">
        <v>145</v>
      </c>
      <c r="F1871" t="s">
        <v>146</v>
      </c>
      <c r="G1871" t="s">
        <v>124</v>
      </c>
      <c r="H1871" t="s">
        <v>125</v>
      </c>
      <c r="I1871">
        <v>0</v>
      </c>
      <c r="J1871" t="s">
        <v>126</v>
      </c>
      <c r="K1871" t="s">
        <v>125</v>
      </c>
      <c r="L1871" t="s">
        <v>4376</v>
      </c>
      <c r="U1871" t="s">
        <v>149</v>
      </c>
      <c r="W1871" t="s">
        <v>135</v>
      </c>
      <c r="X1871">
        <v>3</v>
      </c>
      <c r="AC1871" t="s">
        <v>136</v>
      </c>
      <c r="AE1871" t="s">
        <v>137</v>
      </c>
    </row>
    <row r="1872" spans="1:78" x14ac:dyDescent="0.2">
      <c r="A1872" t="s">
        <v>119</v>
      </c>
      <c r="B1872" t="s">
        <v>120</v>
      </c>
      <c r="C1872" t="s">
        <v>4375</v>
      </c>
      <c r="D1872">
        <v>7</v>
      </c>
      <c r="E1872" t="s">
        <v>145</v>
      </c>
      <c r="F1872" t="s">
        <v>146</v>
      </c>
      <c r="G1872" t="s">
        <v>124</v>
      </c>
      <c r="H1872" t="s">
        <v>125</v>
      </c>
      <c r="I1872">
        <v>4</v>
      </c>
      <c r="J1872" t="s">
        <v>170</v>
      </c>
      <c r="K1872" t="s">
        <v>125</v>
      </c>
      <c r="L1872" t="s">
        <v>4377</v>
      </c>
      <c r="U1872" t="s">
        <v>149</v>
      </c>
      <c r="W1872" t="s">
        <v>135</v>
      </c>
      <c r="X1872">
        <v>3</v>
      </c>
      <c r="AC1872" t="s">
        <v>136</v>
      </c>
      <c r="AE1872" t="s">
        <v>137</v>
      </c>
    </row>
    <row r="1873" spans="1:78" x14ac:dyDescent="0.2">
      <c r="A1873" t="s">
        <v>119</v>
      </c>
      <c r="B1873" t="s">
        <v>120</v>
      </c>
      <c r="C1873" t="s">
        <v>4378</v>
      </c>
      <c r="D1873">
        <v>14</v>
      </c>
      <c r="E1873" t="s">
        <v>218</v>
      </c>
      <c r="F1873" t="s">
        <v>205</v>
      </c>
      <c r="G1873" t="s">
        <v>124</v>
      </c>
      <c r="H1873" t="s">
        <v>125</v>
      </c>
      <c r="I1873">
        <v>3</v>
      </c>
      <c r="J1873" t="s">
        <v>170</v>
      </c>
      <c r="K1873" t="s">
        <v>125</v>
      </c>
      <c r="L1873" t="s">
        <v>4379</v>
      </c>
      <c r="U1873" t="s">
        <v>149</v>
      </c>
      <c r="W1873" t="s">
        <v>155</v>
      </c>
      <c r="X1873">
        <v>3</v>
      </c>
      <c r="AC1873" t="s">
        <v>136</v>
      </c>
      <c r="AE1873" t="s">
        <v>137</v>
      </c>
    </row>
    <row r="1874" spans="1:78" hidden="1" x14ac:dyDescent="0.2">
      <c r="A1874" t="s">
        <v>119</v>
      </c>
      <c r="B1874" t="s">
        <v>120</v>
      </c>
      <c r="C1874" t="s">
        <v>4378</v>
      </c>
      <c r="D1874">
        <v>22</v>
      </c>
      <c r="E1874" t="s">
        <v>4051</v>
      </c>
      <c r="F1874" t="s">
        <v>4051</v>
      </c>
      <c r="G1874" t="s">
        <v>124</v>
      </c>
      <c r="H1874" t="s">
        <v>125</v>
      </c>
      <c r="I1874">
        <v>3</v>
      </c>
      <c r="J1874" t="s">
        <v>170</v>
      </c>
      <c r="K1874" t="s">
        <v>125</v>
      </c>
      <c r="L1874" t="s">
        <v>4380</v>
      </c>
      <c r="AE1874" t="s">
        <v>128</v>
      </c>
      <c r="AG1874">
        <v>21</v>
      </c>
      <c r="AH1874" t="s">
        <v>3717</v>
      </c>
      <c r="AI1874" t="s">
        <v>572</v>
      </c>
      <c r="AJ1874" t="s">
        <v>131</v>
      </c>
      <c r="AK1874" t="s">
        <v>125</v>
      </c>
      <c r="AL1874">
        <v>22</v>
      </c>
      <c r="AM1874" t="s">
        <v>132</v>
      </c>
      <c r="AN1874" t="s">
        <v>125</v>
      </c>
      <c r="AO1874" t="s">
        <v>4381</v>
      </c>
      <c r="BP1874" t="s">
        <v>149</v>
      </c>
      <c r="BR1874" t="s">
        <v>155</v>
      </c>
      <c r="BS1874">
        <v>2</v>
      </c>
      <c r="BX1874" t="s">
        <v>136</v>
      </c>
      <c r="BZ1874" t="s">
        <v>137</v>
      </c>
    </row>
    <row r="1875" spans="1:78" x14ac:dyDescent="0.2">
      <c r="A1875" t="s">
        <v>119</v>
      </c>
      <c r="B1875" t="s">
        <v>120</v>
      </c>
      <c r="C1875" t="s">
        <v>4382</v>
      </c>
      <c r="D1875">
        <v>4</v>
      </c>
      <c r="E1875" t="s">
        <v>229</v>
      </c>
      <c r="F1875" t="s">
        <v>205</v>
      </c>
      <c r="G1875" t="s">
        <v>124</v>
      </c>
      <c r="H1875" t="s">
        <v>125</v>
      </c>
      <c r="I1875">
        <v>18</v>
      </c>
      <c r="J1875" t="s">
        <v>268</v>
      </c>
      <c r="K1875" t="s">
        <v>125</v>
      </c>
      <c r="L1875" t="s">
        <v>4383</v>
      </c>
      <c r="U1875" t="s">
        <v>149</v>
      </c>
      <c r="W1875" t="s">
        <v>155</v>
      </c>
      <c r="X1875">
        <v>2</v>
      </c>
      <c r="AC1875" t="s">
        <v>136</v>
      </c>
      <c r="AE1875" t="s">
        <v>137</v>
      </c>
    </row>
    <row r="1876" spans="1:78" x14ac:dyDescent="0.2">
      <c r="A1876" t="s">
        <v>119</v>
      </c>
      <c r="B1876" t="s">
        <v>120</v>
      </c>
      <c r="C1876" t="s">
        <v>4382</v>
      </c>
      <c r="D1876">
        <v>10</v>
      </c>
      <c r="E1876" t="s">
        <v>229</v>
      </c>
      <c r="F1876" t="s">
        <v>205</v>
      </c>
      <c r="G1876" t="s">
        <v>124</v>
      </c>
      <c r="H1876" t="s">
        <v>125</v>
      </c>
      <c r="I1876">
        <v>18</v>
      </c>
      <c r="J1876" t="s">
        <v>268</v>
      </c>
      <c r="K1876" t="s">
        <v>125</v>
      </c>
      <c r="L1876" t="s">
        <v>4384</v>
      </c>
      <c r="U1876" t="s">
        <v>149</v>
      </c>
      <c r="W1876" t="s">
        <v>155</v>
      </c>
      <c r="X1876">
        <v>2</v>
      </c>
      <c r="AC1876" t="s">
        <v>136</v>
      </c>
      <c r="AE1876" t="s">
        <v>137</v>
      </c>
    </row>
    <row r="1877" spans="1:78" hidden="1" x14ac:dyDescent="0.2">
      <c r="A1877" t="s">
        <v>119</v>
      </c>
      <c r="B1877" t="s">
        <v>120</v>
      </c>
      <c r="C1877" t="s">
        <v>4382</v>
      </c>
      <c r="D1877">
        <v>18</v>
      </c>
      <c r="E1877" t="s">
        <v>4385</v>
      </c>
      <c r="F1877" t="s">
        <v>4386</v>
      </c>
      <c r="G1877" t="s">
        <v>124</v>
      </c>
      <c r="H1877" t="s">
        <v>125</v>
      </c>
      <c r="I1877">
        <v>0</v>
      </c>
      <c r="J1877" t="s">
        <v>126</v>
      </c>
      <c r="K1877" t="s">
        <v>125</v>
      </c>
      <c r="L1877" t="s">
        <v>4387</v>
      </c>
      <c r="AG1877">
        <v>17</v>
      </c>
      <c r="AH1877" t="s">
        <v>3717</v>
      </c>
      <c r="AI1877" t="s">
        <v>572</v>
      </c>
      <c r="AJ1877" t="s">
        <v>131</v>
      </c>
      <c r="AK1877" t="s">
        <v>125</v>
      </c>
      <c r="AL1877">
        <v>18</v>
      </c>
      <c r="AM1877" t="s">
        <v>132</v>
      </c>
      <c r="AN1877" t="s">
        <v>125</v>
      </c>
      <c r="AO1877" t="s">
        <v>4388</v>
      </c>
      <c r="BP1877" t="s">
        <v>149</v>
      </c>
      <c r="BR1877" t="s">
        <v>155</v>
      </c>
      <c r="BS1877">
        <v>2</v>
      </c>
      <c r="BX1877" t="s">
        <v>136</v>
      </c>
      <c r="BZ1877" t="s">
        <v>137</v>
      </c>
    </row>
    <row r="1878" spans="1:78" hidden="1" x14ac:dyDescent="0.2">
      <c r="A1878" t="s">
        <v>119</v>
      </c>
      <c r="B1878" t="s">
        <v>120</v>
      </c>
      <c r="C1878" t="s">
        <v>4382</v>
      </c>
      <c r="D1878">
        <v>22</v>
      </c>
      <c r="E1878" t="s">
        <v>140</v>
      </c>
      <c r="F1878" t="s">
        <v>140</v>
      </c>
      <c r="G1878" t="s">
        <v>124</v>
      </c>
      <c r="H1878" t="s">
        <v>125</v>
      </c>
      <c r="I1878">
        <v>18</v>
      </c>
      <c r="J1878" t="s">
        <v>161</v>
      </c>
      <c r="K1878" t="s">
        <v>125</v>
      </c>
      <c r="L1878" t="s">
        <v>4389</v>
      </c>
      <c r="AE1878" t="s">
        <v>128</v>
      </c>
    </row>
    <row r="1879" spans="1:78" x14ac:dyDescent="0.2">
      <c r="A1879" t="s">
        <v>119</v>
      </c>
      <c r="B1879" t="s">
        <v>120</v>
      </c>
      <c r="C1879" t="s">
        <v>4382</v>
      </c>
      <c r="D1879">
        <v>31</v>
      </c>
      <c r="E1879" t="s">
        <v>1764</v>
      </c>
      <c r="F1879" t="s">
        <v>261</v>
      </c>
      <c r="G1879" t="s">
        <v>124</v>
      </c>
      <c r="H1879" t="s">
        <v>125</v>
      </c>
      <c r="I1879">
        <v>18</v>
      </c>
      <c r="J1879" t="s">
        <v>161</v>
      </c>
      <c r="K1879" t="s">
        <v>125</v>
      </c>
      <c r="L1879" t="s">
        <v>4390</v>
      </c>
      <c r="U1879" t="s">
        <v>149</v>
      </c>
      <c r="W1879" t="s">
        <v>135</v>
      </c>
      <c r="X1879">
        <v>3</v>
      </c>
      <c r="AC1879" t="s">
        <v>136</v>
      </c>
      <c r="AE1879" t="s">
        <v>137</v>
      </c>
    </row>
    <row r="1880" spans="1:78" x14ac:dyDescent="0.2">
      <c r="A1880" t="s">
        <v>119</v>
      </c>
      <c r="B1880" t="s">
        <v>120</v>
      </c>
      <c r="C1880" t="s">
        <v>4391</v>
      </c>
      <c r="D1880">
        <v>3</v>
      </c>
      <c r="E1880" t="s">
        <v>614</v>
      </c>
      <c r="F1880" t="s">
        <v>205</v>
      </c>
      <c r="G1880" t="s">
        <v>124</v>
      </c>
      <c r="H1880" t="s">
        <v>125</v>
      </c>
      <c r="I1880">
        <v>18</v>
      </c>
      <c r="J1880" t="s">
        <v>170</v>
      </c>
      <c r="K1880" t="s">
        <v>125</v>
      </c>
      <c r="L1880" t="s">
        <v>4392</v>
      </c>
      <c r="U1880" t="s">
        <v>149</v>
      </c>
      <c r="W1880" t="s">
        <v>135</v>
      </c>
      <c r="X1880">
        <v>3</v>
      </c>
      <c r="AC1880" t="s">
        <v>136</v>
      </c>
      <c r="AE1880" t="s">
        <v>137</v>
      </c>
    </row>
    <row r="1881" spans="1:78" hidden="1" x14ac:dyDescent="0.2">
      <c r="A1881" t="s">
        <v>119</v>
      </c>
      <c r="B1881" t="s">
        <v>120</v>
      </c>
      <c r="C1881" t="s">
        <v>4391</v>
      </c>
      <c r="D1881">
        <v>6</v>
      </c>
      <c r="E1881" t="s">
        <v>140</v>
      </c>
      <c r="F1881" t="s">
        <v>140</v>
      </c>
      <c r="G1881" t="s">
        <v>124</v>
      </c>
      <c r="H1881" t="s">
        <v>125</v>
      </c>
      <c r="I1881">
        <v>3</v>
      </c>
      <c r="J1881" t="s">
        <v>386</v>
      </c>
      <c r="K1881" t="s">
        <v>125</v>
      </c>
      <c r="L1881" t="s">
        <v>4393</v>
      </c>
      <c r="AE1881" t="s">
        <v>128</v>
      </c>
    </row>
    <row r="1882" spans="1:78" x14ac:dyDescent="0.2">
      <c r="A1882" t="s">
        <v>119</v>
      </c>
      <c r="B1882" t="s">
        <v>120</v>
      </c>
      <c r="C1882" t="s">
        <v>4391</v>
      </c>
      <c r="D1882">
        <v>18</v>
      </c>
      <c r="E1882" t="s">
        <v>197</v>
      </c>
      <c r="F1882" t="s">
        <v>198</v>
      </c>
      <c r="G1882" t="s">
        <v>124</v>
      </c>
      <c r="H1882" t="s">
        <v>125</v>
      </c>
      <c r="I1882">
        <v>0</v>
      </c>
      <c r="J1882" t="s">
        <v>126</v>
      </c>
      <c r="K1882" t="s">
        <v>125</v>
      </c>
      <c r="L1882" t="s">
        <v>4394</v>
      </c>
      <c r="U1882" t="s">
        <v>149</v>
      </c>
      <c r="W1882" t="s">
        <v>135</v>
      </c>
      <c r="X1882">
        <v>1</v>
      </c>
      <c r="AC1882" t="s">
        <v>136</v>
      </c>
      <c r="AE1882" t="s">
        <v>137</v>
      </c>
    </row>
    <row r="1883" spans="1:78" x14ac:dyDescent="0.2">
      <c r="A1883" t="s">
        <v>119</v>
      </c>
      <c r="B1883" t="s">
        <v>120</v>
      </c>
      <c r="C1883" t="s">
        <v>4395</v>
      </c>
      <c r="D1883">
        <v>4</v>
      </c>
      <c r="E1883" t="s">
        <v>3149</v>
      </c>
      <c r="F1883" t="s">
        <v>140</v>
      </c>
      <c r="G1883" t="s">
        <v>124</v>
      </c>
      <c r="H1883" t="s">
        <v>125</v>
      </c>
      <c r="I1883">
        <v>0</v>
      </c>
      <c r="J1883" t="s">
        <v>126</v>
      </c>
      <c r="K1883" t="s">
        <v>125</v>
      </c>
      <c r="L1883" t="s">
        <v>4396</v>
      </c>
      <c r="U1883" t="s">
        <v>149</v>
      </c>
      <c r="W1883" t="s">
        <v>155</v>
      </c>
      <c r="X1883">
        <v>3</v>
      </c>
      <c r="AC1883" t="s">
        <v>136</v>
      </c>
      <c r="AE1883" t="s">
        <v>137</v>
      </c>
    </row>
    <row r="1884" spans="1:78" hidden="1" x14ac:dyDescent="0.2">
      <c r="A1884" t="s">
        <v>119</v>
      </c>
      <c r="B1884" t="s">
        <v>120</v>
      </c>
      <c r="C1884" t="s">
        <v>4395</v>
      </c>
      <c r="D1884">
        <v>13</v>
      </c>
      <c r="E1884" t="s">
        <v>140</v>
      </c>
      <c r="F1884" t="s">
        <v>140</v>
      </c>
      <c r="G1884" t="s">
        <v>124</v>
      </c>
      <c r="H1884" t="s">
        <v>125</v>
      </c>
      <c r="I1884">
        <v>4</v>
      </c>
      <c r="J1884" t="s">
        <v>161</v>
      </c>
      <c r="K1884" t="s">
        <v>125</v>
      </c>
      <c r="L1884" t="s">
        <v>4397</v>
      </c>
      <c r="AE1884" t="s">
        <v>128</v>
      </c>
      <c r="AG1884">
        <v>12</v>
      </c>
      <c r="AH1884" t="s">
        <v>3717</v>
      </c>
      <c r="AI1884" t="s">
        <v>572</v>
      </c>
      <c r="AJ1884" t="s">
        <v>131</v>
      </c>
      <c r="AK1884" t="s">
        <v>125</v>
      </c>
      <c r="AL1884">
        <v>13</v>
      </c>
      <c r="AM1884" t="s">
        <v>132</v>
      </c>
      <c r="AN1884" t="s">
        <v>125</v>
      </c>
      <c r="AO1884" t="s">
        <v>4398</v>
      </c>
      <c r="BP1884" t="s">
        <v>149</v>
      </c>
      <c r="BR1884" t="s">
        <v>155</v>
      </c>
      <c r="BS1884">
        <v>2</v>
      </c>
      <c r="BX1884" t="s">
        <v>136</v>
      </c>
      <c r="BZ1884" t="s">
        <v>137</v>
      </c>
    </row>
    <row r="1885" spans="1:78" hidden="1" x14ac:dyDescent="0.2">
      <c r="A1885" t="s">
        <v>119</v>
      </c>
      <c r="B1885" t="s">
        <v>120</v>
      </c>
      <c r="C1885" t="s">
        <v>4399</v>
      </c>
      <c r="D1885">
        <v>9</v>
      </c>
      <c r="E1885" t="s">
        <v>4050</v>
      </c>
      <c r="F1885" t="s">
        <v>4051</v>
      </c>
      <c r="G1885" t="s">
        <v>124</v>
      </c>
      <c r="H1885" t="s">
        <v>125</v>
      </c>
      <c r="I1885">
        <v>0</v>
      </c>
      <c r="J1885" t="s">
        <v>126</v>
      </c>
      <c r="K1885" t="s">
        <v>125</v>
      </c>
      <c r="L1885" t="s">
        <v>4400</v>
      </c>
      <c r="T1885" t="s">
        <v>142</v>
      </c>
      <c r="W1885" t="s">
        <v>135</v>
      </c>
      <c r="AC1885" t="s">
        <v>143</v>
      </c>
      <c r="AE1885" t="s">
        <v>144</v>
      </c>
      <c r="AG1885">
        <v>7</v>
      </c>
      <c r="AH1885" t="s">
        <v>1747</v>
      </c>
      <c r="AI1885" t="s">
        <v>572</v>
      </c>
      <c r="AJ1885" t="s">
        <v>131</v>
      </c>
      <c r="AK1885" t="s">
        <v>125</v>
      </c>
      <c r="AL1885">
        <v>9</v>
      </c>
      <c r="AM1885" t="s">
        <v>132</v>
      </c>
      <c r="AN1885" t="s">
        <v>125</v>
      </c>
      <c r="AO1885" t="s">
        <v>4401</v>
      </c>
      <c r="BP1885" t="s">
        <v>149</v>
      </c>
      <c r="BR1885" t="s">
        <v>135</v>
      </c>
      <c r="BS1885">
        <v>3</v>
      </c>
      <c r="BX1885" t="s">
        <v>136</v>
      </c>
      <c r="BZ1885" t="s">
        <v>137</v>
      </c>
    </row>
    <row r="1886" spans="1:78" hidden="1" x14ac:dyDescent="0.2">
      <c r="A1886" t="s">
        <v>119</v>
      </c>
      <c r="B1886" t="s">
        <v>120</v>
      </c>
      <c r="C1886" t="s">
        <v>4402</v>
      </c>
      <c r="D1886">
        <v>8</v>
      </c>
      <c r="E1886" t="s">
        <v>1399</v>
      </c>
      <c r="F1886" t="s">
        <v>1399</v>
      </c>
      <c r="G1886" t="s">
        <v>124</v>
      </c>
      <c r="H1886" t="s">
        <v>125</v>
      </c>
      <c r="I1886">
        <v>6</v>
      </c>
      <c r="J1886" t="s">
        <v>268</v>
      </c>
      <c r="K1886" t="s">
        <v>125</v>
      </c>
      <c r="L1886" t="s">
        <v>4403</v>
      </c>
      <c r="AE1886" t="s">
        <v>128</v>
      </c>
    </row>
    <row r="1887" spans="1:78" hidden="1" x14ac:dyDescent="0.2">
      <c r="A1887" t="s">
        <v>119</v>
      </c>
      <c r="B1887" t="s">
        <v>120</v>
      </c>
      <c r="C1887" t="s">
        <v>4402</v>
      </c>
      <c r="D1887">
        <v>20</v>
      </c>
      <c r="E1887" t="s">
        <v>198</v>
      </c>
      <c r="F1887" t="s">
        <v>198</v>
      </c>
      <c r="G1887" t="s">
        <v>124</v>
      </c>
      <c r="H1887" t="s">
        <v>125</v>
      </c>
      <c r="I1887">
        <v>6</v>
      </c>
      <c r="J1887" t="s">
        <v>161</v>
      </c>
      <c r="K1887" t="s">
        <v>125</v>
      </c>
      <c r="L1887" t="s">
        <v>4404</v>
      </c>
      <c r="AE1887" t="s">
        <v>128</v>
      </c>
      <c r="AG1887">
        <v>19</v>
      </c>
      <c r="AH1887" t="s">
        <v>3717</v>
      </c>
      <c r="AI1887" t="s">
        <v>572</v>
      </c>
      <c r="AJ1887" t="s">
        <v>131</v>
      </c>
      <c r="AK1887" t="s">
        <v>125</v>
      </c>
      <c r="AL1887">
        <v>20</v>
      </c>
      <c r="AM1887" t="s">
        <v>132</v>
      </c>
      <c r="AN1887" t="s">
        <v>125</v>
      </c>
      <c r="AO1887" t="s">
        <v>4405</v>
      </c>
      <c r="BP1887" t="s">
        <v>149</v>
      </c>
      <c r="BR1887" t="s">
        <v>155</v>
      </c>
      <c r="BS1887">
        <v>2</v>
      </c>
      <c r="BX1887" t="s">
        <v>136</v>
      </c>
      <c r="BZ1887" t="s">
        <v>137</v>
      </c>
    </row>
    <row r="1888" spans="1:78" hidden="1" x14ac:dyDescent="0.2">
      <c r="A1888" t="s">
        <v>119</v>
      </c>
      <c r="B1888" t="s">
        <v>120</v>
      </c>
      <c r="C1888" t="s">
        <v>4402</v>
      </c>
      <c r="D1888">
        <v>24</v>
      </c>
      <c r="E1888" t="s">
        <v>1548</v>
      </c>
      <c r="F1888" t="s">
        <v>1399</v>
      </c>
      <c r="G1888" t="s">
        <v>124</v>
      </c>
      <c r="H1888" t="s">
        <v>125</v>
      </c>
      <c r="I1888">
        <v>20</v>
      </c>
      <c r="J1888" t="s">
        <v>268</v>
      </c>
      <c r="K1888" t="s">
        <v>125</v>
      </c>
      <c r="L1888" t="s">
        <v>4406</v>
      </c>
      <c r="T1888" t="s">
        <v>154</v>
      </c>
      <c r="W1888" t="s">
        <v>135</v>
      </c>
      <c r="AC1888" t="s">
        <v>143</v>
      </c>
      <c r="AE1888" t="s">
        <v>144</v>
      </c>
      <c r="AG1888">
        <v>22</v>
      </c>
      <c r="AH1888" t="s">
        <v>145</v>
      </c>
      <c r="AI1888" t="s">
        <v>146</v>
      </c>
      <c r="AJ1888" t="s">
        <v>131</v>
      </c>
      <c r="AK1888" t="s">
        <v>125</v>
      </c>
      <c r="AL1888">
        <v>24</v>
      </c>
      <c r="AM1888" t="s">
        <v>132</v>
      </c>
      <c r="AN1888" t="s">
        <v>125</v>
      </c>
      <c r="AO1888" t="s">
        <v>4407</v>
      </c>
      <c r="BP1888" t="s">
        <v>149</v>
      </c>
      <c r="BR1888" t="s">
        <v>135</v>
      </c>
      <c r="BS1888">
        <v>3</v>
      </c>
      <c r="BX1888" t="s">
        <v>136</v>
      </c>
      <c r="BZ1888" t="s">
        <v>137</v>
      </c>
    </row>
    <row r="1889" spans="1:78" hidden="1" x14ac:dyDescent="0.2">
      <c r="A1889" t="s">
        <v>119</v>
      </c>
      <c r="B1889" t="s">
        <v>120</v>
      </c>
      <c r="C1889" t="s">
        <v>4408</v>
      </c>
      <c r="D1889">
        <v>7</v>
      </c>
      <c r="E1889" t="s">
        <v>207</v>
      </c>
      <c r="F1889" t="s">
        <v>146</v>
      </c>
      <c r="G1889" t="s">
        <v>124</v>
      </c>
      <c r="H1889" t="s">
        <v>125</v>
      </c>
      <c r="I1889">
        <v>0</v>
      </c>
      <c r="J1889" t="s">
        <v>126</v>
      </c>
      <c r="K1889" t="s">
        <v>125</v>
      </c>
      <c r="L1889" t="s">
        <v>4409</v>
      </c>
      <c r="U1889" t="s">
        <v>149</v>
      </c>
      <c r="W1889" t="s">
        <v>135</v>
      </c>
      <c r="X1889">
        <v>3</v>
      </c>
      <c r="AC1889" t="s">
        <v>209</v>
      </c>
      <c r="AE1889" t="s">
        <v>137</v>
      </c>
    </row>
    <row r="1890" spans="1:78" hidden="1" x14ac:dyDescent="0.2">
      <c r="A1890" t="s">
        <v>119</v>
      </c>
      <c r="B1890" t="s">
        <v>120</v>
      </c>
      <c r="C1890" t="s">
        <v>4410</v>
      </c>
      <c r="D1890">
        <v>2</v>
      </c>
      <c r="E1890" t="s">
        <v>3664</v>
      </c>
      <c r="F1890" t="s">
        <v>123</v>
      </c>
      <c r="G1890" t="s">
        <v>124</v>
      </c>
      <c r="H1890" t="s">
        <v>125</v>
      </c>
      <c r="I1890">
        <v>0</v>
      </c>
      <c r="J1890" t="s">
        <v>126</v>
      </c>
      <c r="K1890" t="s">
        <v>125</v>
      </c>
      <c r="L1890" t="s">
        <v>4411</v>
      </c>
      <c r="AE1890" t="s">
        <v>394</v>
      </c>
      <c r="AG1890">
        <v>1</v>
      </c>
      <c r="AH1890" t="s">
        <v>282</v>
      </c>
      <c r="AI1890" t="s">
        <v>146</v>
      </c>
      <c r="AJ1890" t="s">
        <v>131</v>
      </c>
      <c r="AK1890" t="s">
        <v>125</v>
      </c>
      <c r="AL1890">
        <v>2</v>
      </c>
      <c r="AM1890" t="s">
        <v>132</v>
      </c>
      <c r="AN1890" t="s">
        <v>125</v>
      </c>
      <c r="AO1890" t="s">
        <v>4412</v>
      </c>
      <c r="BP1890" t="s">
        <v>149</v>
      </c>
      <c r="BR1890" t="s">
        <v>155</v>
      </c>
      <c r="BS1890">
        <v>1</v>
      </c>
      <c r="BX1890" t="s">
        <v>136</v>
      </c>
      <c r="BZ1890" t="s">
        <v>137</v>
      </c>
    </row>
    <row r="1891" spans="1:78" hidden="1" x14ac:dyDescent="0.2">
      <c r="A1891" t="s">
        <v>119</v>
      </c>
      <c r="B1891" t="s">
        <v>120</v>
      </c>
      <c r="C1891" t="s">
        <v>4413</v>
      </c>
      <c r="D1891">
        <v>3</v>
      </c>
      <c r="E1891" t="s">
        <v>407</v>
      </c>
      <c r="F1891" t="s">
        <v>140</v>
      </c>
      <c r="G1891" t="s">
        <v>124</v>
      </c>
      <c r="H1891" t="s">
        <v>125</v>
      </c>
      <c r="I1891">
        <v>0</v>
      </c>
      <c r="J1891" t="s">
        <v>126</v>
      </c>
      <c r="K1891" t="s">
        <v>125</v>
      </c>
      <c r="L1891" t="s">
        <v>4414</v>
      </c>
      <c r="T1891" t="s">
        <v>154</v>
      </c>
      <c r="W1891" t="s">
        <v>135</v>
      </c>
      <c r="AC1891" t="s">
        <v>143</v>
      </c>
      <c r="AE1891" t="s">
        <v>144</v>
      </c>
      <c r="AG1891">
        <v>2</v>
      </c>
      <c r="AH1891" t="s">
        <v>204</v>
      </c>
      <c r="AI1891" t="s">
        <v>205</v>
      </c>
      <c r="AJ1891" t="s">
        <v>131</v>
      </c>
      <c r="AK1891" t="s">
        <v>125</v>
      </c>
      <c r="AL1891">
        <v>3</v>
      </c>
      <c r="AM1891" t="s">
        <v>132</v>
      </c>
      <c r="AN1891" t="s">
        <v>125</v>
      </c>
      <c r="AO1891" t="s">
        <v>4415</v>
      </c>
      <c r="BP1891" t="s">
        <v>149</v>
      </c>
      <c r="BR1891" t="s">
        <v>135</v>
      </c>
      <c r="BS1891">
        <v>1</v>
      </c>
      <c r="BX1891" t="s">
        <v>136</v>
      </c>
      <c r="BZ1891" t="s">
        <v>137</v>
      </c>
    </row>
    <row r="1892" spans="1:78" x14ac:dyDescent="0.2">
      <c r="A1892" t="s">
        <v>119</v>
      </c>
      <c r="B1892" t="s">
        <v>120</v>
      </c>
      <c r="C1892" t="s">
        <v>4416</v>
      </c>
      <c r="D1892">
        <v>3</v>
      </c>
      <c r="E1892" t="s">
        <v>4075</v>
      </c>
      <c r="F1892" t="s">
        <v>1725</v>
      </c>
      <c r="G1892" t="s">
        <v>124</v>
      </c>
      <c r="H1892" t="s">
        <v>125</v>
      </c>
      <c r="I1892">
        <v>0</v>
      </c>
      <c r="J1892" t="s">
        <v>126</v>
      </c>
      <c r="K1892" t="s">
        <v>125</v>
      </c>
      <c r="L1892" t="s">
        <v>4417</v>
      </c>
      <c r="U1892" t="s">
        <v>209</v>
      </c>
      <c r="W1892" t="s">
        <v>155</v>
      </c>
      <c r="X1892">
        <v>2</v>
      </c>
      <c r="AC1892" t="s">
        <v>136</v>
      </c>
      <c r="AE1892" t="s">
        <v>137</v>
      </c>
    </row>
    <row r="1893" spans="1:78" hidden="1" x14ac:dyDescent="0.2">
      <c r="A1893" t="s">
        <v>119</v>
      </c>
      <c r="B1893" t="s">
        <v>120</v>
      </c>
      <c r="C1893" t="s">
        <v>4418</v>
      </c>
      <c r="D1893">
        <v>5</v>
      </c>
      <c r="E1893" t="s">
        <v>4419</v>
      </c>
      <c r="F1893" t="s">
        <v>4190</v>
      </c>
      <c r="G1893" t="s">
        <v>124</v>
      </c>
      <c r="H1893" t="s">
        <v>125</v>
      </c>
      <c r="I1893">
        <v>0</v>
      </c>
      <c r="J1893" t="s">
        <v>126</v>
      </c>
      <c r="K1893" t="s">
        <v>125</v>
      </c>
      <c r="L1893" t="s">
        <v>4420</v>
      </c>
      <c r="T1893" t="s">
        <v>154</v>
      </c>
      <c r="W1893" t="s">
        <v>135</v>
      </c>
      <c r="AC1893" t="s">
        <v>143</v>
      </c>
      <c r="AE1893" t="s">
        <v>144</v>
      </c>
      <c r="AG1893">
        <v>4</v>
      </c>
      <c r="AH1893" t="s">
        <v>229</v>
      </c>
      <c r="AI1893" t="s">
        <v>205</v>
      </c>
      <c r="AJ1893" t="s">
        <v>131</v>
      </c>
      <c r="AK1893" t="s">
        <v>125</v>
      </c>
      <c r="AL1893">
        <v>5</v>
      </c>
      <c r="AM1893" t="s">
        <v>132</v>
      </c>
      <c r="AN1893" t="s">
        <v>125</v>
      </c>
      <c r="AO1893" t="s">
        <v>4421</v>
      </c>
      <c r="BP1893" t="s">
        <v>149</v>
      </c>
      <c r="BR1893" t="s">
        <v>155</v>
      </c>
      <c r="BS1893">
        <v>2</v>
      </c>
      <c r="BX1893" t="s">
        <v>136</v>
      </c>
      <c r="BZ1893" t="s">
        <v>137</v>
      </c>
    </row>
    <row r="1894" spans="1:78" x14ac:dyDescent="0.2">
      <c r="A1894" t="s">
        <v>119</v>
      </c>
      <c r="B1894" t="s">
        <v>120</v>
      </c>
      <c r="C1894" t="s">
        <v>4422</v>
      </c>
      <c r="D1894">
        <v>6</v>
      </c>
      <c r="E1894" t="s">
        <v>232</v>
      </c>
      <c r="F1894" t="s">
        <v>205</v>
      </c>
      <c r="G1894" t="s">
        <v>124</v>
      </c>
      <c r="H1894" t="s">
        <v>125</v>
      </c>
      <c r="I1894">
        <v>3</v>
      </c>
      <c r="J1894" t="s">
        <v>170</v>
      </c>
      <c r="K1894" t="s">
        <v>125</v>
      </c>
      <c r="L1894" t="s">
        <v>4423</v>
      </c>
      <c r="U1894" t="s">
        <v>149</v>
      </c>
      <c r="W1894" t="s">
        <v>155</v>
      </c>
      <c r="X1894">
        <v>1</v>
      </c>
      <c r="AC1894" t="s">
        <v>136</v>
      </c>
      <c r="AE1894" t="s">
        <v>137</v>
      </c>
    </row>
    <row r="1895" spans="1:78" x14ac:dyDescent="0.2">
      <c r="A1895" t="s">
        <v>119</v>
      </c>
      <c r="B1895" t="s">
        <v>120</v>
      </c>
      <c r="C1895" t="s">
        <v>4422</v>
      </c>
      <c r="D1895">
        <v>22</v>
      </c>
      <c r="E1895" t="s">
        <v>145</v>
      </c>
      <c r="F1895" t="s">
        <v>146</v>
      </c>
      <c r="G1895" t="s">
        <v>124</v>
      </c>
      <c r="H1895" t="s">
        <v>125</v>
      </c>
      <c r="I1895">
        <v>16</v>
      </c>
      <c r="J1895" t="s">
        <v>170</v>
      </c>
      <c r="K1895" t="s">
        <v>125</v>
      </c>
      <c r="L1895" t="s">
        <v>4424</v>
      </c>
      <c r="U1895" t="s">
        <v>149</v>
      </c>
      <c r="W1895" t="s">
        <v>135</v>
      </c>
      <c r="X1895">
        <v>3</v>
      </c>
      <c r="AC1895" t="s">
        <v>136</v>
      </c>
      <c r="AE1895" t="s">
        <v>137</v>
      </c>
    </row>
    <row r="1896" spans="1:78" x14ac:dyDescent="0.2">
      <c r="A1896" t="s">
        <v>119</v>
      </c>
      <c r="B1896" t="s">
        <v>120</v>
      </c>
      <c r="C1896" t="s">
        <v>4425</v>
      </c>
      <c r="D1896">
        <v>7</v>
      </c>
      <c r="E1896" t="s">
        <v>4426</v>
      </c>
      <c r="F1896" t="s">
        <v>4427</v>
      </c>
      <c r="G1896" t="s">
        <v>124</v>
      </c>
      <c r="H1896" t="s">
        <v>125</v>
      </c>
      <c r="I1896">
        <v>0</v>
      </c>
      <c r="J1896" t="s">
        <v>126</v>
      </c>
      <c r="K1896" t="s">
        <v>125</v>
      </c>
      <c r="L1896" t="s">
        <v>4428</v>
      </c>
      <c r="U1896" t="s">
        <v>149</v>
      </c>
      <c r="W1896" t="s">
        <v>135</v>
      </c>
      <c r="X1896">
        <v>3</v>
      </c>
      <c r="AC1896" t="s">
        <v>136</v>
      </c>
      <c r="AE1896" t="s">
        <v>137</v>
      </c>
    </row>
    <row r="1897" spans="1:78" hidden="1" x14ac:dyDescent="0.2">
      <c r="A1897" t="s">
        <v>119</v>
      </c>
      <c r="B1897" t="s">
        <v>120</v>
      </c>
      <c r="C1897" t="s">
        <v>4425</v>
      </c>
      <c r="D1897">
        <v>10</v>
      </c>
      <c r="E1897" t="s">
        <v>4429</v>
      </c>
      <c r="F1897" t="s">
        <v>3574</v>
      </c>
      <c r="G1897" t="s">
        <v>124</v>
      </c>
      <c r="H1897" t="s">
        <v>125</v>
      </c>
      <c r="I1897">
        <v>7</v>
      </c>
      <c r="J1897" t="s">
        <v>161</v>
      </c>
      <c r="K1897" t="s">
        <v>125</v>
      </c>
      <c r="L1897" t="s">
        <v>4430</v>
      </c>
      <c r="T1897" t="s">
        <v>142</v>
      </c>
      <c r="W1897" t="s">
        <v>135</v>
      </c>
    </row>
    <row r="1898" spans="1:78" x14ac:dyDescent="0.2">
      <c r="A1898" t="s">
        <v>119</v>
      </c>
      <c r="B1898" t="s">
        <v>120</v>
      </c>
      <c r="C1898" t="s">
        <v>4425</v>
      </c>
      <c r="D1898">
        <v>11</v>
      </c>
      <c r="E1898" t="s">
        <v>1764</v>
      </c>
      <c r="F1898" t="s">
        <v>261</v>
      </c>
      <c r="G1898" t="s">
        <v>124</v>
      </c>
      <c r="H1898" t="s">
        <v>125</v>
      </c>
      <c r="I1898">
        <v>10</v>
      </c>
      <c r="J1898" t="s">
        <v>161</v>
      </c>
      <c r="K1898" t="s">
        <v>125</v>
      </c>
      <c r="L1898" t="s">
        <v>4431</v>
      </c>
      <c r="U1898" t="s">
        <v>149</v>
      </c>
      <c r="W1898" t="s">
        <v>135</v>
      </c>
      <c r="X1898">
        <v>3</v>
      </c>
      <c r="AC1898" t="s">
        <v>136</v>
      </c>
      <c r="AE1898" t="s">
        <v>137</v>
      </c>
    </row>
    <row r="1899" spans="1:78" x14ac:dyDescent="0.2">
      <c r="A1899" t="s">
        <v>119</v>
      </c>
      <c r="B1899" t="s">
        <v>120</v>
      </c>
      <c r="C1899" t="s">
        <v>4425</v>
      </c>
      <c r="D1899">
        <v>13</v>
      </c>
      <c r="E1899" t="s">
        <v>160</v>
      </c>
      <c r="F1899" t="s">
        <v>146</v>
      </c>
      <c r="G1899" t="s">
        <v>124</v>
      </c>
      <c r="H1899" t="s">
        <v>125</v>
      </c>
      <c r="I1899">
        <v>11</v>
      </c>
      <c r="J1899" t="s">
        <v>268</v>
      </c>
      <c r="K1899" t="s">
        <v>125</v>
      </c>
      <c r="L1899" t="s">
        <v>4432</v>
      </c>
      <c r="U1899" t="s">
        <v>149</v>
      </c>
      <c r="W1899" t="s">
        <v>135</v>
      </c>
      <c r="X1899">
        <v>1</v>
      </c>
      <c r="AC1899" t="s">
        <v>136</v>
      </c>
      <c r="AE1899" t="s">
        <v>137</v>
      </c>
    </row>
    <row r="1900" spans="1:78" hidden="1" x14ac:dyDescent="0.2">
      <c r="A1900" t="s">
        <v>119</v>
      </c>
      <c r="B1900" t="s">
        <v>120</v>
      </c>
      <c r="C1900" t="s">
        <v>4433</v>
      </c>
      <c r="D1900">
        <v>4</v>
      </c>
      <c r="E1900" t="s">
        <v>4434</v>
      </c>
      <c r="F1900" t="s">
        <v>1001</v>
      </c>
      <c r="G1900" t="s">
        <v>124</v>
      </c>
      <c r="H1900" t="s">
        <v>125</v>
      </c>
      <c r="I1900">
        <v>0</v>
      </c>
      <c r="J1900" t="s">
        <v>126</v>
      </c>
      <c r="K1900" t="s">
        <v>125</v>
      </c>
      <c r="L1900" t="s">
        <v>4435</v>
      </c>
      <c r="T1900" t="s">
        <v>154</v>
      </c>
      <c r="W1900" t="s">
        <v>155</v>
      </c>
      <c r="AC1900" t="s">
        <v>143</v>
      </c>
      <c r="AE1900" t="s">
        <v>144</v>
      </c>
      <c r="AG1900">
        <v>3</v>
      </c>
      <c r="AH1900" t="s">
        <v>235</v>
      </c>
      <c r="AI1900" t="s">
        <v>146</v>
      </c>
      <c r="AJ1900" t="s">
        <v>131</v>
      </c>
      <c r="AK1900" t="s">
        <v>125</v>
      </c>
      <c r="AL1900">
        <v>4</v>
      </c>
      <c r="AM1900" t="s">
        <v>132</v>
      </c>
      <c r="AN1900" t="s">
        <v>125</v>
      </c>
      <c r="AO1900" t="s">
        <v>4436</v>
      </c>
      <c r="BP1900" t="s">
        <v>149</v>
      </c>
      <c r="BR1900" t="s">
        <v>135</v>
      </c>
      <c r="BS1900">
        <v>1</v>
      </c>
      <c r="BX1900" t="s">
        <v>136</v>
      </c>
      <c r="BZ1900" t="s">
        <v>137</v>
      </c>
    </row>
    <row r="1901" spans="1:78" hidden="1" x14ac:dyDescent="0.2">
      <c r="A1901" t="s">
        <v>119</v>
      </c>
      <c r="B1901" t="s">
        <v>120</v>
      </c>
      <c r="C1901" t="s">
        <v>4433</v>
      </c>
      <c r="D1901">
        <v>11</v>
      </c>
      <c r="E1901" t="s">
        <v>4437</v>
      </c>
      <c r="F1901" t="s">
        <v>242</v>
      </c>
      <c r="G1901" t="s">
        <v>124</v>
      </c>
      <c r="H1901" t="s">
        <v>125</v>
      </c>
      <c r="I1901">
        <v>4</v>
      </c>
      <c r="J1901" t="s">
        <v>268</v>
      </c>
      <c r="K1901" t="s">
        <v>125</v>
      </c>
      <c r="L1901" t="s">
        <v>4438</v>
      </c>
      <c r="AE1901" t="s">
        <v>128</v>
      </c>
    </row>
    <row r="1902" spans="1:78" x14ac:dyDescent="0.2">
      <c r="A1902" t="s">
        <v>119</v>
      </c>
      <c r="B1902" t="s">
        <v>120</v>
      </c>
      <c r="C1902" t="s">
        <v>4439</v>
      </c>
      <c r="D1902">
        <v>6</v>
      </c>
      <c r="E1902" t="s">
        <v>1392</v>
      </c>
      <c r="F1902" t="s">
        <v>434</v>
      </c>
      <c r="G1902" t="s">
        <v>124</v>
      </c>
      <c r="H1902" t="s">
        <v>125</v>
      </c>
      <c r="I1902">
        <v>0</v>
      </c>
      <c r="J1902" t="s">
        <v>126</v>
      </c>
      <c r="K1902" t="s">
        <v>125</v>
      </c>
      <c r="L1902" t="s">
        <v>4440</v>
      </c>
      <c r="U1902" t="s">
        <v>149</v>
      </c>
      <c r="W1902" t="s">
        <v>135</v>
      </c>
      <c r="X1902">
        <v>3</v>
      </c>
      <c r="AC1902" t="s">
        <v>136</v>
      </c>
      <c r="AE1902" t="s">
        <v>137</v>
      </c>
    </row>
    <row r="1903" spans="1:78" x14ac:dyDescent="0.2">
      <c r="A1903" t="s">
        <v>119</v>
      </c>
      <c r="B1903" t="s">
        <v>120</v>
      </c>
      <c r="C1903" t="s">
        <v>4439</v>
      </c>
      <c r="D1903">
        <v>11</v>
      </c>
      <c r="E1903" t="s">
        <v>241</v>
      </c>
      <c r="F1903" t="s">
        <v>242</v>
      </c>
      <c r="G1903" t="s">
        <v>124</v>
      </c>
      <c r="H1903" t="s">
        <v>125</v>
      </c>
      <c r="I1903">
        <v>6</v>
      </c>
      <c r="J1903" t="s">
        <v>170</v>
      </c>
      <c r="K1903" t="s">
        <v>125</v>
      </c>
      <c r="L1903" t="s">
        <v>4441</v>
      </c>
      <c r="U1903" t="s">
        <v>149</v>
      </c>
      <c r="W1903" t="s">
        <v>135</v>
      </c>
      <c r="X1903">
        <v>3</v>
      </c>
      <c r="AC1903" t="s">
        <v>136</v>
      </c>
      <c r="AE1903" t="s">
        <v>137</v>
      </c>
    </row>
    <row r="1904" spans="1:78" hidden="1" x14ac:dyDescent="0.2">
      <c r="A1904" t="s">
        <v>119</v>
      </c>
      <c r="B1904" t="s">
        <v>120</v>
      </c>
      <c r="C1904" t="s">
        <v>4442</v>
      </c>
      <c r="D1904">
        <v>2</v>
      </c>
      <c r="E1904" t="s">
        <v>146</v>
      </c>
      <c r="F1904" t="s">
        <v>146</v>
      </c>
      <c r="G1904" t="s">
        <v>124</v>
      </c>
      <c r="H1904" t="s">
        <v>125</v>
      </c>
      <c r="I1904">
        <v>0</v>
      </c>
      <c r="J1904" t="s">
        <v>126</v>
      </c>
      <c r="K1904" t="s">
        <v>125</v>
      </c>
      <c r="L1904" t="s">
        <v>4443</v>
      </c>
      <c r="AE1904" t="s">
        <v>128</v>
      </c>
      <c r="AG1904">
        <v>1</v>
      </c>
      <c r="AH1904" t="s">
        <v>3314</v>
      </c>
      <c r="AI1904" t="s">
        <v>572</v>
      </c>
      <c r="AJ1904" t="s">
        <v>131</v>
      </c>
      <c r="AK1904" t="s">
        <v>125</v>
      </c>
      <c r="AL1904">
        <v>2</v>
      </c>
      <c r="AM1904" t="s">
        <v>132</v>
      </c>
      <c r="AN1904" t="s">
        <v>125</v>
      </c>
      <c r="AO1904" t="s">
        <v>4444</v>
      </c>
      <c r="BP1904" t="s">
        <v>134</v>
      </c>
      <c r="BR1904" t="s">
        <v>135</v>
      </c>
      <c r="BS1904">
        <v>3</v>
      </c>
      <c r="BX1904" t="s">
        <v>136</v>
      </c>
      <c r="BZ1904" t="s">
        <v>137</v>
      </c>
    </row>
    <row r="1905" spans="1:78" hidden="1" x14ac:dyDescent="0.2">
      <c r="A1905" t="s">
        <v>119</v>
      </c>
      <c r="B1905" t="s">
        <v>120</v>
      </c>
      <c r="C1905" t="s">
        <v>4442</v>
      </c>
      <c r="D1905">
        <v>6</v>
      </c>
      <c r="E1905" t="s">
        <v>146</v>
      </c>
      <c r="F1905" t="s">
        <v>146</v>
      </c>
      <c r="G1905" t="s">
        <v>124</v>
      </c>
      <c r="H1905" t="s">
        <v>125</v>
      </c>
      <c r="I1905">
        <v>2</v>
      </c>
      <c r="J1905" t="s">
        <v>161</v>
      </c>
      <c r="K1905" t="s">
        <v>125</v>
      </c>
      <c r="L1905" t="s">
        <v>4445</v>
      </c>
      <c r="AE1905" t="s">
        <v>128</v>
      </c>
      <c r="AG1905">
        <v>5</v>
      </c>
      <c r="AH1905" t="s">
        <v>3314</v>
      </c>
      <c r="AI1905" t="s">
        <v>572</v>
      </c>
      <c r="AJ1905" t="s">
        <v>131</v>
      </c>
      <c r="AK1905" t="s">
        <v>125</v>
      </c>
      <c r="AL1905">
        <v>6</v>
      </c>
      <c r="AM1905" t="s">
        <v>132</v>
      </c>
      <c r="AN1905" t="s">
        <v>125</v>
      </c>
      <c r="AO1905" t="s">
        <v>4446</v>
      </c>
      <c r="BP1905" t="s">
        <v>134</v>
      </c>
      <c r="BR1905" t="s">
        <v>135</v>
      </c>
      <c r="BS1905">
        <v>3</v>
      </c>
      <c r="BX1905" t="s">
        <v>136</v>
      </c>
      <c r="BZ1905" t="s">
        <v>137</v>
      </c>
    </row>
    <row r="1906" spans="1:78" x14ac:dyDescent="0.2">
      <c r="A1906" t="s">
        <v>119</v>
      </c>
      <c r="B1906" t="s">
        <v>120</v>
      </c>
      <c r="C1906" t="s">
        <v>4447</v>
      </c>
      <c r="D1906">
        <v>3</v>
      </c>
      <c r="E1906" t="s">
        <v>614</v>
      </c>
      <c r="F1906" t="s">
        <v>205</v>
      </c>
      <c r="G1906" t="s">
        <v>124</v>
      </c>
      <c r="H1906" t="s">
        <v>125</v>
      </c>
      <c r="I1906">
        <v>0</v>
      </c>
      <c r="J1906" t="s">
        <v>126</v>
      </c>
      <c r="K1906" t="s">
        <v>125</v>
      </c>
      <c r="L1906" t="s">
        <v>4448</v>
      </c>
      <c r="U1906" t="s">
        <v>149</v>
      </c>
      <c r="W1906" t="s">
        <v>135</v>
      </c>
      <c r="X1906">
        <v>3</v>
      </c>
      <c r="AC1906" t="s">
        <v>136</v>
      </c>
      <c r="AE1906" t="s">
        <v>137</v>
      </c>
    </row>
    <row r="1907" spans="1:78" hidden="1" x14ac:dyDescent="0.2">
      <c r="A1907" t="s">
        <v>119</v>
      </c>
      <c r="B1907" t="s">
        <v>120</v>
      </c>
      <c r="C1907" t="s">
        <v>4447</v>
      </c>
      <c r="D1907">
        <v>9</v>
      </c>
      <c r="E1907" t="s">
        <v>4449</v>
      </c>
      <c r="F1907" t="s">
        <v>4450</v>
      </c>
      <c r="G1907" t="s">
        <v>124</v>
      </c>
      <c r="H1907" t="s">
        <v>125</v>
      </c>
      <c r="I1907">
        <v>6</v>
      </c>
      <c r="J1907" t="s">
        <v>170</v>
      </c>
      <c r="K1907" t="s">
        <v>125</v>
      </c>
      <c r="L1907" t="s">
        <v>4451</v>
      </c>
      <c r="T1907" t="s">
        <v>154</v>
      </c>
      <c r="W1907" t="s">
        <v>135</v>
      </c>
      <c r="AC1907" t="s">
        <v>143</v>
      </c>
      <c r="AE1907" t="s">
        <v>144</v>
      </c>
      <c r="AG1907">
        <v>8</v>
      </c>
      <c r="AH1907" t="s">
        <v>614</v>
      </c>
      <c r="AI1907" t="s">
        <v>205</v>
      </c>
      <c r="AJ1907" t="s">
        <v>131</v>
      </c>
      <c r="AK1907" t="s">
        <v>125</v>
      </c>
      <c r="AL1907">
        <v>9</v>
      </c>
      <c r="AM1907" t="s">
        <v>132</v>
      </c>
      <c r="AN1907" t="s">
        <v>125</v>
      </c>
      <c r="AO1907" t="s">
        <v>4452</v>
      </c>
      <c r="BP1907" t="s">
        <v>149</v>
      </c>
      <c r="BR1907" t="s">
        <v>135</v>
      </c>
      <c r="BS1907">
        <v>3</v>
      </c>
      <c r="BX1907" t="s">
        <v>136</v>
      </c>
      <c r="BZ1907" t="s">
        <v>137</v>
      </c>
    </row>
    <row r="1908" spans="1:78" hidden="1" x14ac:dyDescent="0.2">
      <c r="A1908" t="s">
        <v>119</v>
      </c>
      <c r="B1908" t="s">
        <v>120</v>
      </c>
      <c r="C1908" t="s">
        <v>4453</v>
      </c>
      <c r="D1908">
        <v>5</v>
      </c>
      <c r="E1908" t="s">
        <v>4050</v>
      </c>
      <c r="F1908" t="s">
        <v>4051</v>
      </c>
      <c r="G1908" t="s">
        <v>124</v>
      </c>
      <c r="H1908" t="s">
        <v>125</v>
      </c>
      <c r="I1908">
        <v>0</v>
      </c>
      <c r="J1908" t="s">
        <v>126</v>
      </c>
      <c r="K1908" t="s">
        <v>125</v>
      </c>
      <c r="L1908" t="s">
        <v>4454</v>
      </c>
      <c r="T1908" t="s">
        <v>142</v>
      </c>
      <c r="W1908" t="s">
        <v>135</v>
      </c>
      <c r="AC1908" t="s">
        <v>143</v>
      </c>
      <c r="AE1908" t="s">
        <v>144</v>
      </c>
      <c r="AG1908">
        <v>4</v>
      </c>
      <c r="AH1908" t="s">
        <v>145</v>
      </c>
      <c r="AI1908" t="s">
        <v>146</v>
      </c>
      <c r="AJ1908" t="s">
        <v>131</v>
      </c>
      <c r="AK1908" t="s">
        <v>125</v>
      </c>
      <c r="AL1908">
        <v>5</v>
      </c>
      <c r="AM1908" t="s">
        <v>147</v>
      </c>
      <c r="AN1908" t="s">
        <v>125</v>
      </c>
      <c r="AO1908" t="s">
        <v>4455</v>
      </c>
      <c r="BP1908" t="s">
        <v>149</v>
      </c>
      <c r="BR1908" t="s">
        <v>135</v>
      </c>
      <c r="BS1908">
        <v>3</v>
      </c>
      <c r="BX1908" t="s">
        <v>136</v>
      </c>
      <c r="BZ1908" t="s">
        <v>137</v>
      </c>
    </row>
    <row r="1909" spans="1:78" x14ac:dyDescent="0.2">
      <c r="A1909" t="s">
        <v>119</v>
      </c>
      <c r="B1909" t="s">
        <v>120</v>
      </c>
      <c r="C1909" t="s">
        <v>4456</v>
      </c>
      <c r="D1909">
        <v>4</v>
      </c>
      <c r="E1909" t="s">
        <v>145</v>
      </c>
      <c r="F1909" t="s">
        <v>146</v>
      </c>
      <c r="G1909" t="s">
        <v>124</v>
      </c>
      <c r="H1909" t="s">
        <v>125</v>
      </c>
      <c r="I1909">
        <v>0</v>
      </c>
      <c r="J1909" t="s">
        <v>126</v>
      </c>
      <c r="K1909" t="s">
        <v>125</v>
      </c>
      <c r="L1909" t="s">
        <v>4457</v>
      </c>
      <c r="U1909" t="s">
        <v>149</v>
      </c>
      <c r="W1909" t="s">
        <v>135</v>
      </c>
      <c r="X1909">
        <v>3</v>
      </c>
      <c r="AC1909" t="s">
        <v>136</v>
      </c>
      <c r="AE1909" t="s">
        <v>137</v>
      </c>
    </row>
    <row r="1910" spans="1:78" x14ac:dyDescent="0.2">
      <c r="A1910" t="s">
        <v>119</v>
      </c>
      <c r="B1910" t="s">
        <v>120</v>
      </c>
      <c r="C1910" t="s">
        <v>4458</v>
      </c>
      <c r="D1910">
        <v>2</v>
      </c>
      <c r="E1910" t="s">
        <v>1446</v>
      </c>
      <c r="F1910" t="s">
        <v>146</v>
      </c>
      <c r="G1910" t="s">
        <v>124</v>
      </c>
      <c r="H1910" t="s">
        <v>125</v>
      </c>
      <c r="I1910">
        <v>0</v>
      </c>
      <c r="J1910" t="s">
        <v>126</v>
      </c>
      <c r="K1910" t="s">
        <v>125</v>
      </c>
      <c r="L1910" t="s">
        <v>4459</v>
      </c>
      <c r="U1910" t="s">
        <v>149</v>
      </c>
      <c r="W1910" t="s">
        <v>155</v>
      </c>
      <c r="X1910">
        <v>1</v>
      </c>
      <c r="AC1910" t="s">
        <v>136</v>
      </c>
      <c r="AE1910" t="s">
        <v>137</v>
      </c>
    </row>
    <row r="1911" spans="1:78" hidden="1" x14ac:dyDescent="0.2">
      <c r="A1911" t="s">
        <v>119</v>
      </c>
      <c r="B1911" t="s">
        <v>120</v>
      </c>
      <c r="C1911" t="s">
        <v>4460</v>
      </c>
      <c r="D1911">
        <v>11</v>
      </c>
      <c r="E1911" t="s">
        <v>3664</v>
      </c>
      <c r="F1911" t="s">
        <v>123</v>
      </c>
      <c r="G1911" t="s">
        <v>124</v>
      </c>
      <c r="H1911" t="s">
        <v>125</v>
      </c>
      <c r="I1911">
        <v>2</v>
      </c>
      <c r="J1911" t="s">
        <v>161</v>
      </c>
      <c r="K1911" t="s">
        <v>125</v>
      </c>
      <c r="L1911" t="s">
        <v>4461</v>
      </c>
      <c r="AE1911" t="s">
        <v>394</v>
      </c>
      <c r="AG1911">
        <v>10</v>
      </c>
      <c r="AH1911" t="s">
        <v>282</v>
      </c>
      <c r="AI1911" t="s">
        <v>146</v>
      </c>
      <c r="AJ1911" t="s">
        <v>131</v>
      </c>
      <c r="AK1911" t="s">
        <v>125</v>
      </c>
      <c r="AL1911">
        <v>11</v>
      </c>
      <c r="AM1911" t="s">
        <v>132</v>
      </c>
      <c r="AN1911" t="s">
        <v>125</v>
      </c>
      <c r="AO1911" t="s">
        <v>4462</v>
      </c>
      <c r="BP1911" t="s">
        <v>149</v>
      </c>
      <c r="BR1911" t="s">
        <v>155</v>
      </c>
      <c r="BS1911">
        <v>1</v>
      </c>
      <c r="BX1911" t="s">
        <v>136</v>
      </c>
      <c r="BZ1911" t="s">
        <v>137</v>
      </c>
    </row>
    <row r="1912" spans="1:78" hidden="1" x14ac:dyDescent="0.2">
      <c r="A1912" t="s">
        <v>119</v>
      </c>
      <c r="B1912" t="s">
        <v>120</v>
      </c>
      <c r="C1912" t="s">
        <v>4463</v>
      </c>
      <c r="D1912">
        <v>5</v>
      </c>
      <c r="E1912" t="s">
        <v>4322</v>
      </c>
      <c r="F1912" t="s">
        <v>350</v>
      </c>
      <c r="G1912" t="s">
        <v>124</v>
      </c>
      <c r="H1912" t="s">
        <v>125</v>
      </c>
      <c r="I1912">
        <v>0</v>
      </c>
      <c r="J1912" t="s">
        <v>126</v>
      </c>
      <c r="K1912" t="s">
        <v>125</v>
      </c>
      <c r="L1912" t="s">
        <v>4464</v>
      </c>
      <c r="T1912" t="s">
        <v>154</v>
      </c>
      <c r="W1912" t="s">
        <v>135</v>
      </c>
      <c r="AC1912" t="s">
        <v>143</v>
      </c>
      <c r="AE1912" t="s">
        <v>144</v>
      </c>
      <c r="AG1912">
        <v>4</v>
      </c>
      <c r="AH1912" t="s">
        <v>145</v>
      </c>
      <c r="AI1912" t="s">
        <v>146</v>
      </c>
      <c r="AJ1912" t="s">
        <v>131</v>
      </c>
      <c r="AK1912" t="s">
        <v>125</v>
      </c>
      <c r="AL1912">
        <v>5</v>
      </c>
      <c r="AM1912" t="s">
        <v>132</v>
      </c>
      <c r="AN1912" t="s">
        <v>125</v>
      </c>
      <c r="AO1912" t="s">
        <v>4465</v>
      </c>
      <c r="BP1912" t="s">
        <v>149</v>
      </c>
      <c r="BR1912" t="s">
        <v>135</v>
      </c>
      <c r="BS1912">
        <v>3</v>
      </c>
      <c r="BX1912" t="s">
        <v>136</v>
      </c>
      <c r="BZ1912" t="s">
        <v>137</v>
      </c>
    </row>
    <row r="1913" spans="1:78" hidden="1" x14ac:dyDescent="0.2">
      <c r="A1913" t="s">
        <v>119</v>
      </c>
      <c r="B1913" t="s">
        <v>120</v>
      </c>
      <c r="C1913" t="s">
        <v>4463</v>
      </c>
      <c r="D1913">
        <v>14</v>
      </c>
      <c r="E1913" t="s">
        <v>2177</v>
      </c>
      <c r="F1913" t="s">
        <v>242</v>
      </c>
      <c r="G1913" t="s">
        <v>124</v>
      </c>
      <c r="H1913" t="s">
        <v>125</v>
      </c>
      <c r="I1913">
        <v>5</v>
      </c>
      <c r="J1913" t="s">
        <v>161</v>
      </c>
      <c r="K1913" t="s">
        <v>125</v>
      </c>
      <c r="L1913" t="s">
        <v>4466</v>
      </c>
      <c r="T1913" t="s">
        <v>154</v>
      </c>
      <c r="W1913" t="s">
        <v>135</v>
      </c>
      <c r="AC1913" t="s">
        <v>143</v>
      </c>
      <c r="AE1913" t="s">
        <v>144</v>
      </c>
      <c r="AG1913">
        <v>13</v>
      </c>
      <c r="AH1913" t="s">
        <v>614</v>
      </c>
      <c r="AI1913" t="s">
        <v>205</v>
      </c>
      <c r="AJ1913" t="s">
        <v>131</v>
      </c>
      <c r="AK1913" t="s">
        <v>125</v>
      </c>
      <c r="AL1913">
        <v>14</v>
      </c>
      <c r="AM1913" t="s">
        <v>132</v>
      </c>
      <c r="AN1913" t="s">
        <v>125</v>
      </c>
      <c r="AO1913" t="s">
        <v>4467</v>
      </c>
      <c r="BP1913" t="s">
        <v>149</v>
      </c>
      <c r="BR1913" t="s">
        <v>135</v>
      </c>
      <c r="BS1913">
        <v>3</v>
      </c>
      <c r="BX1913" t="s">
        <v>136</v>
      </c>
      <c r="BZ1913" t="s">
        <v>137</v>
      </c>
    </row>
    <row r="1914" spans="1:78" x14ac:dyDescent="0.2">
      <c r="A1914" t="s">
        <v>119</v>
      </c>
      <c r="B1914" t="s">
        <v>120</v>
      </c>
      <c r="C1914" t="s">
        <v>4468</v>
      </c>
      <c r="D1914">
        <v>5</v>
      </c>
      <c r="E1914" t="s">
        <v>229</v>
      </c>
      <c r="F1914" t="s">
        <v>205</v>
      </c>
      <c r="G1914" t="s">
        <v>124</v>
      </c>
      <c r="H1914" t="s">
        <v>125</v>
      </c>
      <c r="I1914">
        <v>3</v>
      </c>
      <c r="J1914" t="s">
        <v>170</v>
      </c>
      <c r="K1914" t="s">
        <v>125</v>
      </c>
      <c r="L1914" t="s">
        <v>4469</v>
      </c>
      <c r="U1914" t="s">
        <v>149</v>
      </c>
      <c r="W1914" t="s">
        <v>155</v>
      </c>
      <c r="X1914">
        <v>2</v>
      </c>
      <c r="AC1914" t="s">
        <v>136</v>
      </c>
      <c r="AE1914" t="s">
        <v>137</v>
      </c>
    </row>
    <row r="1915" spans="1:78" hidden="1" x14ac:dyDescent="0.2">
      <c r="A1915" t="s">
        <v>119</v>
      </c>
      <c r="B1915" t="s">
        <v>120</v>
      </c>
      <c r="C1915" t="s">
        <v>4470</v>
      </c>
      <c r="D1915">
        <v>5</v>
      </c>
      <c r="E1915" t="s">
        <v>4471</v>
      </c>
      <c r="F1915" t="s">
        <v>4471</v>
      </c>
      <c r="G1915" t="s">
        <v>124</v>
      </c>
      <c r="H1915" t="s">
        <v>125</v>
      </c>
      <c r="I1915">
        <v>0</v>
      </c>
      <c r="J1915" t="s">
        <v>126</v>
      </c>
      <c r="K1915" t="s">
        <v>125</v>
      </c>
      <c r="L1915" t="s">
        <v>4472</v>
      </c>
      <c r="T1915" t="s">
        <v>154</v>
      </c>
      <c r="W1915" t="s">
        <v>135</v>
      </c>
      <c r="AG1915">
        <v>2</v>
      </c>
      <c r="AH1915" t="s">
        <v>145</v>
      </c>
      <c r="AI1915" t="s">
        <v>146</v>
      </c>
      <c r="AJ1915" t="s">
        <v>131</v>
      </c>
      <c r="AK1915" t="s">
        <v>125</v>
      </c>
      <c r="AL1915">
        <v>5</v>
      </c>
      <c r="AM1915" t="s">
        <v>338</v>
      </c>
      <c r="AN1915" t="s">
        <v>125</v>
      </c>
      <c r="AO1915" t="s">
        <v>4473</v>
      </c>
      <c r="BP1915" t="s">
        <v>149</v>
      </c>
      <c r="BR1915" t="s">
        <v>135</v>
      </c>
      <c r="BS1915">
        <v>3</v>
      </c>
      <c r="BX1915" t="s">
        <v>136</v>
      </c>
      <c r="BZ1915" t="s">
        <v>137</v>
      </c>
    </row>
    <row r="1916" spans="1:78" hidden="1" x14ac:dyDescent="0.2">
      <c r="A1916" t="s">
        <v>119</v>
      </c>
      <c r="B1916" t="s">
        <v>120</v>
      </c>
      <c r="C1916" t="s">
        <v>4474</v>
      </c>
      <c r="D1916">
        <v>11</v>
      </c>
      <c r="E1916" t="s">
        <v>310</v>
      </c>
      <c r="F1916" t="s">
        <v>311</v>
      </c>
      <c r="G1916" t="s">
        <v>124</v>
      </c>
      <c r="H1916" t="s">
        <v>125</v>
      </c>
      <c r="I1916">
        <v>0</v>
      </c>
      <c r="J1916" t="s">
        <v>126</v>
      </c>
      <c r="K1916" t="s">
        <v>125</v>
      </c>
      <c r="L1916" t="s">
        <v>4475</v>
      </c>
      <c r="T1916" t="s">
        <v>154</v>
      </c>
      <c r="W1916" t="s">
        <v>135</v>
      </c>
      <c r="AC1916" t="s">
        <v>143</v>
      </c>
      <c r="AE1916" t="s">
        <v>144</v>
      </c>
      <c r="AG1916">
        <v>8</v>
      </c>
      <c r="AH1916" t="s">
        <v>207</v>
      </c>
      <c r="AI1916" t="s">
        <v>146</v>
      </c>
      <c r="AJ1916" t="s">
        <v>131</v>
      </c>
      <c r="AK1916" t="s">
        <v>125</v>
      </c>
      <c r="AL1916">
        <v>11</v>
      </c>
      <c r="AM1916" t="s">
        <v>132</v>
      </c>
      <c r="AN1916" t="s">
        <v>125</v>
      </c>
      <c r="AO1916" t="s">
        <v>4476</v>
      </c>
      <c r="BP1916" t="s">
        <v>149</v>
      </c>
      <c r="BR1916" t="s">
        <v>135</v>
      </c>
      <c r="BS1916">
        <v>3</v>
      </c>
      <c r="BX1916" t="s">
        <v>209</v>
      </c>
      <c r="BZ1916" t="s">
        <v>137</v>
      </c>
    </row>
    <row r="1917" spans="1:78" hidden="1" x14ac:dyDescent="0.2">
      <c r="A1917" t="s">
        <v>119</v>
      </c>
      <c r="B1917" t="s">
        <v>120</v>
      </c>
      <c r="C1917" t="s">
        <v>4474</v>
      </c>
      <c r="D1917">
        <v>13</v>
      </c>
      <c r="E1917" t="s">
        <v>1399</v>
      </c>
      <c r="F1917" t="s">
        <v>1399</v>
      </c>
      <c r="G1917" t="s">
        <v>124</v>
      </c>
      <c r="H1917" t="s">
        <v>125</v>
      </c>
      <c r="I1917">
        <v>11</v>
      </c>
      <c r="J1917" t="s">
        <v>268</v>
      </c>
      <c r="K1917" t="s">
        <v>125</v>
      </c>
      <c r="L1917" t="s">
        <v>4477</v>
      </c>
      <c r="AE1917" t="s">
        <v>128</v>
      </c>
    </row>
    <row r="1918" spans="1:78" x14ac:dyDescent="0.2">
      <c r="A1918" t="s">
        <v>119</v>
      </c>
      <c r="B1918" t="s">
        <v>120</v>
      </c>
      <c r="C1918" t="s">
        <v>4478</v>
      </c>
      <c r="D1918">
        <v>3</v>
      </c>
      <c r="E1918" t="s">
        <v>160</v>
      </c>
      <c r="F1918" t="s">
        <v>146</v>
      </c>
      <c r="G1918" t="s">
        <v>124</v>
      </c>
      <c r="H1918" t="s">
        <v>125</v>
      </c>
      <c r="I1918">
        <v>0</v>
      </c>
      <c r="J1918" t="s">
        <v>126</v>
      </c>
      <c r="K1918" t="s">
        <v>125</v>
      </c>
      <c r="L1918" t="s">
        <v>4479</v>
      </c>
      <c r="U1918" t="s">
        <v>149</v>
      </c>
      <c r="W1918" t="s">
        <v>155</v>
      </c>
      <c r="X1918">
        <v>3</v>
      </c>
      <c r="AC1918" t="s">
        <v>136</v>
      </c>
      <c r="AE1918" t="s">
        <v>137</v>
      </c>
    </row>
    <row r="1919" spans="1:78" x14ac:dyDescent="0.2">
      <c r="A1919" t="s">
        <v>119</v>
      </c>
      <c r="B1919" t="s">
        <v>120</v>
      </c>
      <c r="C1919" t="s">
        <v>4478</v>
      </c>
      <c r="D1919">
        <v>10</v>
      </c>
      <c r="E1919" t="s">
        <v>4480</v>
      </c>
      <c r="F1919" t="s">
        <v>4481</v>
      </c>
      <c r="G1919" t="s">
        <v>124</v>
      </c>
      <c r="H1919" t="s">
        <v>125</v>
      </c>
      <c r="I1919">
        <v>3</v>
      </c>
      <c r="J1919" t="s">
        <v>161</v>
      </c>
      <c r="K1919" t="s">
        <v>125</v>
      </c>
      <c r="L1919" t="s">
        <v>4482</v>
      </c>
      <c r="U1919" t="s">
        <v>149</v>
      </c>
      <c r="W1919" t="s">
        <v>135</v>
      </c>
      <c r="X1919">
        <v>3</v>
      </c>
      <c r="AC1919" t="s">
        <v>136</v>
      </c>
      <c r="AE1919" t="s">
        <v>137</v>
      </c>
    </row>
    <row r="1920" spans="1:78" x14ac:dyDescent="0.2">
      <c r="A1920" t="s">
        <v>119</v>
      </c>
      <c r="B1920" t="s">
        <v>120</v>
      </c>
      <c r="C1920" t="s">
        <v>4478</v>
      </c>
      <c r="D1920">
        <v>13</v>
      </c>
      <c r="E1920" t="s">
        <v>564</v>
      </c>
      <c r="F1920" t="s">
        <v>146</v>
      </c>
      <c r="G1920" t="s">
        <v>124</v>
      </c>
      <c r="H1920" t="s">
        <v>125</v>
      </c>
      <c r="I1920">
        <v>10</v>
      </c>
      <c r="J1920" t="s">
        <v>170</v>
      </c>
      <c r="K1920" t="s">
        <v>125</v>
      </c>
      <c r="L1920" t="s">
        <v>4483</v>
      </c>
      <c r="U1920" t="s">
        <v>309</v>
      </c>
      <c r="W1920" t="s">
        <v>155</v>
      </c>
      <c r="X1920">
        <v>3</v>
      </c>
      <c r="AC1920" t="s">
        <v>136</v>
      </c>
      <c r="AE1920" t="s">
        <v>137</v>
      </c>
    </row>
    <row r="1921" spans="1:78" hidden="1" x14ac:dyDescent="0.2">
      <c r="A1921" t="s">
        <v>119</v>
      </c>
      <c r="B1921" t="s">
        <v>120</v>
      </c>
      <c r="C1921" t="s">
        <v>4484</v>
      </c>
      <c r="D1921">
        <v>7</v>
      </c>
      <c r="E1921" t="s">
        <v>261</v>
      </c>
      <c r="F1921" t="s">
        <v>261</v>
      </c>
      <c r="G1921" t="s">
        <v>124</v>
      </c>
      <c r="H1921" t="s">
        <v>125</v>
      </c>
      <c r="I1921">
        <v>0</v>
      </c>
      <c r="J1921" t="s">
        <v>126</v>
      </c>
      <c r="K1921" t="s">
        <v>125</v>
      </c>
      <c r="L1921" t="s">
        <v>4485</v>
      </c>
      <c r="AE1921" t="s">
        <v>128</v>
      </c>
      <c r="AG1921">
        <v>6</v>
      </c>
      <c r="AH1921" t="s">
        <v>1935</v>
      </c>
      <c r="AI1921" t="s">
        <v>667</v>
      </c>
      <c r="AJ1921" t="s">
        <v>131</v>
      </c>
      <c r="AK1921" t="s">
        <v>125</v>
      </c>
      <c r="AL1921">
        <v>7</v>
      </c>
      <c r="AM1921" t="s">
        <v>132</v>
      </c>
      <c r="AN1921" t="s">
        <v>125</v>
      </c>
      <c r="AO1921" t="s">
        <v>4486</v>
      </c>
      <c r="BP1921" t="s">
        <v>149</v>
      </c>
      <c r="BR1921" t="s">
        <v>135</v>
      </c>
      <c r="BS1921">
        <v>3</v>
      </c>
      <c r="BX1921" t="s">
        <v>136</v>
      </c>
      <c r="BZ1921" t="s">
        <v>137</v>
      </c>
    </row>
    <row r="1922" spans="1:78" hidden="1" x14ac:dyDescent="0.2">
      <c r="A1922" t="s">
        <v>119</v>
      </c>
      <c r="B1922" t="s">
        <v>120</v>
      </c>
      <c r="C1922" t="s">
        <v>4484</v>
      </c>
      <c r="D1922">
        <v>10</v>
      </c>
      <c r="E1922" t="s">
        <v>207</v>
      </c>
      <c r="F1922" t="s">
        <v>146</v>
      </c>
      <c r="G1922" t="s">
        <v>124</v>
      </c>
      <c r="H1922" t="s">
        <v>125</v>
      </c>
      <c r="I1922">
        <v>7</v>
      </c>
      <c r="J1922" t="s">
        <v>264</v>
      </c>
      <c r="K1922" t="s">
        <v>125</v>
      </c>
      <c r="L1922" t="s">
        <v>4487</v>
      </c>
      <c r="U1922" t="s">
        <v>149</v>
      </c>
      <c r="W1922" t="s">
        <v>135</v>
      </c>
      <c r="X1922">
        <v>3</v>
      </c>
      <c r="AC1922" t="s">
        <v>209</v>
      </c>
      <c r="AE1922" t="s">
        <v>137</v>
      </c>
    </row>
    <row r="1923" spans="1:78" hidden="1" x14ac:dyDescent="0.2">
      <c r="A1923" t="s">
        <v>119</v>
      </c>
      <c r="B1923" t="s">
        <v>120</v>
      </c>
      <c r="C1923" t="s">
        <v>4484</v>
      </c>
      <c r="D1923">
        <v>13</v>
      </c>
      <c r="E1923" t="s">
        <v>4488</v>
      </c>
      <c r="F1923" t="s">
        <v>123</v>
      </c>
      <c r="G1923" t="s">
        <v>124</v>
      </c>
      <c r="H1923" t="s">
        <v>125</v>
      </c>
      <c r="I1923">
        <v>11</v>
      </c>
      <c r="J1923" t="s">
        <v>170</v>
      </c>
      <c r="K1923" t="s">
        <v>125</v>
      </c>
      <c r="L1923" t="s">
        <v>4489</v>
      </c>
      <c r="U1923" t="s">
        <v>149</v>
      </c>
      <c r="W1923" t="s">
        <v>135</v>
      </c>
      <c r="X1923">
        <v>3</v>
      </c>
      <c r="AC1923" t="s">
        <v>209</v>
      </c>
      <c r="AE1923" t="s">
        <v>137</v>
      </c>
    </row>
    <row r="1924" spans="1:78" hidden="1" x14ac:dyDescent="0.2">
      <c r="A1924" t="s">
        <v>119</v>
      </c>
      <c r="B1924" t="s">
        <v>120</v>
      </c>
      <c r="C1924" t="s">
        <v>4484</v>
      </c>
      <c r="D1924">
        <v>17</v>
      </c>
      <c r="E1924" t="s">
        <v>3803</v>
      </c>
      <c r="F1924" t="s">
        <v>3803</v>
      </c>
      <c r="G1924" t="s">
        <v>124</v>
      </c>
      <c r="H1924" t="s">
        <v>125</v>
      </c>
      <c r="I1924">
        <v>14</v>
      </c>
      <c r="J1924" t="s">
        <v>170</v>
      </c>
      <c r="K1924" t="s">
        <v>125</v>
      </c>
      <c r="L1924" t="s">
        <v>4490</v>
      </c>
      <c r="AE1924" t="s">
        <v>128</v>
      </c>
      <c r="AG1924">
        <v>16</v>
      </c>
      <c r="AH1924" t="s">
        <v>1476</v>
      </c>
      <c r="AI1924" t="s">
        <v>572</v>
      </c>
      <c r="AJ1924" t="s">
        <v>131</v>
      </c>
      <c r="AK1924" t="s">
        <v>125</v>
      </c>
      <c r="AL1924">
        <v>17</v>
      </c>
      <c r="AM1924" t="s">
        <v>132</v>
      </c>
      <c r="AN1924" t="s">
        <v>125</v>
      </c>
      <c r="AO1924" t="s">
        <v>4491</v>
      </c>
      <c r="BP1924" t="s">
        <v>149</v>
      </c>
      <c r="BR1924" t="s">
        <v>135</v>
      </c>
      <c r="BS1924">
        <v>3</v>
      </c>
      <c r="BX1924" t="s">
        <v>209</v>
      </c>
      <c r="BZ1924" t="s">
        <v>137</v>
      </c>
    </row>
    <row r="1925" spans="1:78" hidden="1" x14ac:dyDescent="0.2">
      <c r="A1925" t="s">
        <v>119</v>
      </c>
      <c r="B1925" t="s">
        <v>120</v>
      </c>
      <c r="C1925" t="s">
        <v>4492</v>
      </c>
      <c r="D1925">
        <v>4</v>
      </c>
      <c r="E1925" t="s">
        <v>4493</v>
      </c>
      <c r="F1925" t="s">
        <v>311</v>
      </c>
      <c r="G1925" t="s">
        <v>124</v>
      </c>
      <c r="H1925" t="s">
        <v>125</v>
      </c>
      <c r="I1925">
        <v>2</v>
      </c>
      <c r="J1925" t="s">
        <v>170</v>
      </c>
      <c r="K1925" t="s">
        <v>125</v>
      </c>
      <c r="L1925" t="s">
        <v>4494</v>
      </c>
      <c r="U1925" t="s">
        <v>149</v>
      </c>
      <c r="W1925" t="s">
        <v>155</v>
      </c>
      <c r="X1925">
        <v>1</v>
      </c>
      <c r="AC1925" t="s">
        <v>209</v>
      </c>
      <c r="AE1925" t="s">
        <v>137</v>
      </c>
    </row>
    <row r="1926" spans="1:78" x14ac:dyDescent="0.2">
      <c r="A1926" t="s">
        <v>119</v>
      </c>
      <c r="B1926" t="s">
        <v>120</v>
      </c>
      <c r="C1926" t="s">
        <v>4495</v>
      </c>
      <c r="D1926">
        <v>5</v>
      </c>
      <c r="E1926" t="s">
        <v>145</v>
      </c>
      <c r="F1926" t="s">
        <v>146</v>
      </c>
      <c r="G1926" t="s">
        <v>124</v>
      </c>
      <c r="H1926" t="s">
        <v>125</v>
      </c>
      <c r="I1926">
        <v>3</v>
      </c>
      <c r="J1926" t="s">
        <v>170</v>
      </c>
      <c r="K1926" t="s">
        <v>125</v>
      </c>
      <c r="L1926" t="s">
        <v>4496</v>
      </c>
      <c r="U1926" t="s">
        <v>149</v>
      </c>
      <c r="W1926" t="s">
        <v>135</v>
      </c>
      <c r="X1926">
        <v>3</v>
      </c>
      <c r="AC1926" t="s">
        <v>136</v>
      </c>
      <c r="AE1926" t="s">
        <v>137</v>
      </c>
    </row>
    <row r="1927" spans="1:78" hidden="1" x14ac:dyDescent="0.2">
      <c r="A1927" t="s">
        <v>119</v>
      </c>
      <c r="B1927" t="s">
        <v>120</v>
      </c>
      <c r="C1927" t="s">
        <v>4497</v>
      </c>
      <c r="D1927">
        <v>4</v>
      </c>
      <c r="E1927" t="s">
        <v>4498</v>
      </c>
      <c r="F1927" t="s">
        <v>4498</v>
      </c>
      <c r="G1927" t="s">
        <v>124</v>
      </c>
      <c r="H1927" t="s">
        <v>125</v>
      </c>
      <c r="I1927">
        <v>0</v>
      </c>
      <c r="J1927" t="s">
        <v>126</v>
      </c>
      <c r="K1927" t="s">
        <v>125</v>
      </c>
      <c r="L1927" t="s">
        <v>4499</v>
      </c>
      <c r="AE1927" t="s">
        <v>128</v>
      </c>
      <c r="AG1927">
        <v>3</v>
      </c>
      <c r="AH1927" t="s">
        <v>3461</v>
      </c>
      <c r="AI1927" t="s">
        <v>572</v>
      </c>
      <c r="AJ1927" t="s">
        <v>131</v>
      </c>
      <c r="AK1927" t="s">
        <v>125</v>
      </c>
      <c r="AL1927">
        <v>4</v>
      </c>
      <c r="AM1927" t="s">
        <v>132</v>
      </c>
      <c r="AN1927" t="s">
        <v>125</v>
      </c>
      <c r="AO1927" t="s">
        <v>4500</v>
      </c>
      <c r="BP1927" t="s">
        <v>149</v>
      </c>
      <c r="BR1927" t="s">
        <v>155</v>
      </c>
      <c r="BS1927">
        <v>1</v>
      </c>
      <c r="BX1927" t="s">
        <v>136</v>
      </c>
      <c r="BZ1927" t="s">
        <v>137</v>
      </c>
    </row>
    <row r="1928" spans="1:78" hidden="1" x14ac:dyDescent="0.2">
      <c r="A1928" t="s">
        <v>119</v>
      </c>
      <c r="B1928" t="s">
        <v>120</v>
      </c>
      <c r="C1928" t="s">
        <v>4497</v>
      </c>
      <c r="D1928">
        <v>16</v>
      </c>
      <c r="E1928" t="s">
        <v>1548</v>
      </c>
      <c r="F1928" t="s">
        <v>1399</v>
      </c>
      <c r="G1928" t="s">
        <v>124</v>
      </c>
      <c r="H1928" t="s">
        <v>125</v>
      </c>
      <c r="I1928">
        <v>11</v>
      </c>
      <c r="J1928" t="s">
        <v>170</v>
      </c>
      <c r="K1928" t="s">
        <v>125</v>
      </c>
      <c r="L1928" t="s">
        <v>4501</v>
      </c>
      <c r="T1928" t="s">
        <v>154</v>
      </c>
      <c r="W1928" t="s">
        <v>135</v>
      </c>
      <c r="AC1928" t="s">
        <v>143</v>
      </c>
      <c r="AE1928" t="s">
        <v>144</v>
      </c>
      <c r="AG1928">
        <v>15</v>
      </c>
      <c r="AH1928" t="s">
        <v>614</v>
      </c>
      <c r="AI1928" t="s">
        <v>205</v>
      </c>
      <c r="AJ1928" t="s">
        <v>131</v>
      </c>
      <c r="AK1928" t="s">
        <v>125</v>
      </c>
      <c r="AL1928">
        <v>16</v>
      </c>
      <c r="AM1928" t="s">
        <v>132</v>
      </c>
      <c r="AN1928" t="s">
        <v>125</v>
      </c>
      <c r="AO1928" t="s">
        <v>4502</v>
      </c>
      <c r="BP1928" t="s">
        <v>149</v>
      </c>
      <c r="BR1928" t="s">
        <v>135</v>
      </c>
      <c r="BS1928">
        <v>3</v>
      </c>
      <c r="BX1928" t="s">
        <v>136</v>
      </c>
      <c r="BZ1928" t="s">
        <v>137</v>
      </c>
    </row>
    <row r="1929" spans="1:78" hidden="1" x14ac:dyDescent="0.2">
      <c r="A1929" t="s">
        <v>119</v>
      </c>
      <c r="B1929" t="s">
        <v>120</v>
      </c>
      <c r="C1929" t="s">
        <v>4503</v>
      </c>
      <c r="D1929">
        <v>4</v>
      </c>
      <c r="E1929" t="s">
        <v>4450</v>
      </c>
      <c r="F1929" t="s">
        <v>4450</v>
      </c>
      <c r="G1929" t="s">
        <v>124</v>
      </c>
      <c r="H1929" t="s">
        <v>125</v>
      </c>
      <c r="I1929">
        <v>0</v>
      </c>
      <c r="J1929" t="s">
        <v>126</v>
      </c>
      <c r="K1929" t="s">
        <v>125</v>
      </c>
      <c r="L1929" t="s">
        <v>4504</v>
      </c>
      <c r="AE1929" t="s">
        <v>128</v>
      </c>
      <c r="AG1929">
        <v>3</v>
      </c>
      <c r="AH1929" t="s">
        <v>3461</v>
      </c>
      <c r="AI1929" t="s">
        <v>572</v>
      </c>
      <c r="AJ1929" t="s">
        <v>131</v>
      </c>
      <c r="AK1929" t="s">
        <v>125</v>
      </c>
      <c r="AL1929">
        <v>4</v>
      </c>
      <c r="AM1929" t="s">
        <v>132</v>
      </c>
      <c r="AN1929" t="s">
        <v>125</v>
      </c>
      <c r="AO1929" t="s">
        <v>4505</v>
      </c>
      <c r="BP1929" t="s">
        <v>149</v>
      </c>
      <c r="BR1929" t="s">
        <v>155</v>
      </c>
      <c r="BS1929">
        <v>1</v>
      </c>
      <c r="BX1929" t="s">
        <v>136</v>
      </c>
      <c r="BZ1929" t="s">
        <v>137</v>
      </c>
    </row>
    <row r="1930" spans="1:78" x14ac:dyDescent="0.2">
      <c r="A1930" t="s">
        <v>119</v>
      </c>
      <c r="B1930" t="s">
        <v>120</v>
      </c>
      <c r="C1930" t="s">
        <v>4503</v>
      </c>
      <c r="D1930">
        <v>8</v>
      </c>
      <c r="E1930" t="s">
        <v>160</v>
      </c>
      <c r="F1930" t="s">
        <v>146</v>
      </c>
      <c r="G1930" t="s">
        <v>124</v>
      </c>
      <c r="H1930" t="s">
        <v>125</v>
      </c>
      <c r="I1930">
        <v>4</v>
      </c>
      <c r="J1930" t="s">
        <v>161</v>
      </c>
      <c r="K1930" t="s">
        <v>125</v>
      </c>
      <c r="L1930" t="s">
        <v>4506</v>
      </c>
      <c r="U1930" t="s">
        <v>149</v>
      </c>
      <c r="W1930" t="s">
        <v>155</v>
      </c>
      <c r="X1930">
        <v>3</v>
      </c>
      <c r="AC1930" t="s">
        <v>136</v>
      </c>
      <c r="AE1930" t="s">
        <v>137</v>
      </c>
    </row>
    <row r="1931" spans="1:78" x14ac:dyDescent="0.2">
      <c r="A1931" t="s">
        <v>119</v>
      </c>
      <c r="B1931" t="s">
        <v>120</v>
      </c>
      <c r="C1931" t="s">
        <v>4507</v>
      </c>
      <c r="D1931">
        <v>3</v>
      </c>
      <c r="E1931" t="s">
        <v>232</v>
      </c>
      <c r="F1931" t="s">
        <v>205</v>
      </c>
      <c r="G1931" t="s">
        <v>124</v>
      </c>
      <c r="H1931" t="s">
        <v>125</v>
      </c>
      <c r="I1931">
        <v>0</v>
      </c>
      <c r="J1931" t="s">
        <v>126</v>
      </c>
      <c r="K1931" t="s">
        <v>125</v>
      </c>
      <c r="L1931" t="s">
        <v>2140</v>
      </c>
      <c r="U1931" t="s">
        <v>149</v>
      </c>
      <c r="W1931" t="s">
        <v>155</v>
      </c>
      <c r="X1931">
        <v>1</v>
      </c>
      <c r="AC1931" t="s">
        <v>136</v>
      </c>
      <c r="AE1931" t="s">
        <v>137</v>
      </c>
    </row>
    <row r="1932" spans="1:78" hidden="1" x14ac:dyDescent="0.2">
      <c r="A1932" t="s">
        <v>119</v>
      </c>
      <c r="B1932" t="s">
        <v>120</v>
      </c>
      <c r="C1932" t="s">
        <v>4508</v>
      </c>
      <c r="D1932">
        <v>2</v>
      </c>
      <c r="E1932" t="s">
        <v>186</v>
      </c>
      <c r="F1932" t="s">
        <v>186</v>
      </c>
      <c r="G1932" t="s">
        <v>124</v>
      </c>
      <c r="H1932" t="s">
        <v>125</v>
      </c>
      <c r="I1932">
        <v>0</v>
      </c>
      <c r="J1932" t="s">
        <v>126</v>
      </c>
      <c r="K1932" t="s">
        <v>125</v>
      </c>
      <c r="L1932" t="s">
        <v>4509</v>
      </c>
      <c r="AE1932" t="s">
        <v>128</v>
      </c>
      <c r="AG1932">
        <v>1</v>
      </c>
      <c r="AH1932" t="s">
        <v>1405</v>
      </c>
      <c r="AI1932" t="s">
        <v>130</v>
      </c>
      <c r="AJ1932" t="s">
        <v>131</v>
      </c>
      <c r="AK1932" t="s">
        <v>125</v>
      </c>
      <c r="AL1932">
        <v>2</v>
      </c>
      <c r="AM1932" t="s">
        <v>132</v>
      </c>
      <c r="AN1932" t="s">
        <v>125</v>
      </c>
      <c r="AO1932" t="s">
        <v>4510</v>
      </c>
      <c r="BP1932" t="s">
        <v>149</v>
      </c>
      <c r="BR1932" t="s">
        <v>155</v>
      </c>
      <c r="BS1932">
        <v>1</v>
      </c>
      <c r="BX1932" t="s">
        <v>136</v>
      </c>
      <c r="BZ1932" t="s">
        <v>137</v>
      </c>
    </row>
    <row r="1933" spans="1:78" hidden="1" x14ac:dyDescent="0.2">
      <c r="A1933" t="s">
        <v>119</v>
      </c>
      <c r="B1933" t="s">
        <v>120</v>
      </c>
      <c r="C1933" t="s">
        <v>4511</v>
      </c>
      <c r="D1933">
        <v>2</v>
      </c>
      <c r="E1933" t="s">
        <v>186</v>
      </c>
      <c r="F1933" t="s">
        <v>186</v>
      </c>
      <c r="G1933" t="s">
        <v>124</v>
      </c>
      <c r="H1933" t="s">
        <v>125</v>
      </c>
      <c r="I1933">
        <v>0</v>
      </c>
      <c r="J1933" t="s">
        <v>126</v>
      </c>
      <c r="K1933" t="s">
        <v>125</v>
      </c>
      <c r="L1933" t="s">
        <v>4512</v>
      </c>
      <c r="AE1933" t="s">
        <v>128</v>
      </c>
      <c r="AG1933">
        <v>1</v>
      </c>
      <c r="AH1933" t="s">
        <v>1405</v>
      </c>
      <c r="AI1933" t="s">
        <v>130</v>
      </c>
      <c r="AJ1933" t="s">
        <v>131</v>
      </c>
      <c r="AK1933" t="s">
        <v>125</v>
      </c>
      <c r="AL1933">
        <v>2</v>
      </c>
      <c r="AM1933" t="s">
        <v>132</v>
      </c>
      <c r="AN1933" t="s">
        <v>125</v>
      </c>
      <c r="AO1933" t="s">
        <v>4513</v>
      </c>
      <c r="BP1933" t="s">
        <v>149</v>
      </c>
      <c r="BR1933" t="s">
        <v>155</v>
      </c>
      <c r="BS1933">
        <v>1</v>
      </c>
      <c r="BX1933" t="s">
        <v>136</v>
      </c>
      <c r="BZ1933" t="s">
        <v>137</v>
      </c>
    </row>
    <row r="1934" spans="1:78" x14ac:dyDescent="0.2">
      <c r="A1934" t="s">
        <v>119</v>
      </c>
      <c r="B1934" t="s">
        <v>120</v>
      </c>
      <c r="C1934" t="s">
        <v>4514</v>
      </c>
      <c r="D1934">
        <v>4</v>
      </c>
      <c r="E1934" t="s">
        <v>370</v>
      </c>
      <c r="F1934" t="s">
        <v>140</v>
      </c>
      <c r="G1934" t="s">
        <v>124</v>
      </c>
      <c r="H1934" t="s">
        <v>125</v>
      </c>
      <c r="I1934">
        <v>0</v>
      </c>
      <c r="J1934" t="s">
        <v>126</v>
      </c>
      <c r="K1934" t="s">
        <v>125</v>
      </c>
      <c r="L1934" t="s">
        <v>4515</v>
      </c>
      <c r="U1934" t="s">
        <v>149</v>
      </c>
      <c r="W1934" t="s">
        <v>135</v>
      </c>
      <c r="X1934">
        <v>3</v>
      </c>
      <c r="AC1934" t="s">
        <v>136</v>
      </c>
      <c r="AE1934" t="s">
        <v>137</v>
      </c>
    </row>
    <row r="1935" spans="1:78" hidden="1" x14ac:dyDescent="0.2">
      <c r="A1935" t="s">
        <v>119</v>
      </c>
      <c r="B1935" t="s">
        <v>120</v>
      </c>
      <c r="C1935" t="s">
        <v>4514</v>
      </c>
      <c r="D1935">
        <v>5</v>
      </c>
      <c r="E1935" t="s">
        <v>1001</v>
      </c>
      <c r="F1935" t="s">
        <v>1001</v>
      </c>
      <c r="G1935" t="s">
        <v>124</v>
      </c>
      <c r="H1935" t="s">
        <v>125</v>
      </c>
      <c r="I1935">
        <v>4</v>
      </c>
      <c r="J1935" t="s">
        <v>294</v>
      </c>
      <c r="K1935" t="s">
        <v>125</v>
      </c>
      <c r="L1935" t="s">
        <v>4516</v>
      </c>
      <c r="AE1935" t="s">
        <v>128</v>
      </c>
    </row>
    <row r="1936" spans="1:78" hidden="1" x14ac:dyDescent="0.2">
      <c r="A1936" t="s">
        <v>119</v>
      </c>
      <c r="B1936" t="s">
        <v>120</v>
      </c>
      <c r="C1936" t="s">
        <v>4517</v>
      </c>
      <c r="D1936">
        <v>2</v>
      </c>
      <c r="E1936" t="s">
        <v>350</v>
      </c>
      <c r="F1936" t="s">
        <v>350</v>
      </c>
      <c r="G1936" t="s">
        <v>124</v>
      </c>
      <c r="H1936" t="s">
        <v>125</v>
      </c>
      <c r="I1936">
        <v>0</v>
      </c>
      <c r="J1936" t="s">
        <v>126</v>
      </c>
      <c r="K1936" t="s">
        <v>125</v>
      </c>
      <c r="L1936" t="s">
        <v>4518</v>
      </c>
      <c r="AE1936" t="s">
        <v>128</v>
      </c>
    </row>
    <row r="1937" spans="1:78" hidden="1" x14ac:dyDescent="0.2">
      <c r="A1937" t="s">
        <v>119</v>
      </c>
      <c r="B1937" t="s">
        <v>120</v>
      </c>
      <c r="C1937" t="s">
        <v>4517</v>
      </c>
      <c r="D1937">
        <v>4</v>
      </c>
      <c r="E1937" t="s">
        <v>202</v>
      </c>
      <c r="F1937" t="s">
        <v>202</v>
      </c>
      <c r="G1937" t="s">
        <v>124</v>
      </c>
      <c r="H1937" t="s">
        <v>125</v>
      </c>
      <c r="I1937">
        <v>2</v>
      </c>
      <c r="J1937" t="s">
        <v>294</v>
      </c>
      <c r="K1937" t="s">
        <v>125</v>
      </c>
      <c r="L1937" t="s">
        <v>4519</v>
      </c>
      <c r="AE1937" t="s">
        <v>128</v>
      </c>
    </row>
    <row r="1938" spans="1:78" hidden="1" x14ac:dyDescent="0.2">
      <c r="A1938" t="s">
        <v>119</v>
      </c>
      <c r="B1938" t="s">
        <v>120</v>
      </c>
      <c r="C1938" t="s">
        <v>4517</v>
      </c>
      <c r="D1938">
        <v>7</v>
      </c>
      <c r="E1938" t="s">
        <v>207</v>
      </c>
      <c r="F1938" t="s">
        <v>146</v>
      </c>
      <c r="G1938" t="s">
        <v>124</v>
      </c>
      <c r="H1938" t="s">
        <v>125</v>
      </c>
      <c r="I1938">
        <v>4</v>
      </c>
      <c r="J1938" t="s">
        <v>268</v>
      </c>
      <c r="K1938" t="s">
        <v>125</v>
      </c>
      <c r="L1938" t="s">
        <v>4520</v>
      </c>
      <c r="U1938" t="s">
        <v>149</v>
      </c>
      <c r="W1938" t="s">
        <v>135</v>
      </c>
      <c r="X1938">
        <v>3</v>
      </c>
      <c r="AC1938" t="s">
        <v>209</v>
      </c>
      <c r="AE1938" t="s">
        <v>137</v>
      </c>
    </row>
    <row r="1939" spans="1:78" hidden="1" x14ac:dyDescent="0.2">
      <c r="A1939" t="s">
        <v>119</v>
      </c>
      <c r="B1939" t="s">
        <v>120</v>
      </c>
      <c r="C1939" t="s">
        <v>4517</v>
      </c>
      <c r="D1939">
        <v>11</v>
      </c>
      <c r="E1939" t="s">
        <v>4521</v>
      </c>
      <c r="F1939" t="s">
        <v>1399</v>
      </c>
      <c r="G1939" t="s">
        <v>124</v>
      </c>
      <c r="H1939" t="s">
        <v>125</v>
      </c>
      <c r="I1939">
        <v>9</v>
      </c>
      <c r="J1939" t="s">
        <v>170</v>
      </c>
      <c r="K1939" t="s">
        <v>125</v>
      </c>
      <c r="L1939" t="s">
        <v>4522</v>
      </c>
      <c r="U1939" t="s">
        <v>149</v>
      </c>
      <c r="W1939" t="s">
        <v>135</v>
      </c>
      <c r="X1939">
        <v>3</v>
      </c>
      <c r="AC1939" t="s">
        <v>209</v>
      </c>
      <c r="AE1939" t="s">
        <v>137</v>
      </c>
    </row>
    <row r="1940" spans="1:78" hidden="1" x14ac:dyDescent="0.2">
      <c r="A1940" t="s">
        <v>119</v>
      </c>
      <c r="B1940" t="s">
        <v>120</v>
      </c>
      <c r="C1940" t="s">
        <v>4523</v>
      </c>
      <c r="D1940">
        <v>7</v>
      </c>
      <c r="E1940" t="s">
        <v>186</v>
      </c>
      <c r="F1940" t="s">
        <v>186</v>
      </c>
      <c r="G1940" t="s">
        <v>124</v>
      </c>
      <c r="H1940" t="s">
        <v>125</v>
      </c>
      <c r="I1940">
        <v>0</v>
      </c>
      <c r="J1940" t="s">
        <v>126</v>
      </c>
      <c r="K1940" t="s">
        <v>125</v>
      </c>
      <c r="L1940" t="s">
        <v>4524</v>
      </c>
      <c r="AE1940" t="s">
        <v>128</v>
      </c>
      <c r="AG1940">
        <v>6</v>
      </c>
      <c r="AH1940" t="s">
        <v>3461</v>
      </c>
      <c r="AI1940" t="s">
        <v>572</v>
      </c>
      <c r="AJ1940" t="s">
        <v>131</v>
      </c>
      <c r="AK1940" t="s">
        <v>125</v>
      </c>
      <c r="AL1940">
        <v>7</v>
      </c>
      <c r="AM1940" t="s">
        <v>132</v>
      </c>
      <c r="AN1940" t="s">
        <v>125</v>
      </c>
      <c r="AO1940" t="s">
        <v>4525</v>
      </c>
      <c r="BP1940" t="s">
        <v>149</v>
      </c>
      <c r="BR1940" t="s">
        <v>155</v>
      </c>
      <c r="BS1940">
        <v>1</v>
      </c>
      <c r="BX1940" t="s">
        <v>136</v>
      </c>
      <c r="BZ1940" t="s">
        <v>137</v>
      </c>
    </row>
    <row r="1941" spans="1:78" x14ac:dyDescent="0.2">
      <c r="A1941" t="s">
        <v>119</v>
      </c>
      <c r="B1941" t="s">
        <v>120</v>
      </c>
      <c r="C1941" t="s">
        <v>4526</v>
      </c>
      <c r="D1941">
        <v>2</v>
      </c>
      <c r="E1941" t="s">
        <v>4527</v>
      </c>
      <c r="F1941" t="s">
        <v>4528</v>
      </c>
      <c r="G1941" t="s">
        <v>124</v>
      </c>
      <c r="H1941" t="s">
        <v>125</v>
      </c>
      <c r="I1941">
        <v>6</v>
      </c>
      <c r="J1941" t="s">
        <v>264</v>
      </c>
      <c r="K1941" t="s">
        <v>125</v>
      </c>
      <c r="L1941" t="s">
        <v>4529</v>
      </c>
      <c r="U1941" t="s">
        <v>309</v>
      </c>
      <c r="W1941" t="s">
        <v>135</v>
      </c>
      <c r="X1941">
        <v>3</v>
      </c>
      <c r="AC1941" t="s">
        <v>136</v>
      </c>
      <c r="AE1941" t="s">
        <v>137</v>
      </c>
    </row>
    <row r="1942" spans="1:78" x14ac:dyDescent="0.2">
      <c r="A1942" t="s">
        <v>119</v>
      </c>
      <c r="B1942" t="s">
        <v>120</v>
      </c>
      <c r="C1942" t="s">
        <v>4526</v>
      </c>
      <c r="D1942">
        <v>6</v>
      </c>
      <c r="E1942" t="s">
        <v>260</v>
      </c>
      <c r="F1942" t="s">
        <v>261</v>
      </c>
      <c r="G1942" t="s">
        <v>124</v>
      </c>
      <c r="H1942" t="s">
        <v>125</v>
      </c>
      <c r="I1942">
        <v>0</v>
      </c>
      <c r="J1942" t="s">
        <v>126</v>
      </c>
      <c r="K1942" t="s">
        <v>125</v>
      </c>
      <c r="L1942" t="s">
        <v>4530</v>
      </c>
      <c r="U1942" t="s">
        <v>209</v>
      </c>
      <c r="W1942" t="s">
        <v>155</v>
      </c>
      <c r="X1942">
        <v>1</v>
      </c>
      <c r="AC1942" t="s">
        <v>136</v>
      </c>
      <c r="AE1942" t="s">
        <v>137</v>
      </c>
    </row>
    <row r="1943" spans="1:78" x14ac:dyDescent="0.2">
      <c r="A1943" t="s">
        <v>119</v>
      </c>
      <c r="B1943" t="s">
        <v>120</v>
      </c>
      <c r="C1943" t="s">
        <v>4531</v>
      </c>
      <c r="D1943">
        <v>2</v>
      </c>
      <c r="E1943" t="s">
        <v>145</v>
      </c>
      <c r="F1943" t="s">
        <v>146</v>
      </c>
      <c r="G1943" t="s">
        <v>124</v>
      </c>
      <c r="H1943" t="s">
        <v>125</v>
      </c>
      <c r="I1943">
        <v>0</v>
      </c>
      <c r="J1943" t="s">
        <v>126</v>
      </c>
      <c r="K1943" t="s">
        <v>125</v>
      </c>
      <c r="L1943" t="s">
        <v>2174</v>
      </c>
      <c r="U1943" t="s">
        <v>149</v>
      </c>
      <c r="W1943" t="s">
        <v>135</v>
      </c>
      <c r="X1943">
        <v>3</v>
      </c>
      <c r="AC1943" t="s">
        <v>136</v>
      </c>
      <c r="AE1943" t="s">
        <v>137</v>
      </c>
    </row>
    <row r="1944" spans="1:78" hidden="1" x14ac:dyDescent="0.2">
      <c r="A1944" t="s">
        <v>119</v>
      </c>
      <c r="B1944" t="s">
        <v>120</v>
      </c>
      <c r="C1944" t="s">
        <v>4531</v>
      </c>
      <c r="D1944">
        <v>8</v>
      </c>
      <c r="E1944" t="s">
        <v>4521</v>
      </c>
      <c r="F1944" t="s">
        <v>1399</v>
      </c>
      <c r="G1944" t="s">
        <v>124</v>
      </c>
      <c r="H1944" t="s">
        <v>125</v>
      </c>
      <c r="I1944">
        <v>4</v>
      </c>
      <c r="J1944" t="s">
        <v>170</v>
      </c>
      <c r="K1944" t="s">
        <v>125</v>
      </c>
      <c r="L1944" t="s">
        <v>4532</v>
      </c>
      <c r="U1944" t="s">
        <v>149</v>
      </c>
      <c r="W1944" t="s">
        <v>135</v>
      </c>
      <c r="X1944">
        <v>3</v>
      </c>
      <c r="AC1944" t="s">
        <v>209</v>
      </c>
      <c r="AE1944" t="s">
        <v>137</v>
      </c>
    </row>
    <row r="1945" spans="1:78" hidden="1" x14ac:dyDescent="0.2">
      <c r="A1945" t="s">
        <v>119</v>
      </c>
      <c r="B1945" t="s">
        <v>120</v>
      </c>
      <c r="C1945" t="s">
        <v>4531</v>
      </c>
      <c r="D1945">
        <v>15</v>
      </c>
      <c r="E1945" t="s">
        <v>311</v>
      </c>
      <c r="F1945" t="s">
        <v>311</v>
      </c>
      <c r="G1945" t="s">
        <v>124</v>
      </c>
      <c r="H1945" t="s">
        <v>125</v>
      </c>
      <c r="I1945">
        <v>11</v>
      </c>
      <c r="J1945" t="s">
        <v>170</v>
      </c>
      <c r="K1945" t="s">
        <v>125</v>
      </c>
      <c r="L1945" t="s">
        <v>4533</v>
      </c>
      <c r="AE1945" t="s">
        <v>128</v>
      </c>
      <c r="AG1945">
        <v>14</v>
      </c>
      <c r="AH1945" t="s">
        <v>4534</v>
      </c>
      <c r="AI1945" t="s">
        <v>572</v>
      </c>
      <c r="AJ1945" t="s">
        <v>131</v>
      </c>
      <c r="AK1945" t="s">
        <v>125</v>
      </c>
      <c r="AL1945">
        <v>15</v>
      </c>
      <c r="AM1945" t="s">
        <v>132</v>
      </c>
      <c r="AN1945" t="s">
        <v>125</v>
      </c>
      <c r="AO1945" t="s">
        <v>4535</v>
      </c>
      <c r="BP1945" t="s">
        <v>149</v>
      </c>
      <c r="BR1945" t="s">
        <v>155</v>
      </c>
      <c r="BS1945">
        <v>2</v>
      </c>
      <c r="BX1945" t="s">
        <v>143</v>
      </c>
      <c r="BZ1945" t="s">
        <v>137</v>
      </c>
    </row>
    <row r="1946" spans="1:78" x14ac:dyDescent="0.2">
      <c r="A1946" t="s">
        <v>119</v>
      </c>
      <c r="B1946" t="s">
        <v>120</v>
      </c>
      <c r="C1946" t="s">
        <v>4536</v>
      </c>
      <c r="D1946">
        <v>4</v>
      </c>
      <c r="E1946" t="s">
        <v>160</v>
      </c>
      <c r="F1946" t="s">
        <v>146</v>
      </c>
      <c r="G1946" t="s">
        <v>124</v>
      </c>
      <c r="H1946" t="s">
        <v>125</v>
      </c>
      <c r="I1946">
        <v>0</v>
      </c>
      <c r="J1946" t="s">
        <v>126</v>
      </c>
      <c r="K1946" t="s">
        <v>125</v>
      </c>
      <c r="L1946" t="s">
        <v>4537</v>
      </c>
      <c r="U1946" t="s">
        <v>149</v>
      </c>
      <c r="W1946" t="s">
        <v>155</v>
      </c>
      <c r="X1946">
        <v>3</v>
      </c>
      <c r="AC1946" t="s">
        <v>136</v>
      </c>
      <c r="AE1946" t="s">
        <v>137</v>
      </c>
    </row>
    <row r="1947" spans="1:78" x14ac:dyDescent="0.2">
      <c r="A1947" t="s">
        <v>119</v>
      </c>
      <c r="B1947" t="s">
        <v>120</v>
      </c>
      <c r="C1947" t="s">
        <v>4538</v>
      </c>
      <c r="D1947">
        <v>1</v>
      </c>
      <c r="E1947" t="s">
        <v>3603</v>
      </c>
      <c r="F1947" t="s">
        <v>3604</v>
      </c>
      <c r="G1947" t="s">
        <v>124</v>
      </c>
      <c r="H1947" t="s">
        <v>125</v>
      </c>
      <c r="I1947">
        <v>0</v>
      </c>
      <c r="J1947" t="s">
        <v>126</v>
      </c>
      <c r="K1947" t="s">
        <v>125</v>
      </c>
      <c r="L1947" t="s">
        <v>4539</v>
      </c>
      <c r="U1947" t="s">
        <v>149</v>
      </c>
      <c r="W1947" t="s">
        <v>135</v>
      </c>
      <c r="X1947">
        <v>3</v>
      </c>
      <c r="AC1947" t="s">
        <v>136</v>
      </c>
      <c r="AE1947" t="s">
        <v>137</v>
      </c>
    </row>
    <row r="1948" spans="1:78" x14ac:dyDescent="0.2">
      <c r="A1948" t="s">
        <v>119</v>
      </c>
      <c r="B1948" t="s">
        <v>120</v>
      </c>
      <c r="C1948" t="s">
        <v>4538</v>
      </c>
      <c r="D1948">
        <v>4</v>
      </c>
      <c r="E1948" t="s">
        <v>4540</v>
      </c>
      <c r="F1948" t="s">
        <v>140</v>
      </c>
      <c r="G1948" t="s">
        <v>124</v>
      </c>
      <c r="H1948" t="s">
        <v>125</v>
      </c>
      <c r="I1948">
        <v>1</v>
      </c>
      <c r="J1948" t="s">
        <v>264</v>
      </c>
      <c r="K1948" t="s">
        <v>125</v>
      </c>
      <c r="L1948" t="s">
        <v>4541</v>
      </c>
      <c r="U1948" t="s">
        <v>309</v>
      </c>
      <c r="W1948" t="s">
        <v>135</v>
      </c>
      <c r="X1948">
        <v>1</v>
      </c>
      <c r="AC1948" t="s">
        <v>136</v>
      </c>
      <c r="AE1948" t="s">
        <v>137</v>
      </c>
    </row>
    <row r="1949" spans="1:78" hidden="1" x14ac:dyDescent="0.2">
      <c r="A1949" t="s">
        <v>119</v>
      </c>
      <c r="B1949" t="s">
        <v>120</v>
      </c>
      <c r="C1949" t="s">
        <v>4542</v>
      </c>
      <c r="D1949">
        <v>10</v>
      </c>
      <c r="E1949" t="s">
        <v>512</v>
      </c>
      <c r="F1949" t="s">
        <v>146</v>
      </c>
      <c r="G1949" t="s">
        <v>124</v>
      </c>
      <c r="H1949" t="s">
        <v>125</v>
      </c>
      <c r="I1949">
        <v>0</v>
      </c>
      <c r="J1949" t="s">
        <v>126</v>
      </c>
      <c r="K1949" t="s">
        <v>125</v>
      </c>
      <c r="L1949" t="s">
        <v>4543</v>
      </c>
      <c r="U1949" t="s">
        <v>149</v>
      </c>
      <c r="W1949" t="s">
        <v>155</v>
      </c>
      <c r="X1949">
        <v>3</v>
      </c>
      <c r="AC1949" t="s">
        <v>209</v>
      </c>
      <c r="AE1949" t="s">
        <v>137</v>
      </c>
    </row>
    <row r="1950" spans="1:78" hidden="1" x14ac:dyDescent="0.2">
      <c r="A1950" t="s">
        <v>119</v>
      </c>
      <c r="B1950" t="s">
        <v>120</v>
      </c>
      <c r="C1950" t="s">
        <v>4542</v>
      </c>
      <c r="D1950">
        <v>15</v>
      </c>
      <c r="E1950" t="s">
        <v>512</v>
      </c>
      <c r="F1950" t="s">
        <v>146</v>
      </c>
      <c r="G1950" t="s">
        <v>124</v>
      </c>
      <c r="H1950" t="s">
        <v>125</v>
      </c>
      <c r="I1950">
        <v>10</v>
      </c>
      <c r="J1950" t="s">
        <v>170</v>
      </c>
      <c r="K1950" t="s">
        <v>125</v>
      </c>
      <c r="L1950" t="s">
        <v>4544</v>
      </c>
      <c r="U1950" t="s">
        <v>149</v>
      </c>
      <c r="W1950" t="s">
        <v>155</v>
      </c>
      <c r="X1950">
        <v>3</v>
      </c>
      <c r="AC1950" t="s">
        <v>209</v>
      </c>
      <c r="AE1950" t="s">
        <v>137</v>
      </c>
    </row>
    <row r="1951" spans="1:78" hidden="1" x14ac:dyDescent="0.2">
      <c r="A1951" t="s">
        <v>119</v>
      </c>
      <c r="B1951" t="s">
        <v>120</v>
      </c>
      <c r="C1951" t="s">
        <v>4545</v>
      </c>
      <c r="D1951">
        <v>6</v>
      </c>
      <c r="E1951" t="s">
        <v>4546</v>
      </c>
      <c r="F1951" t="s">
        <v>598</v>
      </c>
      <c r="G1951" t="s">
        <v>124</v>
      </c>
      <c r="H1951" t="s">
        <v>125</v>
      </c>
      <c r="I1951">
        <v>0</v>
      </c>
      <c r="J1951" t="s">
        <v>126</v>
      </c>
      <c r="K1951" t="s">
        <v>125</v>
      </c>
      <c r="L1951" t="s">
        <v>4547</v>
      </c>
      <c r="T1951" t="s">
        <v>154</v>
      </c>
      <c r="W1951" t="s">
        <v>155</v>
      </c>
      <c r="AC1951" t="s">
        <v>143</v>
      </c>
      <c r="AE1951" t="s">
        <v>144</v>
      </c>
      <c r="AG1951">
        <v>5</v>
      </c>
      <c r="AH1951" t="s">
        <v>160</v>
      </c>
      <c r="AI1951" t="s">
        <v>146</v>
      </c>
      <c r="AJ1951" t="s">
        <v>131</v>
      </c>
      <c r="AK1951" t="s">
        <v>125</v>
      </c>
      <c r="AL1951">
        <v>6</v>
      </c>
      <c r="AM1951" t="s">
        <v>132</v>
      </c>
      <c r="AN1951" t="s">
        <v>125</v>
      </c>
      <c r="AO1951" t="s">
        <v>4548</v>
      </c>
      <c r="BP1951" t="s">
        <v>149</v>
      </c>
      <c r="BR1951" t="s">
        <v>155</v>
      </c>
      <c r="BS1951">
        <v>3</v>
      </c>
      <c r="BX1951" t="s">
        <v>136</v>
      </c>
      <c r="BZ1951" t="s">
        <v>137</v>
      </c>
    </row>
    <row r="1952" spans="1:78" hidden="1" x14ac:dyDescent="0.2">
      <c r="A1952" t="s">
        <v>119</v>
      </c>
      <c r="B1952" t="s">
        <v>120</v>
      </c>
      <c r="C1952" t="s">
        <v>4549</v>
      </c>
      <c r="D1952">
        <v>2</v>
      </c>
      <c r="E1952" t="s">
        <v>631</v>
      </c>
      <c r="F1952" t="s">
        <v>632</v>
      </c>
      <c r="G1952" t="s">
        <v>124</v>
      </c>
      <c r="H1952" t="s">
        <v>125</v>
      </c>
      <c r="I1952">
        <v>0</v>
      </c>
      <c r="J1952" t="s">
        <v>126</v>
      </c>
      <c r="K1952" t="s">
        <v>125</v>
      </c>
      <c r="L1952" t="s">
        <v>4550</v>
      </c>
      <c r="T1952" t="s">
        <v>154</v>
      </c>
      <c r="W1952" t="s">
        <v>135</v>
      </c>
      <c r="AC1952" t="s">
        <v>143</v>
      </c>
      <c r="AE1952" t="s">
        <v>144</v>
      </c>
      <c r="AG1952">
        <v>1</v>
      </c>
      <c r="AH1952" t="s">
        <v>4551</v>
      </c>
      <c r="AI1952" t="s">
        <v>205</v>
      </c>
      <c r="AJ1952" t="s">
        <v>131</v>
      </c>
      <c r="AK1952" t="s">
        <v>125</v>
      </c>
      <c r="AL1952">
        <v>2</v>
      </c>
      <c r="AM1952" t="s">
        <v>132</v>
      </c>
      <c r="AN1952" t="s">
        <v>125</v>
      </c>
      <c r="AO1952" t="s">
        <v>4552</v>
      </c>
      <c r="BP1952" t="s">
        <v>149</v>
      </c>
      <c r="BR1952" t="s">
        <v>155</v>
      </c>
      <c r="BS1952">
        <v>2</v>
      </c>
      <c r="BX1952" t="s">
        <v>903</v>
      </c>
      <c r="BZ1952" t="s">
        <v>137</v>
      </c>
    </row>
    <row r="1953" spans="1:78" hidden="1" x14ac:dyDescent="0.2">
      <c r="A1953" t="s">
        <v>119</v>
      </c>
      <c r="B1953" t="s">
        <v>120</v>
      </c>
      <c r="C1953" t="s">
        <v>4549</v>
      </c>
      <c r="D1953">
        <v>3</v>
      </c>
      <c r="E1953" t="s">
        <v>123</v>
      </c>
      <c r="F1953" t="s">
        <v>123</v>
      </c>
      <c r="G1953" t="s">
        <v>124</v>
      </c>
      <c r="H1953" t="s">
        <v>125</v>
      </c>
      <c r="I1953">
        <v>2</v>
      </c>
      <c r="J1953" t="s">
        <v>294</v>
      </c>
      <c r="K1953" t="s">
        <v>125</v>
      </c>
      <c r="L1953" t="s">
        <v>4553</v>
      </c>
      <c r="AE1953" t="s">
        <v>128</v>
      </c>
    </row>
    <row r="1954" spans="1:78" x14ac:dyDescent="0.2">
      <c r="A1954" t="s">
        <v>119</v>
      </c>
      <c r="B1954" t="s">
        <v>120</v>
      </c>
      <c r="C1954" t="s">
        <v>4554</v>
      </c>
      <c r="D1954">
        <v>8</v>
      </c>
      <c r="E1954" t="s">
        <v>4555</v>
      </c>
      <c r="F1954" t="s">
        <v>286</v>
      </c>
      <c r="G1954" t="s">
        <v>124</v>
      </c>
      <c r="H1954" t="s">
        <v>125</v>
      </c>
      <c r="I1954">
        <v>4</v>
      </c>
      <c r="J1954" t="s">
        <v>170</v>
      </c>
      <c r="K1954" t="s">
        <v>125</v>
      </c>
      <c r="L1954" t="s">
        <v>4556</v>
      </c>
      <c r="U1954" t="s">
        <v>149</v>
      </c>
      <c r="W1954" t="s">
        <v>135</v>
      </c>
      <c r="X1954">
        <v>3</v>
      </c>
      <c r="AC1954" t="s">
        <v>136</v>
      </c>
      <c r="AE1954" t="s">
        <v>137</v>
      </c>
    </row>
    <row r="1955" spans="1:78" hidden="1" x14ac:dyDescent="0.2">
      <c r="A1955" t="s">
        <v>119</v>
      </c>
      <c r="B1955" t="s">
        <v>120</v>
      </c>
      <c r="C1955" t="s">
        <v>4557</v>
      </c>
      <c r="D1955">
        <v>2</v>
      </c>
      <c r="E1955" t="s">
        <v>512</v>
      </c>
      <c r="F1955" t="s">
        <v>146</v>
      </c>
      <c r="G1955" t="s">
        <v>124</v>
      </c>
      <c r="H1955" t="s">
        <v>125</v>
      </c>
      <c r="I1955">
        <v>0</v>
      </c>
      <c r="J1955" t="s">
        <v>126</v>
      </c>
      <c r="K1955" t="s">
        <v>125</v>
      </c>
      <c r="L1955" t="s">
        <v>4558</v>
      </c>
      <c r="U1955" t="s">
        <v>149</v>
      </c>
      <c r="W1955" t="s">
        <v>155</v>
      </c>
      <c r="X1955">
        <v>3</v>
      </c>
      <c r="AC1955" t="s">
        <v>209</v>
      </c>
      <c r="AE1955" t="s">
        <v>137</v>
      </c>
    </row>
    <row r="1956" spans="1:78" hidden="1" x14ac:dyDescent="0.2">
      <c r="A1956" t="s">
        <v>119</v>
      </c>
      <c r="B1956" t="s">
        <v>120</v>
      </c>
      <c r="C1956" t="s">
        <v>4557</v>
      </c>
      <c r="D1956">
        <v>14</v>
      </c>
      <c r="E1956" t="s">
        <v>4559</v>
      </c>
      <c r="F1956" t="s">
        <v>1399</v>
      </c>
      <c r="G1956" t="s">
        <v>124</v>
      </c>
      <c r="H1956" t="s">
        <v>125</v>
      </c>
      <c r="I1956">
        <v>5</v>
      </c>
      <c r="J1956" t="s">
        <v>170</v>
      </c>
      <c r="K1956" t="s">
        <v>125</v>
      </c>
      <c r="L1956" t="s">
        <v>4560</v>
      </c>
      <c r="U1956" t="s">
        <v>149</v>
      </c>
      <c r="W1956" t="s">
        <v>155</v>
      </c>
      <c r="X1956">
        <v>3</v>
      </c>
      <c r="AC1956" t="s">
        <v>209</v>
      </c>
      <c r="AE1956" t="s">
        <v>137</v>
      </c>
    </row>
    <row r="1957" spans="1:78" x14ac:dyDescent="0.2">
      <c r="A1957" t="s">
        <v>119</v>
      </c>
      <c r="B1957" t="s">
        <v>120</v>
      </c>
      <c r="C1957" t="s">
        <v>4561</v>
      </c>
      <c r="D1957">
        <v>3</v>
      </c>
      <c r="E1957" t="s">
        <v>4562</v>
      </c>
      <c r="F1957" t="s">
        <v>4563</v>
      </c>
      <c r="G1957" t="s">
        <v>124</v>
      </c>
      <c r="H1957" t="s">
        <v>125</v>
      </c>
      <c r="I1957">
        <v>0</v>
      </c>
      <c r="J1957" t="s">
        <v>126</v>
      </c>
      <c r="K1957" t="s">
        <v>125</v>
      </c>
      <c r="L1957" t="s">
        <v>4564</v>
      </c>
      <c r="U1957" t="s">
        <v>209</v>
      </c>
      <c r="W1957" t="s">
        <v>135</v>
      </c>
      <c r="X1957">
        <v>2</v>
      </c>
      <c r="AC1957" t="s">
        <v>136</v>
      </c>
      <c r="AE1957" t="s">
        <v>137</v>
      </c>
      <c r="AG1957">
        <v>2</v>
      </c>
      <c r="AH1957" t="s">
        <v>512</v>
      </c>
      <c r="AI1957" t="s">
        <v>146</v>
      </c>
      <c r="AJ1957" t="s">
        <v>131</v>
      </c>
      <c r="AK1957" t="s">
        <v>125</v>
      </c>
      <c r="AL1957">
        <v>3</v>
      </c>
      <c r="AM1957" t="s">
        <v>132</v>
      </c>
      <c r="AN1957" t="s">
        <v>125</v>
      </c>
      <c r="AO1957" t="s">
        <v>4565</v>
      </c>
      <c r="BP1957" t="s">
        <v>149</v>
      </c>
      <c r="BR1957" t="s">
        <v>155</v>
      </c>
      <c r="BS1957">
        <v>3</v>
      </c>
      <c r="BX1957" t="s">
        <v>209</v>
      </c>
      <c r="BZ1957" t="s">
        <v>137</v>
      </c>
    </row>
    <row r="1958" spans="1:78" hidden="1" x14ac:dyDescent="0.2">
      <c r="A1958" t="s">
        <v>119</v>
      </c>
      <c r="B1958" t="s">
        <v>120</v>
      </c>
      <c r="C1958" t="s">
        <v>4566</v>
      </c>
      <c r="D1958">
        <v>2</v>
      </c>
      <c r="E1958" t="s">
        <v>1399</v>
      </c>
      <c r="F1958" t="s">
        <v>1399</v>
      </c>
      <c r="G1958" t="s">
        <v>124</v>
      </c>
      <c r="H1958" t="s">
        <v>125</v>
      </c>
      <c r="I1958">
        <v>0</v>
      </c>
      <c r="J1958" t="s">
        <v>126</v>
      </c>
      <c r="K1958" t="s">
        <v>125</v>
      </c>
      <c r="L1958" t="s">
        <v>4567</v>
      </c>
      <c r="AE1958" t="s">
        <v>128</v>
      </c>
    </row>
    <row r="1959" spans="1:78" x14ac:dyDescent="0.2">
      <c r="A1959" t="s">
        <v>119</v>
      </c>
      <c r="B1959" t="s">
        <v>120</v>
      </c>
      <c r="C1959" t="s">
        <v>4568</v>
      </c>
      <c r="D1959">
        <v>4</v>
      </c>
      <c r="E1959" t="s">
        <v>4341</v>
      </c>
      <c r="F1959" t="s">
        <v>773</v>
      </c>
      <c r="G1959" t="s">
        <v>124</v>
      </c>
      <c r="H1959" t="s">
        <v>125</v>
      </c>
      <c r="I1959">
        <v>0</v>
      </c>
      <c r="J1959" t="s">
        <v>126</v>
      </c>
      <c r="K1959" t="s">
        <v>125</v>
      </c>
      <c r="L1959" t="s">
        <v>4569</v>
      </c>
      <c r="U1959" t="s">
        <v>149</v>
      </c>
      <c r="W1959" t="s">
        <v>155</v>
      </c>
      <c r="X1959">
        <v>3</v>
      </c>
      <c r="AC1959" t="s">
        <v>136</v>
      </c>
      <c r="AE1959" t="s">
        <v>137</v>
      </c>
    </row>
    <row r="1960" spans="1:78" x14ac:dyDescent="0.2">
      <c r="A1960" t="s">
        <v>119</v>
      </c>
      <c r="B1960" t="s">
        <v>120</v>
      </c>
      <c r="C1960" t="s">
        <v>4570</v>
      </c>
      <c r="D1960">
        <v>4</v>
      </c>
      <c r="E1960" t="s">
        <v>2062</v>
      </c>
      <c r="F1960" t="s">
        <v>449</v>
      </c>
      <c r="G1960" t="s">
        <v>124</v>
      </c>
      <c r="H1960" t="s">
        <v>125</v>
      </c>
      <c r="I1960">
        <v>0</v>
      </c>
      <c r="J1960" t="s">
        <v>126</v>
      </c>
      <c r="K1960" t="s">
        <v>125</v>
      </c>
      <c r="L1960" t="s">
        <v>4571</v>
      </c>
      <c r="U1960" t="s">
        <v>149</v>
      </c>
      <c r="W1960" t="s">
        <v>135</v>
      </c>
      <c r="X1960">
        <v>3</v>
      </c>
      <c r="AC1960" t="s">
        <v>136</v>
      </c>
      <c r="AE1960" t="s">
        <v>137</v>
      </c>
    </row>
    <row r="1961" spans="1:78" x14ac:dyDescent="0.2">
      <c r="A1961" t="s">
        <v>119</v>
      </c>
      <c r="B1961" t="s">
        <v>120</v>
      </c>
      <c r="C1961" t="s">
        <v>4572</v>
      </c>
      <c r="D1961">
        <v>2</v>
      </c>
      <c r="E1961" t="s">
        <v>1360</v>
      </c>
      <c r="F1961" t="s">
        <v>350</v>
      </c>
      <c r="G1961" t="s">
        <v>124</v>
      </c>
      <c r="H1961" t="s">
        <v>125</v>
      </c>
      <c r="I1961">
        <v>0</v>
      </c>
      <c r="J1961" t="s">
        <v>126</v>
      </c>
      <c r="K1961" t="s">
        <v>125</v>
      </c>
      <c r="L1961" t="s">
        <v>4573</v>
      </c>
      <c r="U1961" t="s">
        <v>149</v>
      </c>
      <c r="W1961" t="s">
        <v>135</v>
      </c>
      <c r="X1961">
        <v>3</v>
      </c>
      <c r="AC1961" t="s">
        <v>136</v>
      </c>
      <c r="AE1961" t="s">
        <v>137</v>
      </c>
    </row>
    <row r="1962" spans="1:78" hidden="1" x14ac:dyDescent="0.2">
      <c r="A1962" t="s">
        <v>119</v>
      </c>
      <c r="B1962" t="s">
        <v>120</v>
      </c>
      <c r="C1962" t="s">
        <v>4574</v>
      </c>
      <c r="D1962">
        <v>3</v>
      </c>
      <c r="E1962" t="s">
        <v>4559</v>
      </c>
      <c r="F1962" t="s">
        <v>1399</v>
      </c>
      <c r="G1962" t="s">
        <v>124</v>
      </c>
      <c r="H1962" t="s">
        <v>125</v>
      </c>
      <c r="I1962">
        <v>0</v>
      </c>
      <c r="J1962" t="s">
        <v>126</v>
      </c>
      <c r="K1962" t="s">
        <v>125</v>
      </c>
      <c r="L1962" t="s">
        <v>4575</v>
      </c>
      <c r="U1962" t="s">
        <v>149</v>
      </c>
      <c r="W1962" t="s">
        <v>155</v>
      </c>
      <c r="X1962">
        <v>3</v>
      </c>
      <c r="AC1962" t="s">
        <v>209</v>
      </c>
      <c r="AE1962" t="s">
        <v>137</v>
      </c>
    </row>
    <row r="1963" spans="1:78" hidden="1" x14ac:dyDescent="0.2">
      <c r="A1963" t="s">
        <v>119</v>
      </c>
      <c r="B1963" t="s">
        <v>120</v>
      </c>
      <c r="C1963" t="s">
        <v>4574</v>
      </c>
      <c r="D1963">
        <v>9</v>
      </c>
      <c r="E1963" t="s">
        <v>207</v>
      </c>
      <c r="F1963" t="s">
        <v>146</v>
      </c>
      <c r="G1963" t="s">
        <v>124</v>
      </c>
      <c r="H1963" t="s">
        <v>125</v>
      </c>
      <c r="I1963">
        <v>7</v>
      </c>
      <c r="J1963" t="s">
        <v>170</v>
      </c>
      <c r="K1963" t="s">
        <v>125</v>
      </c>
      <c r="L1963" t="s">
        <v>4576</v>
      </c>
      <c r="U1963" t="s">
        <v>149</v>
      </c>
      <c r="W1963" t="s">
        <v>135</v>
      </c>
      <c r="X1963">
        <v>3</v>
      </c>
      <c r="AC1963" t="s">
        <v>209</v>
      </c>
      <c r="AE1963" t="s">
        <v>137</v>
      </c>
    </row>
    <row r="1964" spans="1:78" x14ac:dyDescent="0.2">
      <c r="A1964" t="s">
        <v>119</v>
      </c>
      <c r="B1964" t="s">
        <v>120</v>
      </c>
      <c r="C1964" t="s">
        <v>4574</v>
      </c>
      <c r="D1964">
        <v>12</v>
      </c>
      <c r="E1964" t="s">
        <v>197</v>
      </c>
      <c r="F1964" t="s">
        <v>198</v>
      </c>
      <c r="G1964" t="s">
        <v>124</v>
      </c>
      <c r="H1964" t="s">
        <v>125</v>
      </c>
      <c r="I1964">
        <v>3</v>
      </c>
      <c r="J1964" t="s">
        <v>161</v>
      </c>
      <c r="K1964" t="s">
        <v>125</v>
      </c>
      <c r="L1964" t="s">
        <v>4577</v>
      </c>
      <c r="U1964" t="s">
        <v>149</v>
      </c>
      <c r="W1964" t="s">
        <v>135</v>
      </c>
      <c r="X1964">
        <v>1</v>
      </c>
      <c r="AC1964" t="s">
        <v>136</v>
      </c>
      <c r="AE1964" t="s">
        <v>137</v>
      </c>
    </row>
    <row r="1965" spans="1:78" x14ac:dyDescent="0.2">
      <c r="A1965" t="s">
        <v>119</v>
      </c>
      <c r="B1965" t="s">
        <v>120</v>
      </c>
      <c r="C1965" t="s">
        <v>4574</v>
      </c>
      <c r="D1965">
        <v>15</v>
      </c>
      <c r="E1965" t="s">
        <v>1486</v>
      </c>
      <c r="F1965" t="s">
        <v>202</v>
      </c>
      <c r="G1965" t="s">
        <v>124</v>
      </c>
      <c r="H1965" t="s">
        <v>125</v>
      </c>
      <c r="I1965">
        <v>12</v>
      </c>
      <c r="J1965" t="s">
        <v>268</v>
      </c>
      <c r="K1965" t="s">
        <v>125</v>
      </c>
      <c r="L1965" t="s">
        <v>4578</v>
      </c>
      <c r="U1965" t="s">
        <v>149</v>
      </c>
      <c r="W1965" t="s">
        <v>135</v>
      </c>
      <c r="X1965">
        <v>3</v>
      </c>
      <c r="AC1965" t="s">
        <v>136</v>
      </c>
      <c r="AE1965" t="s">
        <v>137</v>
      </c>
    </row>
    <row r="1966" spans="1:78" x14ac:dyDescent="0.2">
      <c r="A1966" t="s">
        <v>119</v>
      </c>
      <c r="B1966" t="s">
        <v>120</v>
      </c>
      <c r="C1966" t="s">
        <v>4579</v>
      </c>
      <c r="D1966">
        <v>4</v>
      </c>
      <c r="E1966" t="s">
        <v>4559</v>
      </c>
      <c r="F1966" t="s">
        <v>1399</v>
      </c>
      <c r="G1966" t="s">
        <v>124</v>
      </c>
      <c r="H1966" t="s">
        <v>125</v>
      </c>
      <c r="I1966">
        <v>0</v>
      </c>
      <c r="J1966" t="s">
        <v>126</v>
      </c>
      <c r="K1966" t="s">
        <v>125</v>
      </c>
      <c r="L1966" t="s">
        <v>4580</v>
      </c>
      <c r="U1966" t="s">
        <v>149</v>
      </c>
      <c r="W1966" t="s">
        <v>155</v>
      </c>
      <c r="X1966">
        <v>3</v>
      </c>
      <c r="AC1966" t="s">
        <v>136</v>
      </c>
      <c r="AE1966" t="s">
        <v>137</v>
      </c>
    </row>
    <row r="1967" spans="1:78" x14ac:dyDescent="0.2">
      <c r="A1967" t="s">
        <v>119</v>
      </c>
      <c r="B1967" t="s">
        <v>120</v>
      </c>
      <c r="C1967" t="s">
        <v>4579</v>
      </c>
      <c r="D1967">
        <v>11</v>
      </c>
      <c r="E1967" t="s">
        <v>4581</v>
      </c>
      <c r="F1967" t="s">
        <v>364</v>
      </c>
      <c r="G1967" t="s">
        <v>124</v>
      </c>
      <c r="H1967" t="s">
        <v>125</v>
      </c>
      <c r="I1967">
        <v>7</v>
      </c>
      <c r="J1967" t="s">
        <v>170</v>
      </c>
      <c r="K1967" t="s">
        <v>125</v>
      </c>
      <c r="L1967" t="s">
        <v>4582</v>
      </c>
      <c r="U1967" t="s">
        <v>149</v>
      </c>
      <c r="W1967" t="s">
        <v>135</v>
      </c>
      <c r="X1967">
        <v>3</v>
      </c>
      <c r="AC1967" t="s">
        <v>136</v>
      </c>
      <c r="AE1967" t="s">
        <v>137</v>
      </c>
    </row>
    <row r="1968" spans="1:78" hidden="1" x14ac:dyDescent="0.2">
      <c r="A1968" t="s">
        <v>119</v>
      </c>
      <c r="B1968" t="s">
        <v>120</v>
      </c>
      <c r="C1968" t="s">
        <v>4579</v>
      </c>
      <c r="D1968">
        <v>13</v>
      </c>
      <c r="E1968" t="s">
        <v>207</v>
      </c>
      <c r="F1968" t="s">
        <v>146</v>
      </c>
      <c r="G1968" t="s">
        <v>124</v>
      </c>
      <c r="H1968" t="s">
        <v>125</v>
      </c>
      <c r="I1968">
        <v>4</v>
      </c>
      <c r="J1968" t="s">
        <v>161</v>
      </c>
      <c r="K1968" t="s">
        <v>125</v>
      </c>
      <c r="L1968" t="s">
        <v>4583</v>
      </c>
      <c r="U1968" t="s">
        <v>149</v>
      </c>
      <c r="W1968" t="s">
        <v>135</v>
      </c>
      <c r="X1968">
        <v>3</v>
      </c>
      <c r="AC1968" t="s">
        <v>209</v>
      </c>
      <c r="AE1968" t="s">
        <v>137</v>
      </c>
    </row>
    <row r="1969" spans="1:31" x14ac:dyDescent="0.2">
      <c r="A1969" t="s">
        <v>119</v>
      </c>
      <c r="B1969" t="s">
        <v>120</v>
      </c>
      <c r="C1969" t="s">
        <v>4584</v>
      </c>
      <c r="D1969">
        <v>4</v>
      </c>
      <c r="E1969" t="s">
        <v>4581</v>
      </c>
      <c r="F1969" t="s">
        <v>364</v>
      </c>
      <c r="G1969" t="s">
        <v>124</v>
      </c>
      <c r="H1969" t="s">
        <v>125</v>
      </c>
      <c r="I1969">
        <v>0</v>
      </c>
      <c r="J1969" t="s">
        <v>126</v>
      </c>
      <c r="K1969" t="s">
        <v>125</v>
      </c>
      <c r="L1969" t="s">
        <v>4585</v>
      </c>
      <c r="U1969" t="s">
        <v>149</v>
      </c>
      <c r="W1969" t="s">
        <v>135</v>
      </c>
      <c r="X1969">
        <v>3</v>
      </c>
      <c r="AC1969" t="s">
        <v>136</v>
      </c>
      <c r="AE1969" t="s">
        <v>137</v>
      </c>
    </row>
    <row r="1970" spans="1:31" hidden="1" x14ac:dyDescent="0.2">
      <c r="A1970" t="s">
        <v>119</v>
      </c>
      <c r="B1970" t="s">
        <v>120</v>
      </c>
      <c r="C1970" t="s">
        <v>4586</v>
      </c>
      <c r="D1970">
        <v>3</v>
      </c>
      <c r="E1970" t="s">
        <v>4559</v>
      </c>
      <c r="F1970" t="s">
        <v>1399</v>
      </c>
      <c r="G1970" t="s">
        <v>124</v>
      </c>
      <c r="H1970" t="s">
        <v>125</v>
      </c>
      <c r="I1970">
        <v>0</v>
      </c>
      <c r="J1970" t="s">
        <v>126</v>
      </c>
      <c r="K1970" t="s">
        <v>125</v>
      </c>
      <c r="L1970" t="s">
        <v>4587</v>
      </c>
      <c r="U1970" t="s">
        <v>149</v>
      </c>
      <c r="W1970" t="s">
        <v>155</v>
      </c>
      <c r="X1970">
        <v>3</v>
      </c>
      <c r="AC1970" t="s">
        <v>209</v>
      </c>
      <c r="AE1970" t="s">
        <v>137</v>
      </c>
    </row>
    <row r="1971" spans="1:31" x14ac:dyDescent="0.2">
      <c r="A1971" t="s">
        <v>119</v>
      </c>
      <c r="B1971" t="s">
        <v>120</v>
      </c>
      <c r="C1971" t="s">
        <v>4588</v>
      </c>
      <c r="D1971">
        <v>1</v>
      </c>
      <c r="E1971" t="s">
        <v>3790</v>
      </c>
      <c r="F1971" t="s">
        <v>198</v>
      </c>
      <c r="G1971" t="s">
        <v>124</v>
      </c>
      <c r="H1971" t="s">
        <v>125</v>
      </c>
      <c r="I1971">
        <v>0</v>
      </c>
      <c r="J1971" t="s">
        <v>126</v>
      </c>
      <c r="K1971" t="s">
        <v>125</v>
      </c>
      <c r="L1971" t="s">
        <v>4589</v>
      </c>
      <c r="U1971" t="s">
        <v>209</v>
      </c>
      <c r="W1971" t="s">
        <v>155</v>
      </c>
      <c r="X1971">
        <v>2</v>
      </c>
      <c r="AC1971" t="s">
        <v>136</v>
      </c>
      <c r="AE1971" t="s">
        <v>137</v>
      </c>
    </row>
    <row r="1972" spans="1:31" hidden="1" x14ac:dyDescent="0.2">
      <c r="A1972" t="s">
        <v>119</v>
      </c>
      <c r="B1972" t="s">
        <v>120</v>
      </c>
      <c r="C1972" t="s">
        <v>4588</v>
      </c>
      <c r="D1972">
        <v>5</v>
      </c>
      <c r="E1972" t="s">
        <v>512</v>
      </c>
      <c r="F1972" t="s">
        <v>146</v>
      </c>
      <c r="G1972" t="s">
        <v>124</v>
      </c>
      <c r="H1972" t="s">
        <v>125</v>
      </c>
      <c r="I1972">
        <v>1</v>
      </c>
      <c r="J1972" t="s">
        <v>268</v>
      </c>
      <c r="K1972" t="s">
        <v>125</v>
      </c>
      <c r="L1972" t="s">
        <v>4590</v>
      </c>
      <c r="U1972" t="s">
        <v>149</v>
      </c>
      <c r="W1972" t="s">
        <v>155</v>
      </c>
      <c r="X1972">
        <v>3</v>
      </c>
      <c r="AC1972" t="s">
        <v>209</v>
      </c>
      <c r="AE1972" t="s">
        <v>137</v>
      </c>
    </row>
    <row r="1973" spans="1:31" x14ac:dyDescent="0.2">
      <c r="A1973" t="s">
        <v>119</v>
      </c>
      <c r="B1973" t="s">
        <v>120</v>
      </c>
      <c r="C1973" t="s">
        <v>4588</v>
      </c>
      <c r="D1973">
        <v>12</v>
      </c>
      <c r="E1973" t="s">
        <v>4364</v>
      </c>
      <c r="F1973" t="s">
        <v>434</v>
      </c>
      <c r="G1973" t="s">
        <v>124</v>
      </c>
      <c r="H1973" t="s">
        <v>125</v>
      </c>
      <c r="I1973">
        <v>5</v>
      </c>
      <c r="J1973" t="s">
        <v>268</v>
      </c>
      <c r="K1973" t="s">
        <v>125</v>
      </c>
      <c r="L1973" t="s">
        <v>4591</v>
      </c>
      <c r="U1973" t="s">
        <v>149</v>
      </c>
      <c r="W1973" t="s">
        <v>155</v>
      </c>
      <c r="X1973">
        <v>3</v>
      </c>
      <c r="AC1973" t="s">
        <v>136</v>
      </c>
      <c r="AE1973" t="s">
        <v>137</v>
      </c>
    </row>
    <row r="1974" spans="1:31" x14ac:dyDescent="0.2">
      <c r="A1974" t="s">
        <v>119</v>
      </c>
      <c r="B1974" t="s">
        <v>120</v>
      </c>
      <c r="C1974" t="s">
        <v>4592</v>
      </c>
      <c r="D1974">
        <v>2</v>
      </c>
      <c r="E1974" t="s">
        <v>4593</v>
      </c>
      <c r="F1974" t="s">
        <v>4594</v>
      </c>
      <c r="G1974" t="s">
        <v>124</v>
      </c>
      <c r="H1974" t="s">
        <v>125</v>
      </c>
      <c r="I1974">
        <v>0</v>
      </c>
      <c r="J1974" t="s">
        <v>126</v>
      </c>
      <c r="K1974" t="s">
        <v>125</v>
      </c>
      <c r="L1974" t="s">
        <v>4595</v>
      </c>
      <c r="U1974" t="s">
        <v>149</v>
      </c>
      <c r="W1974" t="s">
        <v>155</v>
      </c>
      <c r="X1974">
        <v>3</v>
      </c>
      <c r="AC1974" t="s">
        <v>136</v>
      </c>
      <c r="AE1974" t="s">
        <v>137</v>
      </c>
    </row>
    <row r="1975" spans="1:31" hidden="1" x14ac:dyDescent="0.2">
      <c r="A1975" t="s">
        <v>119</v>
      </c>
      <c r="B1975" t="s">
        <v>120</v>
      </c>
      <c r="C1975" t="s">
        <v>4592</v>
      </c>
      <c r="D1975">
        <v>16</v>
      </c>
      <c r="E1975" t="s">
        <v>145</v>
      </c>
      <c r="F1975" t="s">
        <v>146</v>
      </c>
      <c r="G1975" t="s">
        <v>124</v>
      </c>
      <c r="H1975" t="s">
        <v>125</v>
      </c>
      <c r="I1975">
        <v>14</v>
      </c>
      <c r="J1975" t="s">
        <v>170</v>
      </c>
      <c r="K1975" t="s">
        <v>125</v>
      </c>
      <c r="L1975" t="s">
        <v>4596</v>
      </c>
    </row>
    <row r="1976" spans="1:31" hidden="1" x14ac:dyDescent="0.2">
      <c r="A1976" t="s">
        <v>119</v>
      </c>
      <c r="B1976" t="s">
        <v>120</v>
      </c>
      <c r="C1976" t="s">
        <v>4597</v>
      </c>
      <c r="D1976">
        <v>9</v>
      </c>
      <c r="E1976" t="s">
        <v>4598</v>
      </c>
      <c r="F1976" t="s">
        <v>773</v>
      </c>
      <c r="G1976" t="s">
        <v>124</v>
      </c>
      <c r="H1976" t="s">
        <v>125</v>
      </c>
      <c r="I1976">
        <v>0</v>
      </c>
      <c r="J1976" t="s">
        <v>126</v>
      </c>
      <c r="K1976" t="s">
        <v>125</v>
      </c>
      <c r="L1976" t="s">
        <v>4599</v>
      </c>
      <c r="U1976" t="s">
        <v>149</v>
      </c>
      <c r="W1976" t="s">
        <v>155</v>
      </c>
      <c r="X1976">
        <v>3</v>
      </c>
      <c r="AC1976" t="s">
        <v>903</v>
      </c>
      <c r="AE1976" t="s">
        <v>137</v>
      </c>
    </row>
    <row r="1977" spans="1:31" x14ac:dyDescent="0.2">
      <c r="A1977" t="s">
        <v>119</v>
      </c>
      <c r="B1977" t="s">
        <v>120</v>
      </c>
      <c r="C1977" t="s">
        <v>4600</v>
      </c>
      <c r="D1977">
        <v>2</v>
      </c>
      <c r="E1977" t="s">
        <v>941</v>
      </c>
      <c r="F1977" t="s">
        <v>283</v>
      </c>
      <c r="G1977" t="s">
        <v>124</v>
      </c>
      <c r="H1977" t="s">
        <v>125</v>
      </c>
      <c r="I1977">
        <v>0</v>
      </c>
      <c r="J1977" t="s">
        <v>126</v>
      </c>
      <c r="K1977" t="s">
        <v>125</v>
      </c>
      <c r="L1977" t="s">
        <v>4601</v>
      </c>
      <c r="U1977" t="s">
        <v>149</v>
      </c>
      <c r="W1977" t="s">
        <v>155</v>
      </c>
      <c r="X1977">
        <v>3</v>
      </c>
      <c r="AC1977" t="s">
        <v>136</v>
      </c>
      <c r="AE1977" t="s">
        <v>137</v>
      </c>
    </row>
    <row r="1978" spans="1:31" x14ac:dyDescent="0.2">
      <c r="A1978" t="s">
        <v>119</v>
      </c>
      <c r="B1978" t="s">
        <v>120</v>
      </c>
      <c r="C1978" t="s">
        <v>4600</v>
      </c>
      <c r="D1978">
        <v>4</v>
      </c>
      <c r="E1978" t="s">
        <v>160</v>
      </c>
      <c r="F1978" t="s">
        <v>146</v>
      </c>
      <c r="G1978" t="s">
        <v>124</v>
      </c>
      <c r="H1978" t="s">
        <v>125</v>
      </c>
      <c r="I1978">
        <v>2</v>
      </c>
      <c r="J1978" t="s">
        <v>161</v>
      </c>
      <c r="K1978" t="s">
        <v>125</v>
      </c>
      <c r="L1978" t="s">
        <v>4602</v>
      </c>
      <c r="U1978" t="s">
        <v>149</v>
      </c>
      <c r="W1978" t="s">
        <v>155</v>
      </c>
      <c r="X1978">
        <v>3</v>
      </c>
      <c r="AC1978" t="s">
        <v>136</v>
      </c>
      <c r="AE1978" t="s">
        <v>137</v>
      </c>
    </row>
    <row r="1979" spans="1:31" hidden="1" x14ac:dyDescent="0.2">
      <c r="A1979" t="s">
        <v>119</v>
      </c>
      <c r="B1979" t="s">
        <v>120</v>
      </c>
      <c r="C1979" t="s">
        <v>4600</v>
      </c>
      <c r="D1979">
        <v>7</v>
      </c>
      <c r="E1979" t="s">
        <v>512</v>
      </c>
      <c r="F1979" t="s">
        <v>146</v>
      </c>
      <c r="G1979" t="s">
        <v>124</v>
      </c>
      <c r="H1979" t="s">
        <v>125</v>
      </c>
      <c r="I1979">
        <v>2</v>
      </c>
      <c r="J1979" t="s">
        <v>268</v>
      </c>
      <c r="K1979" t="s">
        <v>125</v>
      </c>
      <c r="L1979" t="s">
        <v>4603</v>
      </c>
      <c r="U1979" t="s">
        <v>149</v>
      </c>
      <c r="W1979" t="s">
        <v>155</v>
      </c>
      <c r="X1979">
        <v>3</v>
      </c>
      <c r="AC1979" t="s">
        <v>209</v>
      </c>
      <c r="AE1979" t="s">
        <v>137</v>
      </c>
    </row>
    <row r="1980" spans="1:31" hidden="1" x14ac:dyDescent="0.2">
      <c r="A1980" t="s">
        <v>119</v>
      </c>
      <c r="B1980" t="s">
        <v>120</v>
      </c>
      <c r="C1980" t="s">
        <v>4600</v>
      </c>
      <c r="D1980">
        <v>13</v>
      </c>
      <c r="E1980" t="s">
        <v>706</v>
      </c>
      <c r="F1980" t="s">
        <v>205</v>
      </c>
      <c r="G1980" t="s">
        <v>124</v>
      </c>
      <c r="H1980" t="s">
        <v>125</v>
      </c>
      <c r="I1980">
        <v>7</v>
      </c>
      <c r="J1980" t="s">
        <v>268</v>
      </c>
      <c r="K1980" t="s">
        <v>125</v>
      </c>
      <c r="L1980" t="s">
        <v>4604</v>
      </c>
      <c r="U1980" t="s">
        <v>149</v>
      </c>
      <c r="W1980" t="s">
        <v>155</v>
      </c>
      <c r="X1980">
        <v>3</v>
      </c>
      <c r="AC1980" t="s">
        <v>209</v>
      </c>
      <c r="AE1980" t="s">
        <v>137</v>
      </c>
    </row>
    <row r="1981" spans="1:31" hidden="1" x14ac:dyDescent="0.2">
      <c r="A1981" t="s">
        <v>119</v>
      </c>
      <c r="B1981" t="s">
        <v>120</v>
      </c>
      <c r="C1981" t="s">
        <v>4605</v>
      </c>
      <c r="D1981">
        <v>4</v>
      </c>
      <c r="E1981" t="s">
        <v>706</v>
      </c>
      <c r="F1981" t="s">
        <v>205</v>
      </c>
      <c r="G1981" t="s">
        <v>124</v>
      </c>
      <c r="H1981" t="s">
        <v>125</v>
      </c>
      <c r="I1981">
        <v>0</v>
      </c>
      <c r="J1981" t="s">
        <v>126</v>
      </c>
      <c r="K1981" t="s">
        <v>125</v>
      </c>
      <c r="L1981" t="s">
        <v>4606</v>
      </c>
      <c r="U1981" t="s">
        <v>149</v>
      </c>
      <c r="W1981" t="s">
        <v>155</v>
      </c>
      <c r="X1981">
        <v>3</v>
      </c>
      <c r="AC1981" t="s">
        <v>209</v>
      </c>
      <c r="AE1981" t="s">
        <v>137</v>
      </c>
    </row>
    <row r="1982" spans="1:31" x14ac:dyDescent="0.2">
      <c r="A1982" t="s">
        <v>119</v>
      </c>
      <c r="B1982" t="s">
        <v>120</v>
      </c>
      <c r="C1982" t="s">
        <v>4607</v>
      </c>
      <c r="D1982">
        <v>2</v>
      </c>
      <c r="E1982" t="s">
        <v>4608</v>
      </c>
      <c r="F1982" t="s">
        <v>4609</v>
      </c>
      <c r="G1982" t="s">
        <v>124</v>
      </c>
      <c r="H1982" t="s">
        <v>125</v>
      </c>
      <c r="I1982">
        <v>0</v>
      </c>
      <c r="J1982" t="s">
        <v>126</v>
      </c>
      <c r="K1982" t="s">
        <v>125</v>
      </c>
      <c r="L1982" t="s">
        <v>4610</v>
      </c>
      <c r="U1982" t="s">
        <v>149</v>
      </c>
      <c r="W1982" t="s">
        <v>155</v>
      </c>
      <c r="X1982">
        <v>3</v>
      </c>
      <c r="AC1982" t="s">
        <v>136</v>
      </c>
      <c r="AE1982" t="s">
        <v>137</v>
      </c>
    </row>
    <row r="1983" spans="1:31" hidden="1" x14ac:dyDescent="0.2">
      <c r="A1983" t="s">
        <v>119</v>
      </c>
      <c r="B1983" t="s">
        <v>120</v>
      </c>
      <c r="C1983" t="s">
        <v>4611</v>
      </c>
      <c r="D1983">
        <v>2</v>
      </c>
      <c r="E1983" t="s">
        <v>207</v>
      </c>
      <c r="F1983" t="s">
        <v>146</v>
      </c>
      <c r="G1983" t="s">
        <v>124</v>
      </c>
      <c r="H1983" t="s">
        <v>125</v>
      </c>
      <c r="I1983">
        <v>0</v>
      </c>
      <c r="J1983" t="s">
        <v>126</v>
      </c>
      <c r="K1983" t="s">
        <v>125</v>
      </c>
      <c r="L1983" t="s">
        <v>4612</v>
      </c>
      <c r="U1983" t="s">
        <v>149</v>
      </c>
      <c r="W1983" t="s">
        <v>135</v>
      </c>
      <c r="X1983">
        <v>3</v>
      </c>
      <c r="AC1983" t="s">
        <v>209</v>
      </c>
      <c r="AE1983" t="s">
        <v>137</v>
      </c>
    </row>
    <row r="1984" spans="1:31" hidden="1" x14ac:dyDescent="0.2">
      <c r="A1984" t="s">
        <v>119</v>
      </c>
      <c r="B1984" t="s">
        <v>120</v>
      </c>
      <c r="C1984" t="s">
        <v>4611</v>
      </c>
      <c r="D1984">
        <v>9</v>
      </c>
      <c r="E1984" t="s">
        <v>3133</v>
      </c>
      <c r="F1984" t="s">
        <v>667</v>
      </c>
      <c r="G1984" t="s">
        <v>124</v>
      </c>
      <c r="H1984" t="s">
        <v>125</v>
      </c>
      <c r="I1984">
        <v>4</v>
      </c>
      <c r="J1984" t="s">
        <v>170</v>
      </c>
      <c r="K1984" t="s">
        <v>125</v>
      </c>
      <c r="L1984" t="s">
        <v>4613</v>
      </c>
      <c r="U1984" t="s">
        <v>149</v>
      </c>
      <c r="W1984" t="s">
        <v>135</v>
      </c>
      <c r="X1984">
        <v>3</v>
      </c>
      <c r="AC1984" t="s">
        <v>209</v>
      </c>
      <c r="AE1984" t="s">
        <v>137</v>
      </c>
    </row>
    <row r="1985" spans="1:78" hidden="1" x14ac:dyDescent="0.2">
      <c r="A1985" t="s">
        <v>119</v>
      </c>
      <c r="B1985" t="s">
        <v>120</v>
      </c>
      <c r="C1985" t="s">
        <v>4611</v>
      </c>
      <c r="D1985">
        <v>14</v>
      </c>
      <c r="E1985" t="s">
        <v>4614</v>
      </c>
      <c r="F1985" t="s">
        <v>2120</v>
      </c>
      <c r="G1985" t="s">
        <v>124</v>
      </c>
      <c r="H1985" t="s">
        <v>125</v>
      </c>
      <c r="I1985">
        <v>4</v>
      </c>
      <c r="J1985" t="s">
        <v>170</v>
      </c>
      <c r="K1985" t="s">
        <v>125</v>
      </c>
      <c r="L1985" t="s">
        <v>4615</v>
      </c>
    </row>
    <row r="1986" spans="1:78" x14ac:dyDescent="0.2">
      <c r="A1986" t="s">
        <v>119</v>
      </c>
      <c r="B1986" t="s">
        <v>120</v>
      </c>
      <c r="C1986" t="s">
        <v>4616</v>
      </c>
      <c r="D1986">
        <v>5</v>
      </c>
      <c r="E1986" t="s">
        <v>197</v>
      </c>
      <c r="F1986" t="s">
        <v>198</v>
      </c>
      <c r="G1986" t="s">
        <v>124</v>
      </c>
      <c r="H1986" t="s">
        <v>125</v>
      </c>
      <c r="I1986">
        <v>0</v>
      </c>
      <c r="J1986" t="s">
        <v>126</v>
      </c>
      <c r="K1986" t="s">
        <v>125</v>
      </c>
      <c r="L1986" t="s">
        <v>4617</v>
      </c>
      <c r="U1986" t="s">
        <v>149</v>
      </c>
      <c r="W1986" t="s">
        <v>135</v>
      </c>
      <c r="X1986">
        <v>1</v>
      </c>
      <c r="AC1986" t="s">
        <v>136</v>
      </c>
      <c r="AE1986" t="s">
        <v>137</v>
      </c>
    </row>
    <row r="1987" spans="1:78" x14ac:dyDescent="0.2">
      <c r="A1987" t="s">
        <v>119</v>
      </c>
      <c r="B1987" t="s">
        <v>120</v>
      </c>
      <c r="C1987" t="s">
        <v>4618</v>
      </c>
      <c r="D1987">
        <v>1</v>
      </c>
      <c r="E1987" t="s">
        <v>160</v>
      </c>
      <c r="F1987" t="s">
        <v>146</v>
      </c>
      <c r="G1987" t="s">
        <v>124</v>
      </c>
      <c r="H1987" t="s">
        <v>125</v>
      </c>
      <c r="I1987">
        <v>4</v>
      </c>
      <c r="J1987" t="s">
        <v>210</v>
      </c>
      <c r="K1987" t="s">
        <v>125</v>
      </c>
      <c r="L1987" t="s">
        <v>4619</v>
      </c>
      <c r="U1987" t="s">
        <v>149</v>
      </c>
      <c r="W1987" t="s">
        <v>135</v>
      </c>
      <c r="X1987">
        <v>1</v>
      </c>
      <c r="AC1987" t="s">
        <v>136</v>
      </c>
      <c r="AE1987" t="s">
        <v>137</v>
      </c>
    </row>
    <row r="1988" spans="1:78" x14ac:dyDescent="0.2">
      <c r="A1988" t="s">
        <v>119</v>
      </c>
      <c r="B1988" t="s">
        <v>120</v>
      </c>
      <c r="C1988" t="s">
        <v>4618</v>
      </c>
      <c r="D1988">
        <v>4</v>
      </c>
      <c r="E1988" t="s">
        <v>4620</v>
      </c>
      <c r="F1988" t="s">
        <v>4621</v>
      </c>
      <c r="G1988" t="s">
        <v>124</v>
      </c>
      <c r="H1988" t="s">
        <v>125</v>
      </c>
      <c r="I1988">
        <v>0</v>
      </c>
      <c r="J1988" t="s">
        <v>126</v>
      </c>
      <c r="K1988" t="s">
        <v>125</v>
      </c>
      <c r="L1988" t="s">
        <v>4622</v>
      </c>
      <c r="U1988" t="s">
        <v>209</v>
      </c>
      <c r="W1988" t="s">
        <v>135</v>
      </c>
      <c r="X1988">
        <v>2</v>
      </c>
      <c r="AC1988" t="s">
        <v>136</v>
      </c>
      <c r="AE1988" t="s">
        <v>137</v>
      </c>
      <c r="AG1988">
        <v>3</v>
      </c>
      <c r="AH1988" t="s">
        <v>160</v>
      </c>
      <c r="AI1988" t="s">
        <v>146</v>
      </c>
      <c r="AJ1988" t="s">
        <v>131</v>
      </c>
      <c r="AK1988" t="s">
        <v>125</v>
      </c>
      <c r="AL1988">
        <v>4</v>
      </c>
      <c r="AM1988" t="s">
        <v>132</v>
      </c>
      <c r="AN1988" t="s">
        <v>125</v>
      </c>
      <c r="AO1988" t="s">
        <v>4623</v>
      </c>
      <c r="BP1988" t="s">
        <v>149</v>
      </c>
      <c r="BR1988" t="s">
        <v>155</v>
      </c>
      <c r="BS1988">
        <v>3</v>
      </c>
      <c r="BX1988" t="s">
        <v>136</v>
      </c>
      <c r="BZ1988" t="s">
        <v>137</v>
      </c>
    </row>
    <row r="1989" spans="1:78" x14ac:dyDescent="0.2">
      <c r="A1989" t="s">
        <v>119</v>
      </c>
      <c r="B1989" t="s">
        <v>120</v>
      </c>
      <c r="C1989" t="s">
        <v>4618</v>
      </c>
      <c r="D1989">
        <v>6</v>
      </c>
      <c r="E1989" t="s">
        <v>4624</v>
      </c>
      <c r="F1989" t="s">
        <v>927</v>
      </c>
      <c r="G1989" t="s">
        <v>124</v>
      </c>
      <c r="H1989" t="s">
        <v>125</v>
      </c>
      <c r="I1989">
        <v>4</v>
      </c>
      <c r="J1989" t="s">
        <v>161</v>
      </c>
      <c r="K1989" t="s">
        <v>125</v>
      </c>
      <c r="L1989" t="s">
        <v>4625</v>
      </c>
      <c r="U1989" t="s">
        <v>209</v>
      </c>
      <c r="W1989" t="s">
        <v>135</v>
      </c>
      <c r="X1989">
        <v>2</v>
      </c>
      <c r="AC1989" t="s">
        <v>136</v>
      </c>
      <c r="AE1989" t="s">
        <v>137</v>
      </c>
      <c r="AG1989">
        <v>5</v>
      </c>
      <c r="AH1989" t="s">
        <v>235</v>
      </c>
      <c r="AI1989" t="s">
        <v>146</v>
      </c>
      <c r="AJ1989" t="s">
        <v>131</v>
      </c>
      <c r="AK1989" t="s">
        <v>125</v>
      </c>
      <c r="AL1989">
        <v>6</v>
      </c>
      <c r="AM1989" t="s">
        <v>132</v>
      </c>
      <c r="AN1989" t="s">
        <v>125</v>
      </c>
      <c r="AO1989" t="s">
        <v>4626</v>
      </c>
      <c r="BP1989" t="s">
        <v>149</v>
      </c>
      <c r="BR1989" t="s">
        <v>135</v>
      </c>
      <c r="BS1989">
        <v>1</v>
      </c>
      <c r="BX1989" t="s">
        <v>136</v>
      </c>
      <c r="BZ1989" t="s">
        <v>137</v>
      </c>
    </row>
    <row r="1990" spans="1:78" hidden="1" x14ac:dyDescent="0.2">
      <c r="A1990" t="s">
        <v>119</v>
      </c>
      <c r="B1990" t="s">
        <v>120</v>
      </c>
      <c r="C1990" t="s">
        <v>4618</v>
      </c>
      <c r="D1990">
        <v>8</v>
      </c>
      <c r="E1990" t="s">
        <v>4627</v>
      </c>
      <c r="F1990" t="s">
        <v>4628</v>
      </c>
      <c r="G1990" t="s">
        <v>124</v>
      </c>
      <c r="H1990" t="s">
        <v>125</v>
      </c>
      <c r="I1990">
        <v>6</v>
      </c>
      <c r="J1990" t="s">
        <v>268</v>
      </c>
      <c r="K1990" t="s">
        <v>125</v>
      </c>
      <c r="L1990" t="s">
        <v>4629</v>
      </c>
      <c r="AE1990" t="s">
        <v>394</v>
      </c>
    </row>
    <row r="1991" spans="1:78" x14ac:dyDescent="0.2">
      <c r="A1991" t="s">
        <v>119</v>
      </c>
      <c r="B1991" t="s">
        <v>120</v>
      </c>
      <c r="C1991" t="s">
        <v>4630</v>
      </c>
      <c r="D1991">
        <v>3</v>
      </c>
      <c r="E1991" t="s">
        <v>4631</v>
      </c>
      <c r="F1991" t="s">
        <v>674</v>
      </c>
      <c r="G1991" t="s">
        <v>124</v>
      </c>
      <c r="H1991" t="s">
        <v>125</v>
      </c>
      <c r="I1991">
        <v>0</v>
      </c>
      <c r="J1991" t="s">
        <v>126</v>
      </c>
      <c r="K1991" t="s">
        <v>125</v>
      </c>
      <c r="L1991" t="s">
        <v>4632</v>
      </c>
      <c r="U1991" t="s">
        <v>149</v>
      </c>
      <c r="W1991" t="s">
        <v>135</v>
      </c>
      <c r="X1991">
        <v>3</v>
      </c>
      <c r="AC1991" t="s">
        <v>136</v>
      </c>
      <c r="AE1991" t="s">
        <v>137</v>
      </c>
    </row>
    <row r="1992" spans="1:78" x14ac:dyDescent="0.2">
      <c r="A1992" t="s">
        <v>119</v>
      </c>
      <c r="B1992" t="s">
        <v>120</v>
      </c>
      <c r="C1992" t="s">
        <v>4633</v>
      </c>
      <c r="D1992">
        <v>1</v>
      </c>
      <c r="E1992" t="s">
        <v>4631</v>
      </c>
      <c r="F1992" t="s">
        <v>674</v>
      </c>
      <c r="G1992" t="s">
        <v>124</v>
      </c>
      <c r="H1992" t="s">
        <v>125</v>
      </c>
      <c r="I1992">
        <v>0</v>
      </c>
      <c r="J1992" t="s">
        <v>126</v>
      </c>
      <c r="K1992" t="s">
        <v>125</v>
      </c>
      <c r="L1992" t="s">
        <v>4634</v>
      </c>
      <c r="U1992" t="s">
        <v>149</v>
      </c>
      <c r="W1992" t="s">
        <v>135</v>
      </c>
      <c r="X1992">
        <v>3</v>
      </c>
      <c r="AC1992" t="s">
        <v>136</v>
      </c>
      <c r="AE1992" t="s">
        <v>137</v>
      </c>
    </row>
    <row r="1993" spans="1:78" hidden="1" x14ac:dyDescent="0.2">
      <c r="A1993" t="s">
        <v>119</v>
      </c>
      <c r="B1993" t="s">
        <v>120</v>
      </c>
      <c r="C1993" t="s">
        <v>4635</v>
      </c>
      <c r="D1993">
        <v>4</v>
      </c>
      <c r="E1993" t="s">
        <v>4636</v>
      </c>
      <c r="F1993" t="s">
        <v>2120</v>
      </c>
      <c r="G1993" t="s">
        <v>124</v>
      </c>
      <c r="H1993" t="s">
        <v>125</v>
      </c>
      <c r="I1993">
        <v>0</v>
      </c>
      <c r="J1993" t="s">
        <v>126</v>
      </c>
      <c r="K1993" t="s">
        <v>125</v>
      </c>
      <c r="L1993" t="s">
        <v>4637</v>
      </c>
      <c r="T1993" t="s">
        <v>142</v>
      </c>
      <c r="W1993" t="s">
        <v>135</v>
      </c>
      <c r="AC1993" t="s">
        <v>143</v>
      </c>
      <c r="AE1993" t="s">
        <v>144</v>
      </c>
      <c r="AG1993">
        <v>3</v>
      </c>
      <c r="AH1993" t="s">
        <v>204</v>
      </c>
      <c r="AI1993" t="s">
        <v>205</v>
      </c>
      <c r="AJ1993" t="s">
        <v>131</v>
      </c>
      <c r="AK1993" t="s">
        <v>125</v>
      </c>
      <c r="AL1993">
        <v>4</v>
      </c>
      <c r="AM1993" t="s">
        <v>132</v>
      </c>
      <c r="AN1993" t="s">
        <v>125</v>
      </c>
      <c r="AO1993" t="s">
        <v>4638</v>
      </c>
      <c r="BP1993" t="s">
        <v>149</v>
      </c>
      <c r="BR1993" t="s">
        <v>135</v>
      </c>
      <c r="BS1993">
        <v>1</v>
      </c>
      <c r="BX1993" t="s">
        <v>136</v>
      </c>
      <c r="BZ1993" t="s">
        <v>137</v>
      </c>
    </row>
    <row r="1994" spans="1:78" x14ac:dyDescent="0.2">
      <c r="A1994" t="s">
        <v>119</v>
      </c>
      <c r="B1994" t="s">
        <v>120</v>
      </c>
      <c r="C1994" t="s">
        <v>4639</v>
      </c>
      <c r="D1994">
        <v>3</v>
      </c>
      <c r="E1994" t="s">
        <v>546</v>
      </c>
      <c r="F1994" t="s">
        <v>283</v>
      </c>
      <c r="G1994" t="s">
        <v>124</v>
      </c>
      <c r="H1994" t="s">
        <v>125</v>
      </c>
      <c r="I1994">
        <v>0</v>
      </c>
      <c r="J1994" t="s">
        <v>126</v>
      </c>
      <c r="K1994" t="s">
        <v>125</v>
      </c>
      <c r="L1994" t="s">
        <v>4640</v>
      </c>
      <c r="U1994" t="s">
        <v>149</v>
      </c>
      <c r="W1994" t="s">
        <v>135</v>
      </c>
      <c r="X1994">
        <v>3</v>
      </c>
      <c r="AC1994" t="s">
        <v>136</v>
      </c>
      <c r="AE1994" t="s">
        <v>137</v>
      </c>
    </row>
    <row r="1995" spans="1:78" x14ac:dyDescent="0.2">
      <c r="A1995" t="s">
        <v>119</v>
      </c>
      <c r="B1995" t="s">
        <v>120</v>
      </c>
      <c r="C1995" t="s">
        <v>4641</v>
      </c>
      <c r="D1995">
        <v>4</v>
      </c>
      <c r="E1995" t="s">
        <v>1440</v>
      </c>
      <c r="F1995" t="s">
        <v>1441</v>
      </c>
      <c r="G1995" t="s">
        <v>124</v>
      </c>
      <c r="H1995" t="s">
        <v>125</v>
      </c>
      <c r="I1995">
        <v>0</v>
      </c>
      <c r="J1995" t="s">
        <v>126</v>
      </c>
      <c r="K1995" t="s">
        <v>125</v>
      </c>
      <c r="L1995" t="s">
        <v>4642</v>
      </c>
      <c r="U1995" t="s">
        <v>149</v>
      </c>
      <c r="W1995" t="s">
        <v>135</v>
      </c>
      <c r="X1995">
        <v>3</v>
      </c>
      <c r="AC1995" t="s">
        <v>136</v>
      </c>
      <c r="AE1995" t="s">
        <v>137</v>
      </c>
    </row>
    <row r="1996" spans="1:78" hidden="1" x14ac:dyDescent="0.2">
      <c r="A1996" t="s">
        <v>119</v>
      </c>
      <c r="B1996" t="s">
        <v>120</v>
      </c>
      <c r="C1996" t="s">
        <v>4643</v>
      </c>
      <c r="D1996">
        <v>4</v>
      </c>
      <c r="E1996" t="s">
        <v>4644</v>
      </c>
      <c r="F1996" t="s">
        <v>1441</v>
      </c>
      <c r="G1996" t="s">
        <v>124</v>
      </c>
      <c r="H1996" t="s">
        <v>125</v>
      </c>
      <c r="I1996">
        <v>0</v>
      </c>
      <c r="J1996" t="s">
        <v>126</v>
      </c>
      <c r="K1996" t="s">
        <v>125</v>
      </c>
      <c r="L1996" t="s">
        <v>4645</v>
      </c>
      <c r="U1996" t="s">
        <v>149</v>
      </c>
      <c r="W1996" t="s">
        <v>135</v>
      </c>
      <c r="X1996">
        <v>3</v>
      </c>
      <c r="AC1996" t="s">
        <v>209</v>
      </c>
      <c r="AE1996" t="s">
        <v>137</v>
      </c>
    </row>
    <row r="1997" spans="1:78" x14ac:dyDescent="0.2">
      <c r="A1997" t="s">
        <v>119</v>
      </c>
      <c r="B1997" t="s">
        <v>120</v>
      </c>
      <c r="C1997" t="s">
        <v>4646</v>
      </c>
      <c r="D1997">
        <v>4</v>
      </c>
      <c r="E1997" t="s">
        <v>4631</v>
      </c>
      <c r="F1997" t="s">
        <v>674</v>
      </c>
      <c r="G1997" t="s">
        <v>124</v>
      </c>
      <c r="H1997" t="s">
        <v>125</v>
      </c>
      <c r="I1997">
        <v>0</v>
      </c>
      <c r="J1997" t="s">
        <v>126</v>
      </c>
      <c r="K1997" t="s">
        <v>125</v>
      </c>
      <c r="L1997" t="s">
        <v>4647</v>
      </c>
      <c r="U1997" t="s">
        <v>149</v>
      </c>
      <c r="W1997" t="s">
        <v>135</v>
      </c>
      <c r="X1997">
        <v>3</v>
      </c>
      <c r="AC1997" t="s">
        <v>136</v>
      </c>
      <c r="AE1997" t="s">
        <v>137</v>
      </c>
    </row>
    <row r="1998" spans="1:78" hidden="1" x14ac:dyDescent="0.2">
      <c r="A1998" t="s">
        <v>119</v>
      </c>
      <c r="B1998" t="s">
        <v>120</v>
      </c>
      <c r="C1998" t="s">
        <v>4646</v>
      </c>
      <c r="D1998">
        <v>18</v>
      </c>
      <c r="E1998" t="s">
        <v>512</v>
      </c>
      <c r="F1998" t="s">
        <v>146</v>
      </c>
      <c r="G1998" t="s">
        <v>124</v>
      </c>
      <c r="H1998" t="s">
        <v>125</v>
      </c>
      <c r="I1998">
        <v>4</v>
      </c>
      <c r="J1998" t="s">
        <v>161</v>
      </c>
      <c r="K1998" t="s">
        <v>125</v>
      </c>
      <c r="L1998" t="s">
        <v>4648</v>
      </c>
      <c r="U1998" t="s">
        <v>149</v>
      </c>
      <c r="W1998" t="s">
        <v>155</v>
      </c>
      <c r="X1998">
        <v>3</v>
      </c>
      <c r="AC1998" t="s">
        <v>209</v>
      </c>
      <c r="AE1998" t="s">
        <v>137</v>
      </c>
    </row>
    <row r="1999" spans="1:78" hidden="1" x14ac:dyDescent="0.2">
      <c r="A1999" t="s">
        <v>119</v>
      </c>
      <c r="B1999" t="s">
        <v>120</v>
      </c>
      <c r="C1999" t="s">
        <v>4649</v>
      </c>
      <c r="D1999">
        <v>6</v>
      </c>
      <c r="E1999" t="s">
        <v>4650</v>
      </c>
      <c r="F1999" t="s">
        <v>4651</v>
      </c>
      <c r="G1999" t="s">
        <v>124</v>
      </c>
      <c r="H1999" t="s">
        <v>125</v>
      </c>
      <c r="I1999">
        <v>3</v>
      </c>
      <c r="J1999" t="s">
        <v>170</v>
      </c>
      <c r="K1999" t="s">
        <v>125</v>
      </c>
      <c r="L1999" t="s">
        <v>4652</v>
      </c>
      <c r="U1999" t="s">
        <v>149</v>
      </c>
      <c r="W1999" t="s">
        <v>155</v>
      </c>
      <c r="X1999">
        <v>3</v>
      </c>
      <c r="AC1999" t="s">
        <v>209</v>
      </c>
      <c r="AE1999" t="s">
        <v>137</v>
      </c>
    </row>
    <row r="2000" spans="1:78" hidden="1" x14ac:dyDescent="0.2">
      <c r="A2000" t="s">
        <v>119</v>
      </c>
      <c r="B2000" t="s">
        <v>120</v>
      </c>
      <c r="C2000" t="s">
        <v>4653</v>
      </c>
      <c r="D2000">
        <v>1</v>
      </c>
      <c r="E2000" t="s">
        <v>706</v>
      </c>
      <c r="F2000" t="s">
        <v>205</v>
      </c>
      <c r="G2000" t="s">
        <v>124</v>
      </c>
      <c r="H2000" t="s">
        <v>125</v>
      </c>
      <c r="I2000">
        <v>0</v>
      </c>
      <c r="J2000" t="s">
        <v>126</v>
      </c>
      <c r="K2000" t="s">
        <v>125</v>
      </c>
      <c r="L2000" t="s">
        <v>4654</v>
      </c>
      <c r="U2000" t="s">
        <v>149</v>
      </c>
      <c r="W2000" t="s">
        <v>155</v>
      </c>
      <c r="X2000">
        <v>3</v>
      </c>
      <c r="AC2000" t="s">
        <v>209</v>
      </c>
      <c r="AE2000" t="s">
        <v>137</v>
      </c>
    </row>
    <row r="2001" spans="1:78" hidden="1" x14ac:dyDescent="0.2">
      <c r="A2001" t="s">
        <v>119</v>
      </c>
      <c r="B2001" t="s">
        <v>120</v>
      </c>
      <c r="C2001" t="s">
        <v>4655</v>
      </c>
      <c r="D2001">
        <v>4</v>
      </c>
      <c r="E2001" t="s">
        <v>4656</v>
      </c>
      <c r="F2001" t="s">
        <v>667</v>
      </c>
      <c r="G2001" t="s">
        <v>124</v>
      </c>
      <c r="H2001" t="s">
        <v>125</v>
      </c>
      <c r="I2001">
        <v>0</v>
      </c>
      <c r="J2001" t="s">
        <v>126</v>
      </c>
      <c r="K2001" t="s">
        <v>125</v>
      </c>
      <c r="L2001" t="s">
        <v>4657</v>
      </c>
      <c r="U2001" t="s">
        <v>149</v>
      </c>
      <c r="W2001" t="s">
        <v>155</v>
      </c>
      <c r="X2001">
        <v>3</v>
      </c>
      <c r="AC2001" t="s">
        <v>209</v>
      </c>
      <c r="AE2001" t="s">
        <v>137</v>
      </c>
    </row>
    <row r="2002" spans="1:78" x14ac:dyDescent="0.2">
      <c r="A2002" t="s">
        <v>119</v>
      </c>
      <c r="B2002" t="s">
        <v>120</v>
      </c>
      <c r="C2002" t="s">
        <v>4655</v>
      </c>
      <c r="D2002">
        <v>6</v>
      </c>
      <c r="E2002" t="s">
        <v>2031</v>
      </c>
      <c r="F2002" t="s">
        <v>140</v>
      </c>
      <c r="G2002" t="s">
        <v>124</v>
      </c>
      <c r="H2002" t="s">
        <v>125</v>
      </c>
      <c r="I2002">
        <v>4</v>
      </c>
      <c r="J2002" t="s">
        <v>161</v>
      </c>
      <c r="K2002" t="s">
        <v>125</v>
      </c>
      <c r="L2002" t="s">
        <v>4658</v>
      </c>
      <c r="U2002" t="s">
        <v>149</v>
      </c>
      <c r="W2002" t="s">
        <v>155</v>
      </c>
      <c r="X2002">
        <v>2</v>
      </c>
      <c r="AC2002" t="s">
        <v>136</v>
      </c>
      <c r="AE2002" t="s">
        <v>137</v>
      </c>
    </row>
    <row r="2003" spans="1:78" hidden="1" x14ac:dyDescent="0.2">
      <c r="A2003" t="s">
        <v>119</v>
      </c>
      <c r="B2003" t="s">
        <v>120</v>
      </c>
      <c r="C2003" t="s">
        <v>4655</v>
      </c>
      <c r="D2003">
        <v>7</v>
      </c>
      <c r="E2003" t="s">
        <v>598</v>
      </c>
      <c r="F2003" t="s">
        <v>598</v>
      </c>
      <c r="G2003" t="s">
        <v>124</v>
      </c>
      <c r="H2003" t="s">
        <v>125</v>
      </c>
      <c r="I2003">
        <v>6</v>
      </c>
      <c r="J2003" t="s">
        <v>294</v>
      </c>
      <c r="K2003" t="s">
        <v>125</v>
      </c>
      <c r="L2003" t="s">
        <v>4659</v>
      </c>
      <c r="AE2003" t="s">
        <v>128</v>
      </c>
    </row>
    <row r="2004" spans="1:78" x14ac:dyDescent="0.2">
      <c r="A2004" t="s">
        <v>119</v>
      </c>
      <c r="B2004" t="s">
        <v>120</v>
      </c>
      <c r="C2004" t="s">
        <v>4655</v>
      </c>
      <c r="D2004">
        <v>9</v>
      </c>
      <c r="E2004" t="s">
        <v>4660</v>
      </c>
      <c r="F2004" t="s">
        <v>373</v>
      </c>
      <c r="G2004" t="s">
        <v>124</v>
      </c>
      <c r="H2004" t="s">
        <v>125</v>
      </c>
      <c r="I2004">
        <v>6</v>
      </c>
      <c r="J2004" t="s">
        <v>268</v>
      </c>
      <c r="K2004" t="s">
        <v>125</v>
      </c>
      <c r="L2004" t="s">
        <v>4661</v>
      </c>
      <c r="U2004" t="s">
        <v>209</v>
      </c>
      <c r="W2004" t="s">
        <v>155</v>
      </c>
      <c r="X2004">
        <v>2</v>
      </c>
      <c r="AC2004" t="s">
        <v>136</v>
      </c>
      <c r="AE2004" t="s">
        <v>137</v>
      </c>
    </row>
    <row r="2005" spans="1:78" hidden="1" x14ac:dyDescent="0.2">
      <c r="A2005" t="s">
        <v>119</v>
      </c>
      <c r="B2005" t="s">
        <v>120</v>
      </c>
      <c r="C2005" t="s">
        <v>4662</v>
      </c>
      <c r="D2005">
        <v>3</v>
      </c>
      <c r="E2005" t="s">
        <v>1886</v>
      </c>
      <c r="F2005" t="s">
        <v>1886</v>
      </c>
      <c r="G2005" t="s">
        <v>124</v>
      </c>
      <c r="H2005" t="s">
        <v>125</v>
      </c>
      <c r="I2005">
        <v>0</v>
      </c>
      <c r="J2005" t="s">
        <v>126</v>
      </c>
      <c r="K2005" t="s">
        <v>125</v>
      </c>
      <c r="L2005" t="s">
        <v>4663</v>
      </c>
      <c r="AE2005" t="s">
        <v>128</v>
      </c>
      <c r="AG2005">
        <v>2</v>
      </c>
      <c r="AH2005" t="s">
        <v>1747</v>
      </c>
      <c r="AI2005" t="s">
        <v>572</v>
      </c>
      <c r="AJ2005" t="s">
        <v>131</v>
      </c>
      <c r="AK2005" t="s">
        <v>125</v>
      </c>
      <c r="AL2005">
        <v>3</v>
      </c>
      <c r="AM2005" t="s">
        <v>132</v>
      </c>
      <c r="AN2005" t="s">
        <v>125</v>
      </c>
      <c r="AO2005" t="s">
        <v>4664</v>
      </c>
      <c r="BP2005" t="s">
        <v>149</v>
      </c>
      <c r="BR2005" t="s">
        <v>135</v>
      </c>
      <c r="BS2005">
        <v>3</v>
      </c>
      <c r="BX2005" t="s">
        <v>136</v>
      </c>
      <c r="BZ2005" t="s">
        <v>137</v>
      </c>
    </row>
    <row r="2006" spans="1:78" x14ac:dyDescent="0.2">
      <c r="A2006" t="s">
        <v>119</v>
      </c>
      <c r="B2006" t="s">
        <v>120</v>
      </c>
      <c r="C2006" t="s">
        <v>4665</v>
      </c>
      <c r="D2006">
        <v>2</v>
      </c>
      <c r="E2006" t="s">
        <v>160</v>
      </c>
      <c r="F2006" t="s">
        <v>146</v>
      </c>
      <c r="G2006" t="s">
        <v>124</v>
      </c>
      <c r="H2006" t="s">
        <v>125</v>
      </c>
      <c r="I2006">
        <v>0</v>
      </c>
      <c r="J2006" t="s">
        <v>126</v>
      </c>
      <c r="K2006" t="s">
        <v>125</v>
      </c>
      <c r="L2006" t="s">
        <v>4666</v>
      </c>
      <c r="U2006" t="s">
        <v>149</v>
      </c>
      <c r="W2006" t="s">
        <v>155</v>
      </c>
      <c r="X2006">
        <v>3</v>
      </c>
      <c r="AC2006" t="s">
        <v>136</v>
      </c>
      <c r="AE2006" t="s">
        <v>137</v>
      </c>
    </row>
    <row r="2007" spans="1:78" x14ac:dyDescent="0.2">
      <c r="A2007" t="s">
        <v>119</v>
      </c>
      <c r="B2007" t="s">
        <v>120</v>
      </c>
      <c r="C2007" t="s">
        <v>4667</v>
      </c>
      <c r="D2007">
        <v>5</v>
      </c>
      <c r="E2007" t="s">
        <v>1708</v>
      </c>
      <c r="F2007" t="s">
        <v>773</v>
      </c>
      <c r="G2007" t="s">
        <v>124</v>
      </c>
      <c r="H2007" t="s">
        <v>125</v>
      </c>
      <c r="I2007">
        <v>0</v>
      </c>
      <c r="J2007" t="s">
        <v>126</v>
      </c>
      <c r="K2007" t="s">
        <v>125</v>
      </c>
      <c r="L2007" t="s">
        <v>4668</v>
      </c>
      <c r="U2007" t="s">
        <v>149</v>
      </c>
      <c r="W2007" t="s">
        <v>135</v>
      </c>
      <c r="X2007">
        <v>3</v>
      </c>
      <c r="AC2007" t="s">
        <v>136</v>
      </c>
      <c r="AE2007" t="s">
        <v>137</v>
      </c>
    </row>
    <row r="2008" spans="1:78" x14ac:dyDescent="0.2">
      <c r="A2008" t="s">
        <v>119</v>
      </c>
      <c r="B2008" t="s">
        <v>120</v>
      </c>
      <c r="C2008" t="s">
        <v>4669</v>
      </c>
      <c r="D2008">
        <v>2</v>
      </c>
      <c r="E2008" t="s">
        <v>145</v>
      </c>
      <c r="F2008" t="s">
        <v>146</v>
      </c>
      <c r="G2008" t="s">
        <v>124</v>
      </c>
      <c r="H2008" t="s">
        <v>125</v>
      </c>
      <c r="I2008">
        <v>0</v>
      </c>
      <c r="J2008" t="s">
        <v>126</v>
      </c>
      <c r="K2008" t="s">
        <v>125</v>
      </c>
      <c r="L2008" t="s">
        <v>4670</v>
      </c>
      <c r="U2008" t="s">
        <v>149</v>
      </c>
      <c r="W2008" t="s">
        <v>135</v>
      </c>
      <c r="X2008">
        <v>3</v>
      </c>
      <c r="AC2008" t="s">
        <v>136</v>
      </c>
      <c r="AE2008" t="s">
        <v>137</v>
      </c>
    </row>
    <row r="2009" spans="1:78" x14ac:dyDescent="0.2">
      <c r="A2009" t="s">
        <v>119</v>
      </c>
      <c r="B2009" t="s">
        <v>120</v>
      </c>
      <c r="C2009" t="s">
        <v>4671</v>
      </c>
      <c r="D2009">
        <v>2</v>
      </c>
      <c r="E2009" t="s">
        <v>160</v>
      </c>
      <c r="F2009" t="s">
        <v>146</v>
      </c>
      <c r="G2009" t="s">
        <v>124</v>
      </c>
      <c r="H2009" t="s">
        <v>125</v>
      </c>
      <c r="I2009">
        <v>0</v>
      </c>
      <c r="J2009" t="s">
        <v>126</v>
      </c>
      <c r="K2009" t="s">
        <v>125</v>
      </c>
      <c r="L2009" t="s">
        <v>4672</v>
      </c>
      <c r="U2009" t="s">
        <v>149</v>
      </c>
      <c r="W2009" t="s">
        <v>155</v>
      </c>
      <c r="X2009">
        <v>3</v>
      </c>
      <c r="AC2009" t="s">
        <v>136</v>
      </c>
      <c r="AE2009" t="s">
        <v>137</v>
      </c>
      <c r="AG2009">
        <v>7</v>
      </c>
      <c r="AH2009" t="s">
        <v>145</v>
      </c>
      <c r="AI2009" t="s">
        <v>146</v>
      </c>
      <c r="AJ2009" t="s">
        <v>131</v>
      </c>
      <c r="AK2009" t="s">
        <v>125</v>
      </c>
      <c r="AL2009">
        <v>2</v>
      </c>
      <c r="AM2009" t="s">
        <v>161</v>
      </c>
      <c r="AN2009" t="s">
        <v>125</v>
      </c>
      <c r="AO2009" t="s">
        <v>4673</v>
      </c>
      <c r="BP2009" t="s">
        <v>149</v>
      </c>
      <c r="BR2009" t="s">
        <v>135</v>
      </c>
      <c r="BS2009">
        <v>3</v>
      </c>
      <c r="BX2009" t="s">
        <v>136</v>
      </c>
      <c r="BZ2009" t="s">
        <v>137</v>
      </c>
    </row>
    <row r="2010" spans="1:78" hidden="1" x14ac:dyDescent="0.2">
      <c r="A2010" t="s">
        <v>119</v>
      </c>
      <c r="B2010" t="s">
        <v>120</v>
      </c>
      <c r="C2010" t="s">
        <v>4671</v>
      </c>
      <c r="D2010">
        <v>13</v>
      </c>
      <c r="E2010" t="s">
        <v>4674</v>
      </c>
      <c r="F2010" t="s">
        <v>4674</v>
      </c>
      <c r="G2010" t="s">
        <v>124</v>
      </c>
      <c r="H2010" t="s">
        <v>125</v>
      </c>
      <c r="I2010">
        <v>7</v>
      </c>
      <c r="J2010" t="s">
        <v>268</v>
      </c>
      <c r="K2010" t="s">
        <v>125</v>
      </c>
      <c r="L2010" t="s">
        <v>4675</v>
      </c>
      <c r="AE2010" t="s">
        <v>128</v>
      </c>
    </row>
    <row r="2011" spans="1:78" x14ac:dyDescent="0.2">
      <c r="A2011" t="s">
        <v>119</v>
      </c>
      <c r="B2011" t="s">
        <v>120</v>
      </c>
      <c r="C2011" t="s">
        <v>4676</v>
      </c>
      <c r="D2011">
        <v>3</v>
      </c>
      <c r="E2011" t="s">
        <v>145</v>
      </c>
      <c r="F2011" t="s">
        <v>146</v>
      </c>
      <c r="G2011" t="s">
        <v>124</v>
      </c>
      <c r="H2011" t="s">
        <v>125</v>
      </c>
      <c r="I2011">
        <v>0</v>
      </c>
      <c r="J2011" t="s">
        <v>126</v>
      </c>
      <c r="K2011" t="s">
        <v>125</v>
      </c>
      <c r="L2011" t="s">
        <v>4677</v>
      </c>
      <c r="U2011" t="s">
        <v>149</v>
      </c>
      <c r="W2011" t="s">
        <v>135</v>
      </c>
      <c r="X2011">
        <v>3</v>
      </c>
      <c r="AC2011" t="s">
        <v>136</v>
      </c>
      <c r="AE2011" t="s">
        <v>137</v>
      </c>
    </row>
    <row r="2012" spans="1:78" x14ac:dyDescent="0.2">
      <c r="A2012" t="s">
        <v>119</v>
      </c>
      <c r="B2012" t="s">
        <v>120</v>
      </c>
      <c r="C2012" t="s">
        <v>4676</v>
      </c>
      <c r="D2012">
        <v>7</v>
      </c>
      <c r="E2012" t="s">
        <v>145</v>
      </c>
      <c r="F2012" t="s">
        <v>146</v>
      </c>
      <c r="G2012" t="s">
        <v>124</v>
      </c>
      <c r="H2012" t="s">
        <v>125</v>
      </c>
      <c r="I2012">
        <v>3</v>
      </c>
      <c r="J2012" t="s">
        <v>161</v>
      </c>
      <c r="K2012" t="s">
        <v>125</v>
      </c>
      <c r="L2012" t="s">
        <v>4678</v>
      </c>
      <c r="U2012" t="s">
        <v>149</v>
      </c>
      <c r="W2012" t="s">
        <v>135</v>
      </c>
      <c r="X2012">
        <v>3</v>
      </c>
      <c r="AC2012" t="s">
        <v>136</v>
      </c>
      <c r="AE2012" t="s">
        <v>137</v>
      </c>
    </row>
    <row r="2013" spans="1:78" x14ac:dyDescent="0.2">
      <c r="A2013" t="s">
        <v>119</v>
      </c>
      <c r="B2013" t="s">
        <v>120</v>
      </c>
      <c r="C2013" t="s">
        <v>4679</v>
      </c>
      <c r="D2013">
        <v>7</v>
      </c>
      <c r="E2013" t="s">
        <v>1708</v>
      </c>
      <c r="F2013" t="s">
        <v>773</v>
      </c>
      <c r="G2013" t="s">
        <v>124</v>
      </c>
      <c r="H2013" t="s">
        <v>125</v>
      </c>
      <c r="I2013">
        <v>0</v>
      </c>
      <c r="J2013" t="s">
        <v>126</v>
      </c>
      <c r="K2013" t="s">
        <v>125</v>
      </c>
      <c r="L2013" t="s">
        <v>4680</v>
      </c>
      <c r="U2013" t="s">
        <v>149</v>
      </c>
      <c r="W2013" t="s">
        <v>135</v>
      </c>
      <c r="X2013">
        <v>3</v>
      </c>
      <c r="AC2013" t="s">
        <v>136</v>
      </c>
      <c r="AE2013" t="s">
        <v>137</v>
      </c>
    </row>
    <row r="2014" spans="1:78" x14ac:dyDescent="0.2">
      <c r="A2014" t="s">
        <v>119</v>
      </c>
      <c r="B2014" t="s">
        <v>120</v>
      </c>
      <c r="C2014" t="s">
        <v>4681</v>
      </c>
      <c r="D2014">
        <v>20</v>
      </c>
      <c r="E2014" t="s">
        <v>3086</v>
      </c>
      <c r="F2014" t="s">
        <v>146</v>
      </c>
      <c r="G2014" t="s">
        <v>124</v>
      </c>
      <c r="H2014" t="s">
        <v>125</v>
      </c>
      <c r="I2014">
        <v>0</v>
      </c>
      <c r="J2014" t="s">
        <v>126</v>
      </c>
      <c r="K2014" t="s">
        <v>125</v>
      </c>
      <c r="L2014" t="s">
        <v>4682</v>
      </c>
      <c r="U2014" t="s">
        <v>134</v>
      </c>
      <c r="W2014" t="s">
        <v>135</v>
      </c>
      <c r="X2014">
        <v>3</v>
      </c>
      <c r="AC2014" t="s">
        <v>136</v>
      </c>
      <c r="AE2014" t="s">
        <v>137</v>
      </c>
    </row>
    <row r="2015" spans="1:78" x14ac:dyDescent="0.2">
      <c r="A2015" t="s">
        <v>119</v>
      </c>
      <c r="B2015" t="s">
        <v>120</v>
      </c>
      <c r="C2015" t="s">
        <v>4683</v>
      </c>
      <c r="D2015">
        <v>5</v>
      </c>
      <c r="E2015" t="s">
        <v>145</v>
      </c>
      <c r="F2015" t="s">
        <v>146</v>
      </c>
      <c r="G2015" t="s">
        <v>124</v>
      </c>
      <c r="H2015" t="s">
        <v>125</v>
      </c>
      <c r="I2015">
        <v>3</v>
      </c>
      <c r="J2015" t="s">
        <v>268</v>
      </c>
      <c r="K2015" t="s">
        <v>125</v>
      </c>
      <c r="L2015" t="s">
        <v>4684</v>
      </c>
      <c r="U2015" t="s">
        <v>149</v>
      </c>
      <c r="W2015" t="s">
        <v>135</v>
      </c>
      <c r="X2015">
        <v>3</v>
      </c>
      <c r="AC2015" t="s">
        <v>136</v>
      </c>
      <c r="AE2015" t="s">
        <v>137</v>
      </c>
    </row>
    <row r="2016" spans="1:78" hidden="1" x14ac:dyDescent="0.2">
      <c r="A2016" t="s">
        <v>119</v>
      </c>
      <c r="B2016" t="s">
        <v>120</v>
      </c>
      <c r="C2016" t="s">
        <v>4685</v>
      </c>
      <c r="D2016">
        <v>3</v>
      </c>
      <c r="E2016" t="s">
        <v>4686</v>
      </c>
      <c r="F2016" t="s">
        <v>773</v>
      </c>
      <c r="G2016" t="s">
        <v>124</v>
      </c>
      <c r="H2016" t="s">
        <v>125</v>
      </c>
      <c r="I2016">
        <v>0</v>
      </c>
      <c r="J2016" t="s">
        <v>126</v>
      </c>
      <c r="K2016" t="s">
        <v>125</v>
      </c>
      <c r="L2016" t="s">
        <v>4687</v>
      </c>
      <c r="T2016" t="s">
        <v>142</v>
      </c>
      <c r="W2016" t="s">
        <v>135</v>
      </c>
      <c r="AC2016" t="s">
        <v>143</v>
      </c>
      <c r="AE2016" t="s">
        <v>144</v>
      </c>
      <c r="AG2016">
        <v>2</v>
      </c>
      <c r="AH2016" t="s">
        <v>218</v>
      </c>
      <c r="AI2016" t="s">
        <v>205</v>
      </c>
      <c r="AJ2016" t="s">
        <v>131</v>
      </c>
      <c r="AK2016" t="s">
        <v>125</v>
      </c>
      <c r="AL2016">
        <v>3</v>
      </c>
      <c r="AM2016" t="s">
        <v>132</v>
      </c>
      <c r="AN2016" t="s">
        <v>125</v>
      </c>
      <c r="AO2016" t="s">
        <v>4688</v>
      </c>
      <c r="BP2016" t="s">
        <v>149</v>
      </c>
      <c r="BR2016" t="s">
        <v>155</v>
      </c>
      <c r="BS2016">
        <v>3</v>
      </c>
      <c r="BX2016" t="s">
        <v>136</v>
      </c>
      <c r="BZ2016" t="s">
        <v>137</v>
      </c>
    </row>
    <row r="2017" spans="1:78" x14ac:dyDescent="0.2">
      <c r="A2017" t="s">
        <v>119</v>
      </c>
      <c r="B2017" t="s">
        <v>120</v>
      </c>
      <c r="C2017" t="s">
        <v>4685</v>
      </c>
      <c r="D2017">
        <v>9</v>
      </c>
      <c r="E2017" t="s">
        <v>145</v>
      </c>
      <c r="F2017" t="s">
        <v>146</v>
      </c>
      <c r="G2017" t="s">
        <v>124</v>
      </c>
      <c r="H2017" t="s">
        <v>125</v>
      </c>
      <c r="I2017">
        <v>6</v>
      </c>
      <c r="J2017" t="s">
        <v>386</v>
      </c>
      <c r="K2017" t="s">
        <v>125</v>
      </c>
      <c r="L2017" t="s">
        <v>4689</v>
      </c>
      <c r="U2017" t="s">
        <v>149</v>
      </c>
      <c r="W2017" t="s">
        <v>135</v>
      </c>
      <c r="X2017">
        <v>3</v>
      </c>
      <c r="AC2017" t="s">
        <v>136</v>
      </c>
      <c r="AE2017" t="s">
        <v>137</v>
      </c>
    </row>
    <row r="2018" spans="1:78" hidden="1" x14ac:dyDescent="0.2">
      <c r="A2018" t="s">
        <v>119</v>
      </c>
      <c r="B2018" t="s">
        <v>120</v>
      </c>
      <c r="C2018" t="s">
        <v>4685</v>
      </c>
      <c r="D2018">
        <v>13</v>
      </c>
      <c r="E2018" t="s">
        <v>261</v>
      </c>
      <c r="F2018" t="s">
        <v>261</v>
      </c>
      <c r="G2018" t="s">
        <v>124</v>
      </c>
      <c r="H2018" t="s">
        <v>125</v>
      </c>
      <c r="I2018">
        <v>11</v>
      </c>
      <c r="J2018" t="s">
        <v>268</v>
      </c>
      <c r="K2018" t="s">
        <v>125</v>
      </c>
      <c r="L2018" t="s">
        <v>4690</v>
      </c>
      <c r="AE2018" t="s">
        <v>128</v>
      </c>
    </row>
    <row r="2019" spans="1:78" hidden="1" x14ac:dyDescent="0.2">
      <c r="A2019" t="s">
        <v>119</v>
      </c>
      <c r="B2019" t="s">
        <v>120</v>
      </c>
      <c r="C2019" t="s">
        <v>4691</v>
      </c>
      <c r="D2019">
        <v>2</v>
      </c>
      <c r="E2019" t="s">
        <v>261</v>
      </c>
      <c r="F2019" t="s">
        <v>261</v>
      </c>
      <c r="G2019" t="s">
        <v>124</v>
      </c>
      <c r="H2019" t="s">
        <v>125</v>
      </c>
      <c r="I2019">
        <v>0</v>
      </c>
      <c r="J2019" t="s">
        <v>126</v>
      </c>
      <c r="K2019" t="s">
        <v>125</v>
      </c>
      <c r="L2019" t="s">
        <v>4692</v>
      </c>
      <c r="AE2019" t="s">
        <v>128</v>
      </c>
    </row>
    <row r="2020" spans="1:78" x14ac:dyDescent="0.2">
      <c r="A2020" t="s">
        <v>119</v>
      </c>
      <c r="B2020" t="s">
        <v>120</v>
      </c>
      <c r="C2020" t="s">
        <v>4693</v>
      </c>
      <c r="D2020">
        <v>4</v>
      </c>
      <c r="E2020" t="s">
        <v>4694</v>
      </c>
      <c r="F2020" t="s">
        <v>4695</v>
      </c>
      <c r="G2020" t="s">
        <v>124</v>
      </c>
      <c r="H2020" t="s">
        <v>125</v>
      </c>
      <c r="I2020">
        <v>0</v>
      </c>
      <c r="J2020" t="s">
        <v>126</v>
      </c>
      <c r="K2020" t="s">
        <v>125</v>
      </c>
      <c r="L2020" t="s">
        <v>4696</v>
      </c>
      <c r="U2020" t="s">
        <v>149</v>
      </c>
      <c r="W2020" t="s">
        <v>135</v>
      </c>
      <c r="X2020">
        <v>3</v>
      </c>
      <c r="AC2020" t="s">
        <v>136</v>
      </c>
      <c r="AE2020" t="s">
        <v>137</v>
      </c>
    </row>
    <row r="2021" spans="1:78" hidden="1" x14ac:dyDescent="0.2">
      <c r="A2021" t="s">
        <v>119</v>
      </c>
      <c r="B2021" t="s">
        <v>120</v>
      </c>
      <c r="C2021" t="s">
        <v>4697</v>
      </c>
      <c r="D2021">
        <v>4</v>
      </c>
      <c r="E2021" t="s">
        <v>3717</v>
      </c>
      <c r="F2021" t="s">
        <v>572</v>
      </c>
      <c r="G2021" t="s">
        <v>124</v>
      </c>
      <c r="H2021" t="s">
        <v>125</v>
      </c>
      <c r="I2021">
        <v>0</v>
      </c>
      <c r="J2021" t="s">
        <v>126</v>
      </c>
      <c r="K2021" t="s">
        <v>125</v>
      </c>
      <c r="L2021" t="s">
        <v>4698</v>
      </c>
      <c r="AG2021">
        <v>2</v>
      </c>
      <c r="AH2021" t="s">
        <v>3717</v>
      </c>
      <c r="AI2021" t="s">
        <v>572</v>
      </c>
      <c r="AJ2021" t="s">
        <v>131</v>
      </c>
      <c r="AK2021" t="s">
        <v>125</v>
      </c>
      <c r="AL2021">
        <v>4</v>
      </c>
      <c r="AM2021" t="s">
        <v>210</v>
      </c>
      <c r="AN2021" t="s">
        <v>125</v>
      </c>
      <c r="AO2021" t="s">
        <v>4699</v>
      </c>
      <c r="BP2021" t="s">
        <v>209</v>
      </c>
      <c r="BR2021" t="s">
        <v>155</v>
      </c>
      <c r="BS2021">
        <v>2</v>
      </c>
      <c r="BX2021" t="s">
        <v>136</v>
      </c>
      <c r="BZ2021" t="s">
        <v>137</v>
      </c>
    </row>
    <row r="2022" spans="1:78" x14ac:dyDescent="0.2">
      <c r="A2022" t="s">
        <v>119</v>
      </c>
      <c r="B2022" t="s">
        <v>120</v>
      </c>
      <c r="C2022" t="s">
        <v>4697</v>
      </c>
      <c r="D2022">
        <v>6</v>
      </c>
      <c r="E2022" t="s">
        <v>4700</v>
      </c>
      <c r="F2022" t="s">
        <v>194</v>
      </c>
      <c r="G2022" t="s">
        <v>124</v>
      </c>
      <c r="H2022" t="s">
        <v>125</v>
      </c>
      <c r="I2022">
        <v>4</v>
      </c>
      <c r="J2022" t="s">
        <v>161</v>
      </c>
      <c r="K2022" t="s">
        <v>125</v>
      </c>
      <c r="L2022" t="s">
        <v>4701</v>
      </c>
      <c r="U2022" t="s">
        <v>149</v>
      </c>
      <c r="W2022" t="s">
        <v>155</v>
      </c>
      <c r="X2022">
        <v>2</v>
      </c>
      <c r="AC2022" t="s">
        <v>136</v>
      </c>
      <c r="AE2022" t="s">
        <v>137</v>
      </c>
    </row>
    <row r="2023" spans="1:78" x14ac:dyDescent="0.2">
      <c r="A2023" t="s">
        <v>119</v>
      </c>
      <c r="B2023" t="s">
        <v>120</v>
      </c>
      <c r="C2023" t="s">
        <v>4697</v>
      </c>
      <c r="D2023">
        <v>16</v>
      </c>
      <c r="E2023" t="s">
        <v>2559</v>
      </c>
      <c r="F2023" t="s">
        <v>350</v>
      </c>
      <c r="G2023" t="s">
        <v>124</v>
      </c>
      <c r="H2023" t="s">
        <v>125</v>
      </c>
      <c r="I2023">
        <v>6</v>
      </c>
      <c r="J2023" t="s">
        <v>268</v>
      </c>
      <c r="K2023" t="s">
        <v>125</v>
      </c>
      <c r="L2023" t="s">
        <v>4702</v>
      </c>
      <c r="U2023" t="s">
        <v>149</v>
      </c>
      <c r="W2023" t="s">
        <v>155</v>
      </c>
      <c r="X2023">
        <v>2</v>
      </c>
      <c r="AC2023" t="s">
        <v>136</v>
      </c>
      <c r="AE2023" t="s">
        <v>137</v>
      </c>
    </row>
    <row r="2024" spans="1:78" x14ac:dyDescent="0.2">
      <c r="A2024" t="s">
        <v>119</v>
      </c>
      <c r="B2024" t="s">
        <v>120</v>
      </c>
      <c r="C2024" t="s">
        <v>4703</v>
      </c>
      <c r="D2024">
        <v>2</v>
      </c>
      <c r="E2024" t="s">
        <v>4704</v>
      </c>
      <c r="F2024" t="s">
        <v>434</v>
      </c>
      <c r="G2024" t="s">
        <v>124</v>
      </c>
      <c r="H2024" t="s">
        <v>125</v>
      </c>
      <c r="I2024">
        <v>8</v>
      </c>
      <c r="J2024" t="s">
        <v>268</v>
      </c>
      <c r="K2024" t="s">
        <v>125</v>
      </c>
      <c r="L2024" t="s">
        <v>4705</v>
      </c>
      <c r="U2024" t="s">
        <v>149</v>
      </c>
      <c r="W2024" t="s">
        <v>155</v>
      </c>
      <c r="X2024">
        <v>2</v>
      </c>
      <c r="AC2024" t="s">
        <v>136</v>
      </c>
      <c r="AE2024" t="s">
        <v>137</v>
      </c>
    </row>
    <row r="2025" spans="1:78" x14ac:dyDescent="0.2">
      <c r="A2025" t="s">
        <v>119</v>
      </c>
      <c r="B2025" t="s">
        <v>120</v>
      </c>
      <c r="C2025" t="s">
        <v>4703</v>
      </c>
      <c r="D2025">
        <v>8</v>
      </c>
      <c r="E2025" t="s">
        <v>4706</v>
      </c>
      <c r="F2025" t="s">
        <v>4695</v>
      </c>
      <c r="G2025" t="s">
        <v>124</v>
      </c>
      <c r="H2025" t="s">
        <v>125</v>
      </c>
      <c r="I2025">
        <v>0</v>
      </c>
      <c r="J2025" t="s">
        <v>126</v>
      </c>
      <c r="K2025" t="s">
        <v>125</v>
      </c>
      <c r="L2025" t="s">
        <v>4707</v>
      </c>
      <c r="U2025" t="s">
        <v>149</v>
      </c>
      <c r="W2025" t="s">
        <v>155</v>
      </c>
      <c r="X2025">
        <v>3</v>
      </c>
      <c r="AC2025" t="s">
        <v>136</v>
      </c>
      <c r="AE2025" t="s">
        <v>137</v>
      </c>
    </row>
    <row r="2026" spans="1:78" x14ac:dyDescent="0.2">
      <c r="A2026" t="s">
        <v>119</v>
      </c>
      <c r="B2026" t="s">
        <v>120</v>
      </c>
      <c r="C2026" t="s">
        <v>4703</v>
      </c>
      <c r="D2026">
        <v>15</v>
      </c>
      <c r="E2026" t="s">
        <v>370</v>
      </c>
      <c r="F2026" t="s">
        <v>140</v>
      </c>
      <c r="G2026" t="s">
        <v>124</v>
      </c>
      <c r="H2026" t="s">
        <v>125</v>
      </c>
      <c r="I2026">
        <v>13</v>
      </c>
      <c r="J2026" t="s">
        <v>170</v>
      </c>
      <c r="K2026" t="s">
        <v>125</v>
      </c>
      <c r="L2026" t="s">
        <v>4708</v>
      </c>
      <c r="U2026" t="s">
        <v>149</v>
      </c>
      <c r="W2026" t="s">
        <v>135</v>
      </c>
      <c r="X2026">
        <v>3</v>
      </c>
      <c r="AC2026" t="s">
        <v>136</v>
      </c>
      <c r="AE2026" t="s">
        <v>137</v>
      </c>
    </row>
    <row r="2027" spans="1:78" hidden="1" x14ac:dyDescent="0.2">
      <c r="A2027" t="s">
        <v>119</v>
      </c>
      <c r="B2027" t="s">
        <v>120</v>
      </c>
      <c r="C2027" t="s">
        <v>4709</v>
      </c>
      <c r="D2027">
        <v>4</v>
      </c>
      <c r="E2027" t="s">
        <v>632</v>
      </c>
      <c r="F2027" t="s">
        <v>632</v>
      </c>
      <c r="G2027" t="s">
        <v>124</v>
      </c>
      <c r="H2027" t="s">
        <v>125</v>
      </c>
      <c r="I2027">
        <v>0</v>
      </c>
      <c r="J2027" t="s">
        <v>126</v>
      </c>
      <c r="K2027" t="s">
        <v>125</v>
      </c>
      <c r="L2027" t="s">
        <v>4710</v>
      </c>
      <c r="AE2027" t="s">
        <v>128</v>
      </c>
      <c r="AG2027">
        <v>3</v>
      </c>
      <c r="AH2027" t="s">
        <v>3717</v>
      </c>
      <c r="AI2027" t="s">
        <v>572</v>
      </c>
      <c r="AJ2027" t="s">
        <v>131</v>
      </c>
      <c r="AK2027" t="s">
        <v>125</v>
      </c>
      <c r="AL2027">
        <v>4</v>
      </c>
      <c r="AM2027" t="s">
        <v>132</v>
      </c>
      <c r="AN2027" t="s">
        <v>125</v>
      </c>
      <c r="AO2027" t="s">
        <v>4711</v>
      </c>
      <c r="BP2027" t="s">
        <v>149</v>
      </c>
      <c r="BR2027" t="s">
        <v>155</v>
      </c>
      <c r="BS2027">
        <v>2</v>
      </c>
      <c r="BX2027" t="s">
        <v>136</v>
      </c>
      <c r="BZ2027" t="s">
        <v>137</v>
      </c>
    </row>
    <row r="2028" spans="1:78" x14ac:dyDescent="0.2">
      <c r="A2028" t="s">
        <v>119</v>
      </c>
      <c r="B2028" t="s">
        <v>120</v>
      </c>
      <c r="C2028" t="s">
        <v>4709</v>
      </c>
      <c r="D2028">
        <v>6</v>
      </c>
      <c r="E2028" t="s">
        <v>145</v>
      </c>
      <c r="F2028" t="s">
        <v>146</v>
      </c>
      <c r="G2028" t="s">
        <v>124</v>
      </c>
      <c r="H2028" t="s">
        <v>125</v>
      </c>
      <c r="I2028">
        <v>4</v>
      </c>
      <c r="J2028" t="s">
        <v>268</v>
      </c>
      <c r="K2028" t="s">
        <v>125</v>
      </c>
      <c r="L2028" t="s">
        <v>4712</v>
      </c>
      <c r="U2028" t="s">
        <v>149</v>
      </c>
      <c r="W2028" t="s">
        <v>135</v>
      </c>
      <c r="X2028">
        <v>3</v>
      </c>
      <c r="AC2028" t="s">
        <v>136</v>
      </c>
      <c r="AE2028" t="s">
        <v>137</v>
      </c>
    </row>
    <row r="2029" spans="1:78" hidden="1" x14ac:dyDescent="0.2">
      <c r="A2029" t="s">
        <v>119</v>
      </c>
      <c r="B2029" t="s">
        <v>120</v>
      </c>
      <c r="C2029" t="s">
        <v>4713</v>
      </c>
      <c r="D2029">
        <v>4</v>
      </c>
      <c r="E2029" t="s">
        <v>140</v>
      </c>
      <c r="F2029" t="s">
        <v>140</v>
      </c>
      <c r="G2029" t="s">
        <v>124</v>
      </c>
      <c r="H2029" t="s">
        <v>125</v>
      </c>
      <c r="I2029">
        <v>7</v>
      </c>
      <c r="J2029" t="s">
        <v>199</v>
      </c>
      <c r="K2029" t="s">
        <v>125</v>
      </c>
      <c r="L2029" t="s">
        <v>4714</v>
      </c>
      <c r="AE2029" t="s">
        <v>128</v>
      </c>
      <c r="AG2029">
        <v>3</v>
      </c>
      <c r="AH2029" t="s">
        <v>3717</v>
      </c>
      <c r="AI2029" t="s">
        <v>572</v>
      </c>
      <c r="AJ2029" t="s">
        <v>131</v>
      </c>
      <c r="AK2029" t="s">
        <v>125</v>
      </c>
      <c r="AL2029">
        <v>4</v>
      </c>
      <c r="AM2029" t="s">
        <v>132</v>
      </c>
      <c r="AN2029" t="s">
        <v>125</v>
      </c>
      <c r="AO2029" t="s">
        <v>4715</v>
      </c>
      <c r="BP2029" t="s">
        <v>149</v>
      </c>
      <c r="BR2029" t="s">
        <v>155</v>
      </c>
      <c r="BS2029">
        <v>2</v>
      </c>
      <c r="BX2029" t="s">
        <v>136</v>
      </c>
      <c r="BZ2029" t="s">
        <v>137</v>
      </c>
    </row>
    <row r="2030" spans="1:78" x14ac:dyDescent="0.2">
      <c r="A2030" t="s">
        <v>119</v>
      </c>
      <c r="B2030" t="s">
        <v>120</v>
      </c>
      <c r="C2030" t="s">
        <v>4713</v>
      </c>
      <c r="D2030">
        <v>7</v>
      </c>
      <c r="E2030" t="s">
        <v>1449</v>
      </c>
      <c r="F2030" t="s">
        <v>1450</v>
      </c>
      <c r="G2030" t="s">
        <v>124</v>
      </c>
      <c r="H2030" t="s">
        <v>125</v>
      </c>
      <c r="I2030">
        <v>0</v>
      </c>
      <c r="J2030" t="s">
        <v>126</v>
      </c>
      <c r="K2030" t="s">
        <v>125</v>
      </c>
      <c r="L2030" t="s">
        <v>4716</v>
      </c>
      <c r="U2030" t="s">
        <v>149</v>
      </c>
      <c r="W2030" t="s">
        <v>135</v>
      </c>
      <c r="X2030">
        <v>3</v>
      </c>
      <c r="AC2030" t="s">
        <v>136</v>
      </c>
      <c r="AE2030" t="s">
        <v>137</v>
      </c>
    </row>
    <row r="2031" spans="1:78" x14ac:dyDescent="0.2">
      <c r="A2031" t="s">
        <v>119</v>
      </c>
      <c r="B2031" t="s">
        <v>120</v>
      </c>
      <c r="C2031" t="s">
        <v>4713</v>
      </c>
      <c r="D2031">
        <v>9</v>
      </c>
      <c r="E2031" t="s">
        <v>4717</v>
      </c>
      <c r="F2031" t="s">
        <v>205</v>
      </c>
      <c r="G2031" t="s">
        <v>124</v>
      </c>
      <c r="H2031" t="s">
        <v>125</v>
      </c>
      <c r="I2031">
        <v>7</v>
      </c>
      <c r="J2031" t="s">
        <v>264</v>
      </c>
      <c r="K2031" t="s">
        <v>125</v>
      </c>
      <c r="L2031" t="s">
        <v>4718</v>
      </c>
      <c r="U2031" t="s">
        <v>309</v>
      </c>
      <c r="W2031" t="s">
        <v>135</v>
      </c>
      <c r="X2031">
        <v>3</v>
      </c>
      <c r="AC2031" t="s">
        <v>136</v>
      </c>
      <c r="AE2031" t="s">
        <v>137</v>
      </c>
    </row>
    <row r="2032" spans="1:78" x14ac:dyDescent="0.2">
      <c r="A2032" t="s">
        <v>119</v>
      </c>
      <c r="B2032" t="s">
        <v>120</v>
      </c>
      <c r="C2032" t="s">
        <v>4713</v>
      </c>
      <c r="D2032">
        <v>18</v>
      </c>
      <c r="E2032" t="s">
        <v>1625</v>
      </c>
      <c r="F2032" t="s">
        <v>261</v>
      </c>
      <c r="G2032" t="s">
        <v>124</v>
      </c>
      <c r="H2032" t="s">
        <v>125</v>
      </c>
      <c r="I2032">
        <v>15</v>
      </c>
      <c r="J2032" t="s">
        <v>161</v>
      </c>
      <c r="K2032" t="s">
        <v>125</v>
      </c>
      <c r="L2032" t="s">
        <v>4719</v>
      </c>
      <c r="U2032" t="s">
        <v>149</v>
      </c>
      <c r="W2032" t="s">
        <v>155</v>
      </c>
      <c r="X2032">
        <v>3</v>
      </c>
      <c r="AC2032" t="s">
        <v>136</v>
      </c>
      <c r="AE2032" t="s">
        <v>137</v>
      </c>
    </row>
    <row r="2033" spans="1:78" x14ac:dyDescent="0.2">
      <c r="A2033" t="s">
        <v>119</v>
      </c>
      <c r="B2033" t="s">
        <v>120</v>
      </c>
      <c r="C2033" t="s">
        <v>4713</v>
      </c>
      <c r="D2033">
        <v>20</v>
      </c>
      <c r="E2033" t="s">
        <v>4720</v>
      </c>
      <c r="F2033" t="s">
        <v>350</v>
      </c>
      <c r="G2033" t="s">
        <v>124</v>
      </c>
      <c r="H2033" t="s">
        <v>125</v>
      </c>
      <c r="I2033">
        <v>18</v>
      </c>
      <c r="J2033" t="s">
        <v>264</v>
      </c>
      <c r="K2033" t="s">
        <v>125</v>
      </c>
      <c r="L2033" t="s">
        <v>4721</v>
      </c>
      <c r="U2033" t="s">
        <v>309</v>
      </c>
      <c r="W2033" t="s">
        <v>135</v>
      </c>
      <c r="X2033">
        <v>3</v>
      </c>
      <c r="AC2033" t="s">
        <v>136</v>
      </c>
      <c r="AE2033" t="s">
        <v>137</v>
      </c>
    </row>
    <row r="2034" spans="1:78" hidden="1" x14ac:dyDescent="0.2">
      <c r="A2034" t="s">
        <v>119</v>
      </c>
      <c r="B2034" t="s">
        <v>120</v>
      </c>
      <c r="C2034" t="s">
        <v>4722</v>
      </c>
      <c r="D2034">
        <v>3</v>
      </c>
      <c r="E2034" t="s">
        <v>4723</v>
      </c>
      <c r="F2034" t="s">
        <v>4723</v>
      </c>
      <c r="G2034" t="s">
        <v>124</v>
      </c>
      <c r="H2034" t="s">
        <v>125</v>
      </c>
      <c r="I2034">
        <v>0</v>
      </c>
      <c r="J2034" t="s">
        <v>126</v>
      </c>
      <c r="K2034" t="s">
        <v>125</v>
      </c>
      <c r="L2034" t="s">
        <v>4724</v>
      </c>
      <c r="AE2034" t="s">
        <v>128</v>
      </c>
      <c r="AG2034">
        <v>2</v>
      </c>
      <c r="AH2034" t="s">
        <v>3717</v>
      </c>
      <c r="AI2034" t="s">
        <v>572</v>
      </c>
      <c r="AJ2034" t="s">
        <v>131</v>
      </c>
      <c r="AK2034" t="s">
        <v>125</v>
      </c>
      <c r="AL2034">
        <v>3</v>
      </c>
      <c r="AM2034" t="s">
        <v>132</v>
      </c>
      <c r="AN2034" t="s">
        <v>125</v>
      </c>
      <c r="AO2034" t="s">
        <v>4725</v>
      </c>
      <c r="BP2034" t="s">
        <v>149</v>
      </c>
      <c r="BR2034" t="s">
        <v>155</v>
      </c>
      <c r="BS2034">
        <v>2</v>
      </c>
      <c r="BX2034" t="s">
        <v>136</v>
      </c>
      <c r="BZ2034" t="s">
        <v>137</v>
      </c>
    </row>
    <row r="2035" spans="1:78" hidden="1" x14ac:dyDescent="0.2">
      <c r="A2035" t="s">
        <v>119</v>
      </c>
      <c r="B2035" t="s">
        <v>120</v>
      </c>
      <c r="C2035" t="s">
        <v>4722</v>
      </c>
      <c r="D2035">
        <v>9</v>
      </c>
      <c r="E2035" t="s">
        <v>4726</v>
      </c>
      <c r="F2035" t="s">
        <v>4726</v>
      </c>
      <c r="G2035" t="s">
        <v>124</v>
      </c>
      <c r="H2035" t="s">
        <v>125</v>
      </c>
      <c r="I2035">
        <v>3</v>
      </c>
      <c r="J2035" t="s">
        <v>161</v>
      </c>
      <c r="K2035" t="s">
        <v>125</v>
      </c>
      <c r="L2035" t="s">
        <v>4727</v>
      </c>
      <c r="AE2035" t="s">
        <v>128</v>
      </c>
      <c r="AG2035">
        <v>8</v>
      </c>
      <c r="AH2035" t="s">
        <v>3717</v>
      </c>
      <c r="AI2035" t="s">
        <v>572</v>
      </c>
      <c r="AJ2035" t="s">
        <v>131</v>
      </c>
      <c r="AK2035" t="s">
        <v>125</v>
      </c>
      <c r="AL2035">
        <v>9</v>
      </c>
      <c r="AM2035" t="s">
        <v>132</v>
      </c>
      <c r="AN2035" t="s">
        <v>125</v>
      </c>
      <c r="AO2035" t="s">
        <v>4728</v>
      </c>
      <c r="BP2035" t="s">
        <v>149</v>
      </c>
      <c r="BR2035" t="s">
        <v>155</v>
      </c>
      <c r="BS2035">
        <v>2</v>
      </c>
      <c r="BX2035" t="s">
        <v>136</v>
      </c>
      <c r="BZ2035" t="s">
        <v>137</v>
      </c>
    </row>
    <row r="2036" spans="1:78" x14ac:dyDescent="0.2">
      <c r="A2036" t="s">
        <v>119</v>
      </c>
      <c r="B2036" t="s">
        <v>120</v>
      </c>
      <c r="C2036" t="s">
        <v>4729</v>
      </c>
      <c r="D2036">
        <v>3</v>
      </c>
      <c r="E2036" t="s">
        <v>4700</v>
      </c>
      <c r="F2036" t="s">
        <v>194</v>
      </c>
      <c r="G2036" t="s">
        <v>124</v>
      </c>
      <c r="H2036" t="s">
        <v>125</v>
      </c>
      <c r="I2036">
        <v>7</v>
      </c>
      <c r="J2036" t="s">
        <v>268</v>
      </c>
      <c r="K2036" t="s">
        <v>125</v>
      </c>
      <c r="L2036" t="s">
        <v>4730</v>
      </c>
      <c r="U2036" t="s">
        <v>149</v>
      </c>
      <c r="W2036" t="s">
        <v>155</v>
      </c>
      <c r="X2036">
        <v>2</v>
      </c>
      <c r="AC2036" t="s">
        <v>136</v>
      </c>
      <c r="AE2036" t="s">
        <v>137</v>
      </c>
    </row>
    <row r="2037" spans="1:78" hidden="1" x14ac:dyDescent="0.2">
      <c r="A2037" t="s">
        <v>119</v>
      </c>
      <c r="B2037" t="s">
        <v>120</v>
      </c>
      <c r="C2037" t="s">
        <v>4729</v>
      </c>
      <c r="D2037">
        <v>8</v>
      </c>
      <c r="E2037" t="s">
        <v>4726</v>
      </c>
      <c r="F2037" t="s">
        <v>4726</v>
      </c>
      <c r="G2037" t="s">
        <v>124</v>
      </c>
      <c r="H2037" t="s">
        <v>125</v>
      </c>
      <c r="I2037">
        <v>7</v>
      </c>
      <c r="J2037" t="s">
        <v>294</v>
      </c>
      <c r="K2037" t="s">
        <v>125</v>
      </c>
      <c r="L2037" t="s">
        <v>4731</v>
      </c>
      <c r="T2037" t="s">
        <v>142</v>
      </c>
      <c r="W2037" t="s">
        <v>135</v>
      </c>
    </row>
    <row r="2038" spans="1:78" x14ac:dyDescent="0.2">
      <c r="A2038" t="s">
        <v>119</v>
      </c>
      <c r="B2038" t="s">
        <v>120</v>
      </c>
      <c r="C2038" t="s">
        <v>4732</v>
      </c>
      <c r="D2038">
        <v>1</v>
      </c>
      <c r="E2038" t="s">
        <v>4733</v>
      </c>
      <c r="F2038" t="s">
        <v>4734</v>
      </c>
      <c r="G2038" t="s">
        <v>124</v>
      </c>
      <c r="H2038" t="s">
        <v>125</v>
      </c>
      <c r="I2038">
        <v>0</v>
      </c>
      <c r="J2038" t="s">
        <v>126</v>
      </c>
      <c r="K2038" t="s">
        <v>125</v>
      </c>
      <c r="L2038" t="s">
        <v>4735</v>
      </c>
      <c r="U2038" t="s">
        <v>149</v>
      </c>
      <c r="W2038" t="s">
        <v>135</v>
      </c>
      <c r="X2038">
        <v>1</v>
      </c>
      <c r="AC2038" t="s">
        <v>136</v>
      </c>
      <c r="AE2038" t="s">
        <v>137</v>
      </c>
    </row>
    <row r="2039" spans="1:78" hidden="1" x14ac:dyDescent="0.2">
      <c r="A2039" t="s">
        <v>119</v>
      </c>
      <c r="B2039" t="s">
        <v>120</v>
      </c>
      <c r="C2039" t="s">
        <v>4736</v>
      </c>
      <c r="D2039">
        <v>2</v>
      </c>
      <c r="E2039" t="s">
        <v>861</v>
      </c>
      <c r="F2039" t="s">
        <v>140</v>
      </c>
      <c r="G2039" t="s">
        <v>124</v>
      </c>
      <c r="H2039" t="s">
        <v>125</v>
      </c>
      <c r="I2039">
        <v>0</v>
      </c>
      <c r="J2039" t="s">
        <v>126</v>
      </c>
      <c r="K2039" t="s">
        <v>125</v>
      </c>
      <c r="L2039" t="s">
        <v>4737</v>
      </c>
      <c r="AE2039" t="s">
        <v>128</v>
      </c>
      <c r="AG2039">
        <v>1</v>
      </c>
      <c r="AH2039" t="s">
        <v>3717</v>
      </c>
      <c r="AI2039" t="s">
        <v>572</v>
      </c>
      <c r="AJ2039" t="s">
        <v>131</v>
      </c>
      <c r="AK2039" t="s">
        <v>125</v>
      </c>
      <c r="AL2039">
        <v>2</v>
      </c>
      <c r="AM2039" t="s">
        <v>132</v>
      </c>
      <c r="AN2039" t="s">
        <v>125</v>
      </c>
      <c r="AO2039" t="s">
        <v>4738</v>
      </c>
      <c r="BP2039" t="s">
        <v>149</v>
      </c>
      <c r="BR2039" t="s">
        <v>155</v>
      </c>
      <c r="BS2039">
        <v>2</v>
      </c>
      <c r="BX2039" t="s">
        <v>136</v>
      </c>
      <c r="BZ2039" t="s">
        <v>137</v>
      </c>
    </row>
    <row r="2040" spans="1:78" hidden="1" x14ac:dyDescent="0.2">
      <c r="A2040" t="s">
        <v>119</v>
      </c>
      <c r="B2040" t="s">
        <v>120</v>
      </c>
      <c r="C2040" t="s">
        <v>4736</v>
      </c>
      <c r="D2040">
        <v>7</v>
      </c>
      <c r="E2040" t="s">
        <v>407</v>
      </c>
      <c r="F2040" t="s">
        <v>140</v>
      </c>
      <c r="G2040" t="s">
        <v>124</v>
      </c>
      <c r="H2040" t="s">
        <v>125</v>
      </c>
      <c r="I2040">
        <v>2</v>
      </c>
      <c r="J2040" t="s">
        <v>161</v>
      </c>
      <c r="K2040" t="s">
        <v>125</v>
      </c>
      <c r="L2040" t="s">
        <v>4739</v>
      </c>
      <c r="T2040" t="s">
        <v>154</v>
      </c>
      <c r="W2040" t="s">
        <v>135</v>
      </c>
      <c r="AC2040" t="s">
        <v>143</v>
      </c>
      <c r="AE2040" t="s">
        <v>144</v>
      </c>
      <c r="AG2040">
        <v>6</v>
      </c>
      <c r="AH2040" t="s">
        <v>204</v>
      </c>
      <c r="AI2040" t="s">
        <v>205</v>
      </c>
      <c r="AJ2040" t="s">
        <v>131</v>
      </c>
      <c r="AK2040" t="s">
        <v>125</v>
      </c>
      <c r="AL2040">
        <v>7</v>
      </c>
      <c r="AM2040" t="s">
        <v>132</v>
      </c>
      <c r="AN2040" t="s">
        <v>125</v>
      </c>
      <c r="AO2040" t="s">
        <v>4740</v>
      </c>
      <c r="BP2040" t="s">
        <v>149</v>
      </c>
      <c r="BR2040" t="s">
        <v>135</v>
      </c>
      <c r="BS2040">
        <v>1</v>
      </c>
      <c r="BX2040" t="s">
        <v>136</v>
      </c>
      <c r="BZ2040" t="s">
        <v>137</v>
      </c>
    </row>
    <row r="2041" spans="1:78" hidden="1" x14ac:dyDescent="0.2">
      <c r="A2041" t="s">
        <v>119</v>
      </c>
      <c r="B2041" t="s">
        <v>120</v>
      </c>
      <c r="C2041" t="s">
        <v>4741</v>
      </c>
      <c r="D2041">
        <v>3</v>
      </c>
      <c r="E2041" t="s">
        <v>4726</v>
      </c>
      <c r="F2041" t="s">
        <v>4726</v>
      </c>
      <c r="G2041" t="s">
        <v>124</v>
      </c>
      <c r="H2041" t="s">
        <v>125</v>
      </c>
      <c r="I2041">
        <v>0</v>
      </c>
      <c r="J2041" t="s">
        <v>126</v>
      </c>
      <c r="K2041" t="s">
        <v>125</v>
      </c>
      <c r="L2041" t="s">
        <v>4742</v>
      </c>
      <c r="AE2041" t="s">
        <v>128</v>
      </c>
      <c r="AG2041">
        <v>2</v>
      </c>
      <c r="AH2041" t="s">
        <v>3717</v>
      </c>
      <c r="AI2041" t="s">
        <v>572</v>
      </c>
      <c r="AJ2041" t="s">
        <v>131</v>
      </c>
      <c r="AK2041" t="s">
        <v>125</v>
      </c>
      <c r="AL2041">
        <v>3</v>
      </c>
      <c r="AM2041" t="s">
        <v>132</v>
      </c>
      <c r="AN2041" t="s">
        <v>125</v>
      </c>
      <c r="AO2041" t="s">
        <v>2353</v>
      </c>
      <c r="BP2041" t="s">
        <v>149</v>
      </c>
      <c r="BR2041" t="s">
        <v>155</v>
      </c>
      <c r="BS2041">
        <v>2</v>
      </c>
      <c r="BX2041" t="s">
        <v>136</v>
      </c>
      <c r="BZ2041" t="s">
        <v>137</v>
      </c>
    </row>
    <row r="2042" spans="1:78" x14ac:dyDescent="0.2">
      <c r="A2042" t="s">
        <v>119</v>
      </c>
      <c r="B2042" t="s">
        <v>120</v>
      </c>
      <c r="C2042" t="s">
        <v>4743</v>
      </c>
      <c r="D2042">
        <v>5</v>
      </c>
      <c r="E2042" t="s">
        <v>4744</v>
      </c>
      <c r="F2042" t="s">
        <v>4745</v>
      </c>
      <c r="G2042" t="s">
        <v>124</v>
      </c>
      <c r="H2042" t="s">
        <v>125</v>
      </c>
      <c r="I2042">
        <v>0</v>
      </c>
      <c r="J2042" t="s">
        <v>126</v>
      </c>
      <c r="K2042" t="s">
        <v>125</v>
      </c>
      <c r="L2042" t="s">
        <v>4746</v>
      </c>
      <c r="U2042" t="s">
        <v>149</v>
      </c>
      <c r="W2042" t="s">
        <v>135</v>
      </c>
      <c r="X2042">
        <v>3</v>
      </c>
      <c r="AC2042" t="s">
        <v>136</v>
      </c>
      <c r="AE2042" t="s">
        <v>137</v>
      </c>
    </row>
    <row r="2043" spans="1:78" x14ac:dyDescent="0.2">
      <c r="A2043" t="s">
        <v>119</v>
      </c>
      <c r="B2043" t="s">
        <v>120</v>
      </c>
      <c r="C2043" t="s">
        <v>4743</v>
      </c>
      <c r="D2043">
        <v>12</v>
      </c>
      <c r="E2043" t="s">
        <v>1068</v>
      </c>
      <c r="F2043" t="s">
        <v>598</v>
      </c>
      <c r="G2043" t="s">
        <v>124</v>
      </c>
      <c r="H2043" t="s">
        <v>125</v>
      </c>
      <c r="I2043">
        <v>5</v>
      </c>
      <c r="J2043" t="s">
        <v>161</v>
      </c>
      <c r="K2043" t="s">
        <v>125</v>
      </c>
      <c r="L2043" t="s">
        <v>4747</v>
      </c>
      <c r="U2043" t="s">
        <v>149</v>
      </c>
      <c r="W2043" t="s">
        <v>135</v>
      </c>
      <c r="X2043">
        <v>3</v>
      </c>
      <c r="AC2043" t="s">
        <v>136</v>
      </c>
      <c r="AE2043" t="s">
        <v>137</v>
      </c>
    </row>
    <row r="2044" spans="1:78" hidden="1" x14ac:dyDescent="0.2">
      <c r="A2044" t="s">
        <v>119</v>
      </c>
      <c r="B2044" t="s">
        <v>120</v>
      </c>
      <c r="C2044" t="s">
        <v>4748</v>
      </c>
      <c r="D2044">
        <v>6</v>
      </c>
      <c r="E2044" t="s">
        <v>261</v>
      </c>
      <c r="F2044" t="s">
        <v>261</v>
      </c>
      <c r="G2044" t="s">
        <v>124</v>
      </c>
      <c r="H2044" t="s">
        <v>125</v>
      </c>
      <c r="I2044">
        <v>4</v>
      </c>
      <c r="J2044" t="s">
        <v>386</v>
      </c>
      <c r="K2044" t="s">
        <v>125</v>
      </c>
      <c r="L2044" t="s">
        <v>4749</v>
      </c>
      <c r="AE2044" t="s">
        <v>128</v>
      </c>
    </row>
    <row r="2045" spans="1:78" hidden="1" x14ac:dyDescent="0.2">
      <c r="A2045" t="s">
        <v>119</v>
      </c>
      <c r="B2045" t="s">
        <v>120</v>
      </c>
      <c r="C2045" t="s">
        <v>4750</v>
      </c>
      <c r="D2045">
        <v>3</v>
      </c>
      <c r="E2045" t="s">
        <v>512</v>
      </c>
      <c r="F2045" t="s">
        <v>146</v>
      </c>
      <c r="G2045" t="s">
        <v>124</v>
      </c>
      <c r="H2045" t="s">
        <v>125</v>
      </c>
      <c r="I2045">
        <v>0</v>
      </c>
      <c r="J2045" t="s">
        <v>126</v>
      </c>
      <c r="K2045" t="s">
        <v>125</v>
      </c>
      <c r="L2045" t="s">
        <v>4751</v>
      </c>
      <c r="U2045" t="s">
        <v>149</v>
      </c>
      <c r="W2045" t="s">
        <v>155</v>
      </c>
      <c r="X2045">
        <v>3</v>
      </c>
      <c r="AC2045" t="s">
        <v>209</v>
      </c>
      <c r="AE2045" t="s">
        <v>137</v>
      </c>
    </row>
    <row r="2046" spans="1:78" hidden="1" x14ac:dyDescent="0.2">
      <c r="A2046" t="s">
        <v>119</v>
      </c>
      <c r="B2046" t="s">
        <v>120</v>
      </c>
      <c r="C2046" t="s">
        <v>4750</v>
      </c>
      <c r="D2046">
        <v>14</v>
      </c>
      <c r="E2046" t="s">
        <v>4752</v>
      </c>
      <c r="F2046" t="s">
        <v>4753</v>
      </c>
      <c r="G2046" t="s">
        <v>124</v>
      </c>
      <c r="H2046" t="s">
        <v>125</v>
      </c>
      <c r="I2046">
        <v>3</v>
      </c>
      <c r="J2046" t="s">
        <v>170</v>
      </c>
      <c r="K2046" t="s">
        <v>125</v>
      </c>
      <c r="L2046" t="s">
        <v>4754</v>
      </c>
      <c r="U2046" t="s">
        <v>149</v>
      </c>
      <c r="W2046" t="s">
        <v>155</v>
      </c>
      <c r="X2046">
        <v>3</v>
      </c>
      <c r="AC2046" t="s">
        <v>209</v>
      </c>
      <c r="AE2046" t="s">
        <v>137</v>
      </c>
    </row>
    <row r="2047" spans="1:78" hidden="1" x14ac:dyDescent="0.2">
      <c r="A2047" t="s">
        <v>119</v>
      </c>
      <c r="B2047" t="s">
        <v>120</v>
      </c>
      <c r="C2047" t="s">
        <v>4755</v>
      </c>
      <c r="D2047">
        <v>4</v>
      </c>
      <c r="E2047" t="s">
        <v>4756</v>
      </c>
      <c r="F2047" t="s">
        <v>2120</v>
      </c>
      <c r="G2047" t="s">
        <v>124</v>
      </c>
      <c r="H2047" t="s">
        <v>125</v>
      </c>
      <c r="I2047">
        <v>0</v>
      </c>
      <c r="J2047" t="s">
        <v>126</v>
      </c>
      <c r="K2047" t="s">
        <v>125</v>
      </c>
      <c r="L2047" t="s">
        <v>4757</v>
      </c>
      <c r="U2047" t="s">
        <v>149</v>
      </c>
      <c r="W2047" t="s">
        <v>155</v>
      </c>
      <c r="X2047">
        <v>3</v>
      </c>
      <c r="AC2047" t="s">
        <v>209</v>
      </c>
      <c r="AE2047" t="s">
        <v>137</v>
      </c>
    </row>
    <row r="2048" spans="1:78" hidden="1" x14ac:dyDescent="0.2">
      <c r="A2048" t="s">
        <v>119</v>
      </c>
      <c r="B2048" t="s">
        <v>120</v>
      </c>
      <c r="C2048" t="s">
        <v>4755</v>
      </c>
      <c r="D2048">
        <v>9</v>
      </c>
      <c r="E2048" t="s">
        <v>4756</v>
      </c>
      <c r="F2048" t="s">
        <v>2120</v>
      </c>
      <c r="G2048" t="s">
        <v>124</v>
      </c>
      <c r="H2048" t="s">
        <v>125</v>
      </c>
      <c r="I2048">
        <v>4</v>
      </c>
      <c r="J2048" t="s">
        <v>161</v>
      </c>
      <c r="K2048" t="s">
        <v>125</v>
      </c>
      <c r="L2048" t="s">
        <v>4758</v>
      </c>
      <c r="U2048" t="s">
        <v>149</v>
      </c>
      <c r="W2048" t="s">
        <v>155</v>
      </c>
      <c r="X2048">
        <v>3</v>
      </c>
      <c r="AC2048" t="s">
        <v>209</v>
      </c>
      <c r="AE2048" t="s">
        <v>137</v>
      </c>
    </row>
    <row r="2049" spans="1:78" hidden="1" x14ac:dyDescent="0.2">
      <c r="A2049" t="s">
        <v>119</v>
      </c>
      <c r="B2049" t="s">
        <v>120</v>
      </c>
      <c r="C2049" t="s">
        <v>4755</v>
      </c>
      <c r="D2049">
        <v>14</v>
      </c>
      <c r="E2049" t="s">
        <v>4756</v>
      </c>
      <c r="F2049" t="s">
        <v>2120</v>
      </c>
      <c r="G2049" t="s">
        <v>124</v>
      </c>
      <c r="H2049" t="s">
        <v>125</v>
      </c>
      <c r="I2049">
        <v>4</v>
      </c>
      <c r="J2049" t="s">
        <v>161</v>
      </c>
      <c r="K2049" t="s">
        <v>125</v>
      </c>
      <c r="L2049" t="s">
        <v>4759</v>
      </c>
      <c r="U2049" t="s">
        <v>149</v>
      </c>
      <c r="W2049" t="s">
        <v>155</v>
      </c>
      <c r="X2049">
        <v>3</v>
      </c>
      <c r="AC2049" t="s">
        <v>209</v>
      </c>
      <c r="AE2049" t="s">
        <v>137</v>
      </c>
    </row>
    <row r="2050" spans="1:78" x14ac:dyDescent="0.2">
      <c r="A2050" t="s">
        <v>119</v>
      </c>
      <c r="B2050" t="s">
        <v>120</v>
      </c>
      <c r="C2050" t="s">
        <v>4760</v>
      </c>
      <c r="D2050">
        <v>2</v>
      </c>
      <c r="E2050" t="s">
        <v>4756</v>
      </c>
      <c r="F2050" t="s">
        <v>2120</v>
      </c>
      <c r="G2050" t="s">
        <v>124</v>
      </c>
      <c r="H2050" t="s">
        <v>125</v>
      </c>
      <c r="I2050">
        <v>0</v>
      </c>
      <c r="J2050" t="s">
        <v>126</v>
      </c>
      <c r="K2050" t="s">
        <v>125</v>
      </c>
      <c r="L2050" t="s">
        <v>4761</v>
      </c>
      <c r="U2050" t="s">
        <v>149</v>
      </c>
      <c r="W2050" t="s">
        <v>155</v>
      </c>
      <c r="X2050">
        <v>3</v>
      </c>
      <c r="AC2050" t="s">
        <v>136</v>
      </c>
      <c r="AE2050" t="s">
        <v>137</v>
      </c>
    </row>
    <row r="2051" spans="1:78" hidden="1" x14ac:dyDescent="0.2">
      <c r="A2051" t="s">
        <v>119</v>
      </c>
      <c r="B2051" t="s">
        <v>120</v>
      </c>
      <c r="C2051" t="s">
        <v>4760</v>
      </c>
      <c r="D2051">
        <v>7</v>
      </c>
      <c r="E2051" t="s">
        <v>4756</v>
      </c>
      <c r="F2051" t="s">
        <v>2120</v>
      </c>
      <c r="G2051" t="s">
        <v>124</v>
      </c>
      <c r="H2051" t="s">
        <v>125</v>
      </c>
      <c r="I2051">
        <v>2</v>
      </c>
      <c r="J2051" t="s">
        <v>161</v>
      </c>
      <c r="K2051" t="s">
        <v>125</v>
      </c>
      <c r="L2051" t="s">
        <v>4762</v>
      </c>
      <c r="U2051" t="s">
        <v>149</v>
      </c>
      <c r="W2051" t="s">
        <v>155</v>
      </c>
      <c r="X2051">
        <v>3</v>
      </c>
      <c r="AC2051" t="s">
        <v>209</v>
      </c>
      <c r="AE2051" t="s">
        <v>137</v>
      </c>
    </row>
    <row r="2052" spans="1:78" hidden="1" x14ac:dyDescent="0.2">
      <c r="A2052" t="s">
        <v>119</v>
      </c>
      <c r="B2052" t="s">
        <v>120</v>
      </c>
      <c r="C2052" t="s">
        <v>4763</v>
      </c>
      <c r="D2052">
        <v>2</v>
      </c>
      <c r="E2052" t="s">
        <v>4559</v>
      </c>
      <c r="F2052" t="s">
        <v>1399</v>
      </c>
      <c r="G2052" t="s">
        <v>124</v>
      </c>
      <c r="H2052" t="s">
        <v>125</v>
      </c>
      <c r="I2052">
        <v>0</v>
      </c>
      <c r="J2052" t="s">
        <v>126</v>
      </c>
      <c r="K2052" t="s">
        <v>125</v>
      </c>
      <c r="L2052" t="s">
        <v>4764</v>
      </c>
      <c r="U2052" t="s">
        <v>149</v>
      </c>
      <c r="W2052" t="s">
        <v>155</v>
      </c>
      <c r="X2052">
        <v>3</v>
      </c>
      <c r="AC2052" t="s">
        <v>209</v>
      </c>
      <c r="AE2052" t="s">
        <v>137</v>
      </c>
    </row>
    <row r="2053" spans="1:78" hidden="1" x14ac:dyDescent="0.2">
      <c r="A2053" t="s">
        <v>119</v>
      </c>
      <c r="B2053" t="s">
        <v>120</v>
      </c>
      <c r="C2053" t="s">
        <v>4765</v>
      </c>
      <c r="D2053">
        <v>3</v>
      </c>
      <c r="E2053" t="s">
        <v>512</v>
      </c>
      <c r="F2053" t="s">
        <v>146</v>
      </c>
      <c r="G2053" t="s">
        <v>124</v>
      </c>
      <c r="H2053" t="s">
        <v>125</v>
      </c>
      <c r="I2053">
        <v>0</v>
      </c>
      <c r="J2053" t="s">
        <v>126</v>
      </c>
      <c r="K2053" t="s">
        <v>125</v>
      </c>
      <c r="L2053" t="s">
        <v>4766</v>
      </c>
      <c r="U2053" t="s">
        <v>149</v>
      </c>
      <c r="W2053" t="s">
        <v>155</v>
      </c>
      <c r="X2053">
        <v>3</v>
      </c>
      <c r="AC2053" t="s">
        <v>209</v>
      </c>
      <c r="AE2053" t="s">
        <v>137</v>
      </c>
    </row>
    <row r="2054" spans="1:78" hidden="1" x14ac:dyDescent="0.2">
      <c r="A2054" t="s">
        <v>119</v>
      </c>
      <c r="B2054" t="s">
        <v>120</v>
      </c>
      <c r="C2054" t="s">
        <v>4767</v>
      </c>
      <c r="D2054">
        <v>10</v>
      </c>
      <c r="E2054" t="s">
        <v>4488</v>
      </c>
      <c r="F2054" t="s">
        <v>123</v>
      </c>
      <c r="G2054" t="s">
        <v>124</v>
      </c>
      <c r="H2054" t="s">
        <v>125</v>
      </c>
      <c r="I2054">
        <v>7</v>
      </c>
      <c r="J2054" t="s">
        <v>170</v>
      </c>
      <c r="K2054" t="s">
        <v>125</v>
      </c>
      <c r="L2054" t="s">
        <v>4768</v>
      </c>
      <c r="U2054" t="s">
        <v>149</v>
      </c>
      <c r="W2054" t="s">
        <v>135</v>
      </c>
      <c r="X2054">
        <v>3</v>
      </c>
      <c r="AC2054" t="s">
        <v>209</v>
      </c>
      <c r="AE2054" t="s">
        <v>137</v>
      </c>
    </row>
    <row r="2055" spans="1:78" hidden="1" x14ac:dyDescent="0.2">
      <c r="A2055" t="s">
        <v>119</v>
      </c>
      <c r="B2055" t="s">
        <v>120</v>
      </c>
      <c r="C2055" t="s">
        <v>4767</v>
      </c>
      <c r="D2055">
        <v>13</v>
      </c>
      <c r="E2055" t="s">
        <v>4488</v>
      </c>
      <c r="F2055" t="s">
        <v>123</v>
      </c>
      <c r="G2055" t="s">
        <v>124</v>
      </c>
      <c r="H2055" t="s">
        <v>125</v>
      </c>
      <c r="I2055">
        <v>0</v>
      </c>
      <c r="J2055" t="s">
        <v>126</v>
      </c>
      <c r="K2055" t="s">
        <v>125</v>
      </c>
      <c r="L2055" t="s">
        <v>4769</v>
      </c>
      <c r="U2055" t="s">
        <v>149</v>
      </c>
      <c r="W2055" t="s">
        <v>135</v>
      </c>
      <c r="X2055">
        <v>3</v>
      </c>
      <c r="AC2055" t="s">
        <v>209</v>
      </c>
      <c r="AE2055" t="s">
        <v>137</v>
      </c>
    </row>
    <row r="2056" spans="1:78" x14ac:dyDescent="0.2">
      <c r="A2056" t="s">
        <v>119</v>
      </c>
      <c r="B2056" t="s">
        <v>120</v>
      </c>
      <c r="C2056" t="s">
        <v>4767</v>
      </c>
      <c r="D2056">
        <v>17</v>
      </c>
      <c r="E2056" t="s">
        <v>3777</v>
      </c>
      <c r="F2056" t="s">
        <v>390</v>
      </c>
      <c r="G2056" t="s">
        <v>124</v>
      </c>
      <c r="H2056" t="s">
        <v>125</v>
      </c>
      <c r="I2056">
        <v>13</v>
      </c>
      <c r="J2056" t="s">
        <v>161</v>
      </c>
      <c r="K2056" t="s">
        <v>125</v>
      </c>
      <c r="L2056" t="s">
        <v>4770</v>
      </c>
      <c r="U2056" t="s">
        <v>149</v>
      </c>
      <c r="W2056" t="s">
        <v>155</v>
      </c>
      <c r="X2056">
        <v>1</v>
      </c>
      <c r="AC2056" t="s">
        <v>136</v>
      </c>
      <c r="AE2056" t="s">
        <v>137</v>
      </c>
    </row>
    <row r="2057" spans="1:78" x14ac:dyDescent="0.2">
      <c r="A2057" t="s">
        <v>119</v>
      </c>
      <c r="B2057" t="s">
        <v>120</v>
      </c>
      <c r="C2057" t="s">
        <v>4771</v>
      </c>
      <c r="D2057">
        <v>4</v>
      </c>
      <c r="E2057" t="s">
        <v>3317</v>
      </c>
      <c r="F2057" t="s">
        <v>3318</v>
      </c>
      <c r="G2057" t="s">
        <v>124</v>
      </c>
      <c r="H2057" t="s">
        <v>125</v>
      </c>
      <c r="I2057">
        <v>0</v>
      </c>
      <c r="J2057" t="s">
        <v>126</v>
      </c>
      <c r="K2057" t="s">
        <v>125</v>
      </c>
      <c r="L2057" t="s">
        <v>4772</v>
      </c>
      <c r="U2057" t="s">
        <v>149</v>
      </c>
      <c r="W2057" t="s">
        <v>135</v>
      </c>
      <c r="X2057">
        <v>3</v>
      </c>
      <c r="AC2057" t="s">
        <v>136</v>
      </c>
      <c r="AE2057" t="s">
        <v>137</v>
      </c>
    </row>
    <row r="2058" spans="1:78" hidden="1" x14ac:dyDescent="0.2">
      <c r="A2058" t="s">
        <v>119</v>
      </c>
      <c r="B2058" t="s">
        <v>120</v>
      </c>
      <c r="C2058" t="s">
        <v>4773</v>
      </c>
      <c r="D2058">
        <v>1</v>
      </c>
      <c r="E2058" t="s">
        <v>4774</v>
      </c>
      <c r="F2058" t="s">
        <v>2202</v>
      </c>
      <c r="G2058" t="s">
        <v>124</v>
      </c>
      <c r="H2058" t="s">
        <v>125</v>
      </c>
      <c r="I2058">
        <v>0</v>
      </c>
      <c r="J2058" t="s">
        <v>126</v>
      </c>
      <c r="K2058" t="s">
        <v>125</v>
      </c>
      <c r="L2058" t="s">
        <v>4775</v>
      </c>
    </row>
    <row r="2059" spans="1:78" hidden="1" x14ac:dyDescent="0.2">
      <c r="A2059" t="s">
        <v>119</v>
      </c>
      <c r="B2059" t="s">
        <v>120</v>
      </c>
      <c r="C2059" t="s">
        <v>4776</v>
      </c>
      <c r="D2059">
        <v>1</v>
      </c>
      <c r="E2059" t="s">
        <v>4774</v>
      </c>
      <c r="F2059" t="s">
        <v>2202</v>
      </c>
      <c r="G2059" t="s">
        <v>124</v>
      </c>
      <c r="H2059" t="s">
        <v>125</v>
      </c>
      <c r="I2059">
        <v>0</v>
      </c>
      <c r="J2059" t="s">
        <v>126</v>
      </c>
      <c r="K2059" t="s">
        <v>125</v>
      </c>
      <c r="L2059" t="s">
        <v>4777</v>
      </c>
    </row>
    <row r="2060" spans="1:78" hidden="1" x14ac:dyDescent="0.2">
      <c r="A2060" t="s">
        <v>119</v>
      </c>
      <c r="B2060" t="s">
        <v>120</v>
      </c>
      <c r="C2060" t="s">
        <v>4778</v>
      </c>
      <c r="D2060">
        <v>3</v>
      </c>
      <c r="E2060" t="s">
        <v>207</v>
      </c>
      <c r="F2060" t="s">
        <v>146</v>
      </c>
      <c r="G2060" t="s">
        <v>124</v>
      </c>
      <c r="H2060" t="s">
        <v>125</v>
      </c>
      <c r="I2060">
        <v>0</v>
      </c>
      <c r="J2060" t="s">
        <v>126</v>
      </c>
      <c r="K2060" t="s">
        <v>125</v>
      </c>
      <c r="L2060" t="s">
        <v>4779</v>
      </c>
      <c r="U2060" t="s">
        <v>149</v>
      </c>
      <c r="W2060" t="s">
        <v>135</v>
      </c>
      <c r="X2060">
        <v>3</v>
      </c>
      <c r="AC2060" t="s">
        <v>209</v>
      </c>
      <c r="AE2060" t="s">
        <v>137</v>
      </c>
    </row>
    <row r="2061" spans="1:78" hidden="1" x14ac:dyDescent="0.2">
      <c r="A2061" t="s">
        <v>119</v>
      </c>
      <c r="B2061" t="s">
        <v>120</v>
      </c>
      <c r="C2061" t="s">
        <v>4780</v>
      </c>
      <c r="D2061">
        <v>4</v>
      </c>
      <c r="E2061" t="s">
        <v>4781</v>
      </c>
      <c r="F2061" t="s">
        <v>4309</v>
      </c>
      <c r="G2061" t="s">
        <v>124</v>
      </c>
      <c r="H2061" t="s">
        <v>125</v>
      </c>
      <c r="I2061">
        <v>0</v>
      </c>
      <c r="J2061" t="s">
        <v>126</v>
      </c>
      <c r="K2061" t="s">
        <v>125</v>
      </c>
      <c r="L2061" t="s">
        <v>4782</v>
      </c>
      <c r="T2061" t="s">
        <v>142</v>
      </c>
      <c r="W2061" t="s">
        <v>155</v>
      </c>
      <c r="AG2061">
        <v>3</v>
      </c>
      <c r="AH2061" t="s">
        <v>160</v>
      </c>
      <c r="AI2061" t="s">
        <v>146</v>
      </c>
      <c r="AJ2061" t="s">
        <v>131</v>
      </c>
      <c r="AK2061" t="s">
        <v>125</v>
      </c>
      <c r="AL2061">
        <v>4</v>
      </c>
      <c r="AM2061" t="s">
        <v>132</v>
      </c>
      <c r="AN2061" t="s">
        <v>125</v>
      </c>
      <c r="AO2061" t="s">
        <v>4783</v>
      </c>
      <c r="BP2061" t="s">
        <v>149</v>
      </c>
      <c r="BR2061" t="s">
        <v>155</v>
      </c>
      <c r="BS2061">
        <v>3</v>
      </c>
      <c r="BX2061" t="s">
        <v>136</v>
      </c>
      <c r="BZ2061" t="s">
        <v>137</v>
      </c>
    </row>
    <row r="2062" spans="1:78" hidden="1" x14ac:dyDescent="0.2">
      <c r="A2062" t="s">
        <v>119</v>
      </c>
      <c r="B2062" t="s">
        <v>120</v>
      </c>
      <c r="C2062" t="s">
        <v>4784</v>
      </c>
      <c r="D2062">
        <v>6</v>
      </c>
      <c r="E2062" t="s">
        <v>4781</v>
      </c>
      <c r="F2062" t="s">
        <v>4309</v>
      </c>
      <c r="G2062" t="s">
        <v>124</v>
      </c>
      <c r="H2062" t="s">
        <v>125</v>
      </c>
      <c r="I2062">
        <v>0</v>
      </c>
      <c r="J2062" t="s">
        <v>126</v>
      </c>
      <c r="K2062" t="s">
        <v>125</v>
      </c>
      <c r="L2062" t="s">
        <v>4785</v>
      </c>
      <c r="T2062" t="s">
        <v>142</v>
      </c>
      <c r="W2062" t="s">
        <v>155</v>
      </c>
      <c r="AG2062">
        <v>5</v>
      </c>
      <c r="AH2062" t="s">
        <v>160</v>
      </c>
      <c r="AI2062" t="s">
        <v>146</v>
      </c>
      <c r="AJ2062" t="s">
        <v>131</v>
      </c>
      <c r="AK2062" t="s">
        <v>125</v>
      </c>
      <c r="AL2062">
        <v>6</v>
      </c>
      <c r="AM2062" t="s">
        <v>132</v>
      </c>
      <c r="AN2062" t="s">
        <v>125</v>
      </c>
      <c r="AO2062" t="s">
        <v>4786</v>
      </c>
      <c r="BP2062" t="s">
        <v>149</v>
      </c>
      <c r="BR2062" t="s">
        <v>155</v>
      </c>
      <c r="BS2062">
        <v>3</v>
      </c>
      <c r="BX2062" t="s">
        <v>136</v>
      </c>
      <c r="BZ2062" t="s">
        <v>137</v>
      </c>
    </row>
    <row r="2063" spans="1:78" x14ac:dyDescent="0.2">
      <c r="A2063" t="s">
        <v>119</v>
      </c>
      <c r="B2063" t="s">
        <v>120</v>
      </c>
      <c r="C2063" t="s">
        <v>4784</v>
      </c>
      <c r="D2063">
        <v>11</v>
      </c>
      <c r="E2063" t="s">
        <v>3947</v>
      </c>
      <c r="F2063" t="s">
        <v>198</v>
      </c>
      <c r="G2063" t="s">
        <v>124</v>
      </c>
      <c r="H2063" t="s">
        <v>125</v>
      </c>
      <c r="I2063">
        <v>6</v>
      </c>
      <c r="J2063" t="s">
        <v>161</v>
      </c>
      <c r="K2063" t="s">
        <v>125</v>
      </c>
      <c r="L2063" t="s">
        <v>4787</v>
      </c>
      <c r="U2063" t="s">
        <v>149</v>
      </c>
      <c r="W2063" t="s">
        <v>155</v>
      </c>
      <c r="X2063">
        <v>1</v>
      </c>
      <c r="AC2063" t="s">
        <v>136</v>
      </c>
      <c r="AE2063" t="s">
        <v>137</v>
      </c>
    </row>
    <row r="2064" spans="1:78" hidden="1" x14ac:dyDescent="0.2">
      <c r="A2064" t="s">
        <v>119</v>
      </c>
      <c r="B2064" t="s">
        <v>120</v>
      </c>
      <c r="C2064" t="s">
        <v>4784</v>
      </c>
      <c r="D2064">
        <v>15</v>
      </c>
      <c r="E2064" t="s">
        <v>4781</v>
      </c>
      <c r="F2064" t="s">
        <v>4309</v>
      </c>
      <c r="G2064" t="s">
        <v>124</v>
      </c>
      <c r="H2064" t="s">
        <v>125</v>
      </c>
      <c r="I2064">
        <v>11</v>
      </c>
      <c r="J2064" t="s">
        <v>161</v>
      </c>
      <c r="K2064" t="s">
        <v>125</v>
      </c>
      <c r="L2064" t="s">
        <v>4788</v>
      </c>
      <c r="T2064" t="s">
        <v>142</v>
      </c>
      <c r="W2064" t="s">
        <v>155</v>
      </c>
      <c r="AG2064">
        <v>14</v>
      </c>
      <c r="AH2064" t="s">
        <v>160</v>
      </c>
      <c r="AI2064" t="s">
        <v>146</v>
      </c>
      <c r="AJ2064" t="s">
        <v>131</v>
      </c>
      <c r="AK2064" t="s">
        <v>125</v>
      </c>
      <c r="AL2064">
        <v>15</v>
      </c>
      <c r="AM2064" t="s">
        <v>132</v>
      </c>
      <c r="AN2064" t="s">
        <v>125</v>
      </c>
      <c r="AO2064" t="s">
        <v>4789</v>
      </c>
      <c r="BP2064" t="s">
        <v>149</v>
      </c>
      <c r="BR2064" t="s">
        <v>135</v>
      </c>
      <c r="BS2064">
        <v>1</v>
      </c>
      <c r="BX2064" t="s">
        <v>136</v>
      </c>
      <c r="BZ2064" t="s">
        <v>137</v>
      </c>
    </row>
    <row r="2065" spans="1:78" hidden="1" x14ac:dyDescent="0.2">
      <c r="A2065" t="s">
        <v>119</v>
      </c>
      <c r="B2065" t="s">
        <v>120</v>
      </c>
      <c r="C2065" t="s">
        <v>4790</v>
      </c>
      <c r="D2065">
        <v>5</v>
      </c>
      <c r="E2065" t="s">
        <v>4791</v>
      </c>
      <c r="F2065" t="s">
        <v>4309</v>
      </c>
      <c r="G2065" t="s">
        <v>124</v>
      </c>
      <c r="H2065" t="s">
        <v>125</v>
      </c>
      <c r="I2065">
        <v>0</v>
      </c>
      <c r="J2065" t="s">
        <v>126</v>
      </c>
      <c r="K2065" t="s">
        <v>125</v>
      </c>
      <c r="L2065" t="s">
        <v>4792</v>
      </c>
      <c r="T2065" t="s">
        <v>154</v>
      </c>
      <c r="W2065" t="s">
        <v>135</v>
      </c>
      <c r="AC2065" t="s">
        <v>143</v>
      </c>
      <c r="AE2065" t="s">
        <v>144</v>
      </c>
      <c r="AG2065">
        <v>4</v>
      </c>
      <c r="AH2065" t="s">
        <v>145</v>
      </c>
      <c r="AI2065" t="s">
        <v>146</v>
      </c>
      <c r="AJ2065" t="s">
        <v>131</v>
      </c>
      <c r="AK2065" t="s">
        <v>125</v>
      </c>
      <c r="AL2065">
        <v>5</v>
      </c>
      <c r="AM2065" t="s">
        <v>132</v>
      </c>
      <c r="AN2065" t="s">
        <v>125</v>
      </c>
      <c r="AO2065" t="s">
        <v>4793</v>
      </c>
      <c r="BP2065" t="s">
        <v>149</v>
      </c>
      <c r="BR2065" t="s">
        <v>135</v>
      </c>
      <c r="BS2065">
        <v>3</v>
      </c>
      <c r="BX2065" t="s">
        <v>136</v>
      </c>
      <c r="BZ2065" t="s">
        <v>137</v>
      </c>
    </row>
    <row r="2066" spans="1:78" hidden="1" x14ac:dyDescent="0.2">
      <c r="A2066" t="s">
        <v>119</v>
      </c>
      <c r="B2066" t="s">
        <v>120</v>
      </c>
      <c r="C2066" t="s">
        <v>4794</v>
      </c>
      <c r="D2066">
        <v>4</v>
      </c>
      <c r="E2066" t="s">
        <v>4795</v>
      </c>
      <c r="F2066" t="s">
        <v>4796</v>
      </c>
      <c r="G2066" t="s">
        <v>124</v>
      </c>
      <c r="H2066" t="s">
        <v>125</v>
      </c>
      <c r="I2066">
        <v>0</v>
      </c>
      <c r="J2066" t="s">
        <v>126</v>
      </c>
      <c r="K2066" t="s">
        <v>125</v>
      </c>
      <c r="L2066" t="s">
        <v>4797</v>
      </c>
      <c r="T2066" t="s">
        <v>154</v>
      </c>
      <c r="W2066" t="s">
        <v>135</v>
      </c>
      <c r="AC2066" t="s">
        <v>143</v>
      </c>
      <c r="AE2066" t="s">
        <v>144</v>
      </c>
      <c r="AG2066">
        <v>3</v>
      </c>
      <c r="AH2066" t="s">
        <v>4798</v>
      </c>
      <c r="AI2066" t="s">
        <v>146</v>
      </c>
      <c r="AJ2066" t="s">
        <v>131</v>
      </c>
      <c r="AK2066" t="s">
        <v>125</v>
      </c>
      <c r="AL2066">
        <v>4</v>
      </c>
      <c r="AM2066" t="s">
        <v>147</v>
      </c>
      <c r="AN2066" t="s">
        <v>125</v>
      </c>
      <c r="AO2066" t="s">
        <v>4799</v>
      </c>
      <c r="BP2066" t="s">
        <v>149</v>
      </c>
      <c r="BR2066" t="s">
        <v>135</v>
      </c>
      <c r="BS2066">
        <v>3</v>
      </c>
      <c r="BX2066" t="s">
        <v>143</v>
      </c>
      <c r="BZ2066" t="s">
        <v>137</v>
      </c>
    </row>
    <row r="2067" spans="1:78" hidden="1" x14ac:dyDescent="0.2">
      <c r="A2067" t="s">
        <v>119</v>
      </c>
      <c r="B2067" t="s">
        <v>120</v>
      </c>
      <c r="C2067" t="s">
        <v>4800</v>
      </c>
      <c r="D2067">
        <v>2</v>
      </c>
      <c r="E2067" t="s">
        <v>4795</v>
      </c>
      <c r="F2067" t="s">
        <v>4796</v>
      </c>
      <c r="G2067" t="s">
        <v>124</v>
      </c>
      <c r="H2067" t="s">
        <v>125</v>
      </c>
      <c r="I2067">
        <v>0</v>
      </c>
      <c r="J2067" t="s">
        <v>126</v>
      </c>
      <c r="K2067" t="s">
        <v>125</v>
      </c>
      <c r="L2067" t="s">
        <v>4801</v>
      </c>
      <c r="T2067" t="s">
        <v>154</v>
      </c>
      <c r="W2067" t="s">
        <v>135</v>
      </c>
      <c r="AC2067" t="s">
        <v>143</v>
      </c>
      <c r="AE2067" t="s">
        <v>144</v>
      </c>
      <c r="AG2067">
        <v>1</v>
      </c>
      <c r="AH2067" t="s">
        <v>4798</v>
      </c>
      <c r="AI2067" t="s">
        <v>146</v>
      </c>
      <c r="AJ2067" t="s">
        <v>131</v>
      </c>
      <c r="AK2067" t="s">
        <v>125</v>
      </c>
      <c r="AL2067">
        <v>2</v>
      </c>
      <c r="AM2067" t="s">
        <v>147</v>
      </c>
      <c r="AN2067" t="s">
        <v>125</v>
      </c>
      <c r="AO2067" t="s">
        <v>4802</v>
      </c>
      <c r="BP2067" t="s">
        <v>149</v>
      </c>
      <c r="BR2067" t="s">
        <v>135</v>
      </c>
      <c r="BS2067">
        <v>3</v>
      </c>
      <c r="BX2067" t="s">
        <v>143</v>
      </c>
      <c r="BZ2067" t="s">
        <v>137</v>
      </c>
    </row>
    <row r="2068" spans="1:78" x14ac:dyDescent="0.2">
      <c r="A2068" t="s">
        <v>119</v>
      </c>
      <c r="B2068" t="s">
        <v>120</v>
      </c>
      <c r="C2068" t="s">
        <v>4803</v>
      </c>
      <c r="D2068">
        <v>5</v>
      </c>
      <c r="E2068" t="s">
        <v>160</v>
      </c>
      <c r="F2068" t="s">
        <v>146</v>
      </c>
      <c r="G2068" t="s">
        <v>124</v>
      </c>
      <c r="H2068" t="s">
        <v>125</v>
      </c>
      <c r="I2068">
        <v>0</v>
      </c>
      <c r="J2068" t="s">
        <v>126</v>
      </c>
      <c r="K2068" t="s">
        <v>125</v>
      </c>
      <c r="L2068" t="s">
        <v>4804</v>
      </c>
      <c r="U2068" t="s">
        <v>149</v>
      </c>
      <c r="W2068" t="s">
        <v>155</v>
      </c>
      <c r="X2068">
        <v>3</v>
      </c>
      <c r="AC2068" t="s">
        <v>136</v>
      </c>
      <c r="AE2068" t="s">
        <v>137</v>
      </c>
    </row>
    <row r="2069" spans="1:78" hidden="1" x14ac:dyDescent="0.2">
      <c r="A2069" t="s">
        <v>119</v>
      </c>
      <c r="B2069" t="s">
        <v>120</v>
      </c>
      <c r="C2069" t="s">
        <v>4803</v>
      </c>
      <c r="D2069">
        <v>11</v>
      </c>
      <c r="E2069" t="s">
        <v>4805</v>
      </c>
      <c r="F2069" t="s">
        <v>1399</v>
      </c>
      <c r="G2069" t="s">
        <v>124</v>
      </c>
      <c r="H2069" t="s">
        <v>125</v>
      </c>
      <c r="I2069">
        <v>8</v>
      </c>
      <c r="J2069" t="s">
        <v>170</v>
      </c>
      <c r="K2069" t="s">
        <v>125</v>
      </c>
      <c r="L2069" t="s">
        <v>4806</v>
      </c>
      <c r="T2069" t="s">
        <v>142</v>
      </c>
      <c r="W2069" t="s">
        <v>155</v>
      </c>
      <c r="AG2069">
        <v>10</v>
      </c>
      <c r="AH2069" t="s">
        <v>3584</v>
      </c>
      <c r="AI2069" t="s">
        <v>1001</v>
      </c>
      <c r="AJ2069" t="s">
        <v>131</v>
      </c>
      <c r="AK2069" t="s">
        <v>125</v>
      </c>
      <c r="AL2069">
        <v>11</v>
      </c>
      <c r="AM2069" t="s">
        <v>147</v>
      </c>
      <c r="AN2069" t="s">
        <v>125</v>
      </c>
      <c r="AO2069" t="s">
        <v>4807</v>
      </c>
      <c r="BP2069" t="s">
        <v>149</v>
      </c>
      <c r="BR2069" t="s">
        <v>155</v>
      </c>
      <c r="BS2069">
        <v>3</v>
      </c>
      <c r="BX2069" t="s">
        <v>136</v>
      </c>
      <c r="BZ2069" t="s">
        <v>137</v>
      </c>
    </row>
    <row r="2070" spans="1:78" x14ac:dyDescent="0.2">
      <c r="A2070" t="s">
        <v>119</v>
      </c>
      <c r="B2070" t="s">
        <v>120</v>
      </c>
      <c r="C2070" t="s">
        <v>4808</v>
      </c>
      <c r="D2070">
        <v>1</v>
      </c>
      <c r="E2070" t="s">
        <v>3790</v>
      </c>
      <c r="F2070" t="s">
        <v>198</v>
      </c>
      <c r="G2070" t="s">
        <v>124</v>
      </c>
      <c r="H2070" t="s">
        <v>125</v>
      </c>
      <c r="I2070">
        <v>0</v>
      </c>
      <c r="J2070" t="s">
        <v>126</v>
      </c>
      <c r="K2070" t="s">
        <v>125</v>
      </c>
      <c r="L2070" t="s">
        <v>4809</v>
      </c>
      <c r="U2070" t="s">
        <v>209</v>
      </c>
      <c r="W2070" t="s">
        <v>155</v>
      </c>
      <c r="X2070">
        <v>2</v>
      </c>
      <c r="AC2070" t="s">
        <v>136</v>
      </c>
      <c r="AE2070" t="s">
        <v>137</v>
      </c>
    </row>
    <row r="2071" spans="1:78" x14ac:dyDescent="0.2">
      <c r="A2071" t="s">
        <v>119</v>
      </c>
      <c r="B2071" t="s">
        <v>120</v>
      </c>
      <c r="C2071" t="s">
        <v>4808</v>
      </c>
      <c r="D2071">
        <v>9</v>
      </c>
      <c r="E2071" t="s">
        <v>145</v>
      </c>
      <c r="F2071" t="s">
        <v>146</v>
      </c>
      <c r="G2071" t="s">
        <v>124</v>
      </c>
      <c r="H2071" t="s">
        <v>125</v>
      </c>
      <c r="I2071">
        <v>1</v>
      </c>
      <c r="J2071" t="s">
        <v>161</v>
      </c>
      <c r="K2071" t="s">
        <v>125</v>
      </c>
      <c r="L2071" t="s">
        <v>4810</v>
      </c>
      <c r="U2071" t="s">
        <v>149</v>
      </c>
      <c r="W2071" t="s">
        <v>135</v>
      </c>
      <c r="X2071">
        <v>3</v>
      </c>
      <c r="AC2071" t="s">
        <v>136</v>
      </c>
      <c r="AE2071" t="s">
        <v>137</v>
      </c>
    </row>
    <row r="2072" spans="1:78" x14ac:dyDescent="0.2">
      <c r="A2072" t="s">
        <v>119</v>
      </c>
      <c r="B2072" t="s">
        <v>120</v>
      </c>
      <c r="C2072" t="s">
        <v>4811</v>
      </c>
      <c r="D2072">
        <v>4</v>
      </c>
      <c r="E2072" t="s">
        <v>4812</v>
      </c>
      <c r="F2072" t="s">
        <v>4813</v>
      </c>
      <c r="G2072" t="s">
        <v>124</v>
      </c>
      <c r="H2072" t="s">
        <v>125</v>
      </c>
      <c r="I2072">
        <v>0</v>
      </c>
      <c r="J2072" t="s">
        <v>126</v>
      </c>
      <c r="K2072" t="s">
        <v>125</v>
      </c>
      <c r="L2072" t="s">
        <v>4814</v>
      </c>
      <c r="U2072" t="s">
        <v>149</v>
      </c>
      <c r="W2072" t="s">
        <v>155</v>
      </c>
      <c r="X2072">
        <v>3</v>
      </c>
      <c r="AC2072" t="s">
        <v>136</v>
      </c>
      <c r="AE2072" t="s">
        <v>137</v>
      </c>
    </row>
    <row r="2073" spans="1:78" hidden="1" x14ac:dyDescent="0.2">
      <c r="A2073" t="s">
        <v>119</v>
      </c>
      <c r="B2073" t="s">
        <v>120</v>
      </c>
      <c r="C2073" t="s">
        <v>4815</v>
      </c>
      <c r="D2073">
        <v>4</v>
      </c>
      <c r="E2073" t="s">
        <v>691</v>
      </c>
      <c r="F2073" t="s">
        <v>261</v>
      </c>
      <c r="G2073" t="s">
        <v>124</v>
      </c>
      <c r="H2073" t="s">
        <v>125</v>
      </c>
      <c r="I2073">
        <v>0</v>
      </c>
      <c r="J2073" t="s">
        <v>126</v>
      </c>
      <c r="K2073" t="s">
        <v>125</v>
      </c>
      <c r="L2073" t="s">
        <v>4816</v>
      </c>
      <c r="T2073" t="s">
        <v>154</v>
      </c>
      <c r="W2073" t="s">
        <v>135</v>
      </c>
      <c r="AC2073" t="s">
        <v>143</v>
      </c>
      <c r="AE2073" t="s">
        <v>144</v>
      </c>
      <c r="AG2073">
        <v>3</v>
      </c>
      <c r="AH2073" t="s">
        <v>614</v>
      </c>
      <c r="AI2073" t="s">
        <v>205</v>
      </c>
      <c r="AJ2073" t="s">
        <v>131</v>
      </c>
      <c r="AK2073" t="s">
        <v>125</v>
      </c>
      <c r="AL2073">
        <v>4</v>
      </c>
      <c r="AM2073" t="s">
        <v>132</v>
      </c>
      <c r="AN2073" t="s">
        <v>125</v>
      </c>
      <c r="AO2073" t="s">
        <v>4817</v>
      </c>
      <c r="BP2073" t="s">
        <v>149</v>
      </c>
      <c r="BR2073" t="s">
        <v>135</v>
      </c>
      <c r="BS2073">
        <v>3</v>
      </c>
      <c r="BX2073" t="s">
        <v>136</v>
      </c>
      <c r="BZ2073" t="s">
        <v>137</v>
      </c>
    </row>
    <row r="2074" spans="1:78" x14ac:dyDescent="0.2">
      <c r="A2074" t="s">
        <v>119</v>
      </c>
      <c r="B2074" t="s">
        <v>120</v>
      </c>
      <c r="C2074" t="s">
        <v>4818</v>
      </c>
      <c r="D2074">
        <v>3</v>
      </c>
      <c r="E2074" t="s">
        <v>145</v>
      </c>
      <c r="F2074" t="s">
        <v>146</v>
      </c>
      <c r="G2074" t="s">
        <v>124</v>
      </c>
      <c r="H2074" t="s">
        <v>125</v>
      </c>
      <c r="I2074">
        <v>1</v>
      </c>
      <c r="J2074" t="s">
        <v>170</v>
      </c>
      <c r="K2074" t="s">
        <v>125</v>
      </c>
      <c r="L2074" t="s">
        <v>4819</v>
      </c>
      <c r="U2074" t="s">
        <v>149</v>
      </c>
      <c r="W2074" t="s">
        <v>135</v>
      </c>
      <c r="X2074">
        <v>3</v>
      </c>
      <c r="AC2074" t="s">
        <v>136</v>
      </c>
      <c r="AE2074" t="s">
        <v>137</v>
      </c>
    </row>
    <row r="2075" spans="1:78" x14ac:dyDescent="0.2">
      <c r="A2075" t="s">
        <v>119</v>
      </c>
      <c r="B2075" t="s">
        <v>120</v>
      </c>
      <c r="C2075" t="s">
        <v>4820</v>
      </c>
      <c r="D2075">
        <v>5</v>
      </c>
      <c r="E2075" t="s">
        <v>2512</v>
      </c>
      <c r="F2075" t="s">
        <v>1399</v>
      </c>
      <c r="G2075" t="s">
        <v>124</v>
      </c>
      <c r="H2075" t="s">
        <v>125</v>
      </c>
      <c r="I2075">
        <v>0</v>
      </c>
      <c r="J2075" t="s">
        <v>126</v>
      </c>
      <c r="K2075" t="s">
        <v>125</v>
      </c>
      <c r="L2075" t="s">
        <v>4821</v>
      </c>
      <c r="U2075" t="s">
        <v>149</v>
      </c>
      <c r="W2075" t="s">
        <v>135</v>
      </c>
      <c r="X2075">
        <v>3</v>
      </c>
      <c r="AC2075" t="s">
        <v>136</v>
      </c>
      <c r="AE2075" t="s">
        <v>137</v>
      </c>
    </row>
    <row r="2076" spans="1:78" hidden="1" x14ac:dyDescent="0.2">
      <c r="A2076" t="s">
        <v>119</v>
      </c>
      <c r="B2076" t="s">
        <v>120</v>
      </c>
      <c r="C2076" t="s">
        <v>4822</v>
      </c>
      <c r="D2076">
        <v>6</v>
      </c>
      <c r="E2076" t="s">
        <v>4823</v>
      </c>
      <c r="F2076" t="s">
        <v>146</v>
      </c>
      <c r="G2076" t="s">
        <v>124</v>
      </c>
      <c r="H2076" t="s">
        <v>125</v>
      </c>
      <c r="I2076">
        <v>0</v>
      </c>
      <c r="J2076" t="s">
        <v>126</v>
      </c>
      <c r="K2076" t="s">
        <v>125</v>
      </c>
      <c r="L2076" t="s">
        <v>4824</v>
      </c>
      <c r="T2076" t="s">
        <v>154</v>
      </c>
      <c r="W2076" t="s">
        <v>155</v>
      </c>
      <c r="AC2076" t="s">
        <v>143</v>
      </c>
      <c r="AE2076" t="s">
        <v>144</v>
      </c>
      <c r="AG2076">
        <v>4</v>
      </c>
      <c r="AH2076" t="s">
        <v>160</v>
      </c>
      <c r="AI2076" t="s">
        <v>146</v>
      </c>
      <c r="AJ2076" t="s">
        <v>131</v>
      </c>
      <c r="AK2076" t="s">
        <v>125</v>
      </c>
      <c r="AL2076">
        <v>6</v>
      </c>
      <c r="AM2076" t="s">
        <v>338</v>
      </c>
      <c r="AN2076" t="s">
        <v>125</v>
      </c>
      <c r="AO2076" t="s">
        <v>4825</v>
      </c>
      <c r="BP2076" t="s">
        <v>149</v>
      </c>
      <c r="BR2076" t="s">
        <v>135</v>
      </c>
      <c r="BS2076">
        <v>1</v>
      </c>
      <c r="BX2076" t="s">
        <v>136</v>
      </c>
      <c r="BZ2076" t="s">
        <v>137</v>
      </c>
    </row>
    <row r="2077" spans="1:78" x14ac:dyDescent="0.2">
      <c r="A2077" t="s">
        <v>119</v>
      </c>
      <c r="B2077" t="s">
        <v>120</v>
      </c>
      <c r="C2077" t="s">
        <v>4822</v>
      </c>
      <c r="D2077">
        <v>21</v>
      </c>
      <c r="E2077" t="s">
        <v>145</v>
      </c>
      <c r="F2077" t="s">
        <v>146</v>
      </c>
      <c r="G2077" t="s">
        <v>124</v>
      </c>
      <c r="H2077" t="s">
        <v>125</v>
      </c>
      <c r="I2077">
        <v>17</v>
      </c>
      <c r="J2077" t="s">
        <v>170</v>
      </c>
      <c r="K2077" t="s">
        <v>125</v>
      </c>
      <c r="L2077" t="s">
        <v>4826</v>
      </c>
      <c r="U2077" t="s">
        <v>149</v>
      </c>
      <c r="W2077" t="s">
        <v>135</v>
      </c>
      <c r="X2077">
        <v>3</v>
      </c>
      <c r="AC2077" t="s">
        <v>136</v>
      </c>
      <c r="AE2077" t="s">
        <v>137</v>
      </c>
    </row>
    <row r="2078" spans="1:78" x14ac:dyDescent="0.2">
      <c r="A2078" t="s">
        <v>119</v>
      </c>
      <c r="B2078" t="s">
        <v>120</v>
      </c>
      <c r="C2078" t="s">
        <v>4827</v>
      </c>
      <c r="D2078">
        <v>2</v>
      </c>
      <c r="E2078" t="s">
        <v>145</v>
      </c>
      <c r="F2078" t="s">
        <v>146</v>
      </c>
      <c r="G2078" t="s">
        <v>124</v>
      </c>
      <c r="H2078" t="s">
        <v>125</v>
      </c>
      <c r="I2078">
        <v>0</v>
      </c>
      <c r="J2078" t="s">
        <v>126</v>
      </c>
      <c r="K2078" t="s">
        <v>125</v>
      </c>
      <c r="L2078" t="s">
        <v>4828</v>
      </c>
      <c r="U2078" t="s">
        <v>149</v>
      </c>
      <c r="W2078" t="s">
        <v>135</v>
      </c>
      <c r="X2078">
        <v>3</v>
      </c>
      <c r="AC2078" t="s">
        <v>136</v>
      </c>
      <c r="AE2078" t="s">
        <v>137</v>
      </c>
    </row>
    <row r="2079" spans="1:78" x14ac:dyDescent="0.2">
      <c r="A2079" t="s">
        <v>119</v>
      </c>
      <c r="B2079" t="s">
        <v>120</v>
      </c>
      <c r="C2079" t="s">
        <v>4827</v>
      </c>
      <c r="D2079">
        <v>9</v>
      </c>
      <c r="E2079" t="s">
        <v>3777</v>
      </c>
      <c r="F2079" t="s">
        <v>390</v>
      </c>
      <c r="G2079" t="s">
        <v>124</v>
      </c>
      <c r="H2079" t="s">
        <v>125</v>
      </c>
      <c r="I2079">
        <v>2</v>
      </c>
      <c r="J2079" t="s">
        <v>268</v>
      </c>
      <c r="K2079" t="s">
        <v>125</v>
      </c>
      <c r="L2079" t="s">
        <v>4829</v>
      </c>
      <c r="U2079" t="s">
        <v>209</v>
      </c>
      <c r="W2079" t="s">
        <v>155</v>
      </c>
      <c r="X2079">
        <v>1</v>
      </c>
      <c r="AC2079" t="s">
        <v>136</v>
      </c>
      <c r="AE2079" t="s">
        <v>137</v>
      </c>
    </row>
    <row r="2080" spans="1:78" x14ac:dyDescent="0.2">
      <c r="A2080" t="s">
        <v>119</v>
      </c>
      <c r="B2080" t="s">
        <v>120</v>
      </c>
      <c r="C2080" t="s">
        <v>4830</v>
      </c>
      <c r="D2080">
        <v>2</v>
      </c>
      <c r="E2080" t="s">
        <v>3638</v>
      </c>
      <c r="F2080" t="s">
        <v>202</v>
      </c>
      <c r="G2080" t="s">
        <v>124</v>
      </c>
      <c r="H2080" t="s">
        <v>125</v>
      </c>
      <c r="I2080">
        <v>0</v>
      </c>
      <c r="J2080" t="s">
        <v>126</v>
      </c>
      <c r="K2080" t="s">
        <v>125</v>
      </c>
      <c r="L2080" t="s">
        <v>4831</v>
      </c>
      <c r="U2080" t="s">
        <v>149</v>
      </c>
      <c r="W2080" t="s">
        <v>155</v>
      </c>
      <c r="X2080">
        <v>2</v>
      </c>
      <c r="AC2080" t="s">
        <v>136</v>
      </c>
      <c r="AE2080" t="s">
        <v>137</v>
      </c>
    </row>
    <row r="2081" spans="1:78" x14ac:dyDescent="0.2">
      <c r="A2081" t="s">
        <v>119</v>
      </c>
      <c r="B2081" t="s">
        <v>120</v>
      </c>
      <c r="C2081" t="s">
        <v>4832</v>
      </c>
      <c r="D2081">
        <v>4</v>
      </c>
      <c r="E2081" t="s">
        <v>1368</v>
      </c>
      <c r="F2081" t="s">
        <v>123</v>
      </c>
      <c r="G2081" t="s">
        <v>124</v>
      </c>
      <c r="H2081" t="s">
        <v>125</v>
      </c>
      <c r="I2081">
        <v>0</v>
      </c>
      <c r="J2081" t="s">
        <v>126</v>
      </c>
      <c r="K2081" t="s">
        <v>125</v>
      </c>
      <c r="L2081" t="s">
        <v>4833</v>
      </c>
      <c r="U2081" t="s">
        <v>149</v>
      </c>
      <c r="W2081" t="s">
        <v>135</v>
      </c>
      <c r="X2081">
        <v>3</v>
      </c>
      <c r="AC2081" t="s">
        <v>136</v>
      </c>
      <c r="AE2081" t="s">
        <v>137</v>
      </c>
    </row>
    <row r="2082" spans="1:78" x14ac:dyDescent="0.2">
      <c r="A2082" t="s">
        <v>119</v>
      </c>
      <c r="B2082" t="s">
        <v>120</v>
      </c>
      <c r="C2082" t="s">
        <v>4832</v>
      </c>
      <c r="D2082">
        <v>7</v>
      </c>
      <c r="E2082" t="s">
        <v>145</v>
      </c>
      <c r="F2082" t="s">
        <v>146</v>
      </c>
      <c r="G2082" t="s">
        <v>124</v>
      </c>
      <c r="H2082" t="s">
        <v>125</v>
      </c>
      <c r="I2082">
        <v>4</v>
      </c>
      <c r="J2082" t="s">
        <v>170</v>
      </c>
      <c r="K2082" t="s">
        <v>125</v>
      </c>
      <c r="L2082" t="s">
        <v>4834</v>
      </c>
      <c r="U2082" t="s">
        <v>149</v>
      </c>
      <c r="W2082" t="s">
        <v>135</v>
      </c>
      <c r="X2082">
        <v>3</v>
      </c>
      <c r="AC2082" t="s">
        <v>136</v>
      </c>
      <c r="AE2082" t="s">
        <v>137</v>
      </c>
    </row>
    <row r="2083" spans="1:78" hidden="1" x14ac:dyDescent="0.2">
      <c r="A2083" t="s">
        <v>119</v>
      </c>
      <c r="B2083" t="s">
        <v>120</v>
      </c>
      <c r="C2083" t="s">
        <v>4832</v>
      </c>
      <c r="D2083">
        <v>17</v>
      </c>
      <c r="E2083" t="s">
        <v>4835</v>
      </c>
      <c r="F2083" t="s">
        <v>123</v>
      </c>
      <c r="G2083" t="s">
        <v>124</v>
      </c>
      <c r="H2083" t="s">
        <v>125</v>
      </c>
      <c r="I2083">
        <v>12</v>
      </c>
      <c r="J2083" t="s">
        <v>170</v>
      </c>
      <c r="K2083" t="s">
        <v>125</v>
      </c>
      <c r="L2083" t="s">
        <v>4836</v>
      </c>
      <c r="AG2083">
        <v>15</v>
      </c>
      <c r="AH2083" t="s">
        <v>3584</v>
      </c>
      <c r="AI2083" t="s">
        <v>1001</v>
      </c>
      <c r="AJ2083" t="s">
        <v>131</v>
      </c>
      <c r="AK2083" t="s">
        <v>125</v>
      </c>
      <c r="AL2083">
        <v>17</v>
      </c>
      <c r="AM2083" t="s">
        <v>132</v>
      </c>
      <c r="AN2083" t="s">
        <v>125</v>
      </c>
      <c r="AO2083" t="s">
        <v>4837</v>
      </c>
      <c r="BP2083" t="s">
        <v>149</v>
      </c>
      <c r="BR2083" t="s">
        <v>155</v>
      </c>
      <c r="BS2083">
        <v>3</v>
      </c>
      <c r="BX2083" t="s">
        <v>136</v>
      </c>
      <c r="BZ2083" t="s">
        <v>137</v>
      </c>
    </row>
    <row r="2084" spans="1:78" hidden="1" x14ac:dyDescent="0.2">
      <c r="A2084" t="s">
        <v>119</v>
      </c>
      <c r="B2084" t="s">
        <v>120</v>
      </c>
      <c r="C2084" t="s">
        <v>4838</v>
      </c>
      <c r="D2084">
        <v>5</v>
      </c>
      <c r="E2084" t="s">
        <v>4839</v>
      </c>
      <c r="F2084" t="s">
        <v>1399</v>
      </c>
      <c r="G2084" t="s">
        <v>124</v>
      </c>
      <c r="H2084" t="s">
        <v>125</v>
      </c>
      <c r="I2084">
        <v>0</v>
      </c>
      <c r="J2084" t="s">
        <v>126</v>
      </c>
      <c r="K2084" t="s">
        <v>125</v>
      </c>
      <c r="L2084" t="s">
        <v>4840</v>
      </c>
      <c r="T2084" t="s">
        <v>142</v>
      </c>
      <c r="W2084" t="s">
        <v>135</v>
      </c>
      <c r="AC2084" t="s">
        <v>143</v>
      </c>
      <c r="AE2084" t="s">
        <v>144</v>
      </c>
      <c r="AG2084">
        <v>4</v>
      </c>
      <c r="AH2084" t="s">
        <v>1000</v>
      </c>
      <c r="AI2084" t="s">
        <v>1001</v>
      </c>
      <c r="AJ2084" t="s">
        <v>131</v>
      </c>
      <c r="AK2084" t="s">
        <v>125</v>
      </c>
      <c r="AL2084">
        <v>5</v>
      </c>
      <c r="AM2084" t="s">
        <v>147</v>
      </c>
      <c r="AN2084" t="s">
        <v>125</v>
      </c>
      <c r="AO2084" t="s">
        <v>4841</v>
      </c>
      <c r="BP2084" t="s">
        <v>149</v>
      </c>
      <c r="BR2084" t="s">
        <v>135</v>
      </c>
      <c r="BS2084">
        <v>3</v>
      </c>
      <c r="BX2084" t="s">
        <v>136</v>
      </c>
      <c r="BZ2084" t="s">
        <v>137</v>
      </c>
    </row>
    <row r="2085" spans="1:78" hidden="1" x14ac:dyDescent="0.2">
      <c r="A2085" t="s">
        <v>119</v>
      </c>
      <c r="B2085" t="s">
        <v>120</v>
      </c>
      <c r="C2085" t="s">
        <v>4842</v>
      </c>
      <c r="D2085">
        <v>10</v>
      </c>
      <c r="E2085" t="s">
        <v>261</v>
      </c>
      <c r="F2085" t="s">
        <v>261</v>
      </c>
      <c r="G2085" t="s">
        <v>124</v>
      </c>
      <c r="H2085" t="s">
        <v>125</v>
      </c>
      <c r="I2085">
        <v>5</v>
      </c>
      <c r="J2085" t="s">
        <v>161</v>
      </c>
      <c r="K2085" t="s">
        <v>125</v>
      </c>
      <c r="L2085" t="s">
        <v>4843</v>
      </c>
      <c r="AE2085" t="s">
        <v>128</v>
      </c>
    </row>
    <row r="2086" spans="1:78" x14ac:dyDescent="0.2">
      <c r="A2086" t="s">
        <v>119</v>
      </c>
      <c r="B2086" t="s">
        <v>120</v>
      </c>
      <c r="C2086" t="s">
        <v>4842</v>
      </c>
      <c r="D2086">
        <v>13</v>
      </c>
      <c r="E2086" t="s">
        <v>145</v>
      </c>
      <c r="F2086" t="s">
        <v>146</v>
      </c>
      <c r="G2086" t="s">
        <v>124</v>
      </c>
      <c r="H2086" t="s">
        <v>125</v>
      </c>
      <c r="I2086">
        <v>10</v>
      </c>
      <c r="J2086" t="s">
        <v>264</v>
      </c>
      <c r="K2086" t="s">
        <v>125</v>
      </c>
      <c r="L2086" t="s">
        <v>4844</v>
      </c>
      <c r="U2086" t="s">
        <v>149</v>
      </c>
      <c r="W2086" t="s">
        <v>135</v>
      </c>
      <c r="X2086">
        <v>3</v>
      </c>
      <c r="AC2086" t="s">
        <v>136</v>
      </c>
      <c r="AE2086" t="s">
        <v>137</v>
      </c>
    </row>
    <row r="2087" spans="1:78" x14ac:dyDescent="0.2">
      <c r="A2087" t="s">
        <v>119</v>
      </c>
      <c r="B2087" t="s">
        <v>120</v>
      </c>
      <c r="C2087" t="s">
        <v>4845</v>
      </c>
      <c r="D2087">
        <v>2</v>
      </c>
      <c r="E2087" t="s">
        <v>3777</v>
      </c>
      <c r="F2087" t="s">
        <v>390</v>
      </c>
      <c r="G2087" t="s">
        <v>124</v>
      </c>
      <c r="H2087" t="s">
        <v>125</v>
      </c>
      <c r="I2087">
        <v>0</v>
      </c>
      <c r="J2087" t="s">
        <v>126</v>
      </c>
      <c r="K2087" t="s">
        <v>125</v>
      </c>
      <c r="L2087" t="s">
        <v>4846</v>
      </c>
      <c r="U2087" t="s">
        <v>209</v>
      </c>
      <c r="W2087" t="s">
        <v>155</v>
      </c>
      <c r="X2087">
        <v>1</v>
      </c>
      <c r="AC2087" t="s">
        <v>136</v>
      </c>
      <c r="AE2087" t="s">
        <v>137</v>
      </c>
    </row>
    <row r="2088" spans="1:78" x14ac:dyDescent="0.2">
      <c r="A2088" t="s">
        <v>119</v>
      </c>
      <c r="B2088" t="s">
        <v>120</v>
      </c>
      <c r="C2088" t="s">
        <v>4847</v>
      </c>
      <c r="D2088">
        <v>4</v>
      </c>
      <c r="E2088" t="s">
        <v>4848</v>
      </c>
      <c r="F2088" t="s">
        <v>140</v>
      </c>
      <c r="G2088" t="s">
        <v>124</v>
      </c>
      <c r="H2088" t="s">
        <v>125</v>
      </c>
      <c r="I2088">
        <v>0</v>
      </c>
      <c r="J2088" t="s">
        <v>126</v>
      </c>
      <c r="K2088" t="s">
        <v>125</v>
      </c>
      <c r="L2088" t="s">
        <v>2420</v>
      </c>
      <c r="U2088" t="s">
        <v>149</v>
      </c>
      <c r="W2088" t="s">
        <v>155</v>
      </c>
      <c r="X2088">
        <v>3</v>
      </c>
      <c r="AC2088" t="s">
        <v>136</v>
      </c>
      <c r="AE2088" t="s">
        <v>137</v>
      </c>
    </row>
    <row r="2089" spans="1:78" hidden="1" x14ac:dyDescent="0.2">
      <c r="A2089" t="s">
        <v>119</v>
      </c>
      <c r="B2089" t="s">
        <v>120</v>
      </c>
      <c r="C2089" t="s">
        <v>4849</v>
      </c>
      <c r="D2089">
        <v>3</v>
      </c>
      <c r="E2089" t="s">
        <v>1237</v>
      </c>
      <c r="F2089" t="s">
        <v>123</v>
      </c>
      <c r="G2089" t="s">
        <v>124</v>
      </c>
      <c r="H2089" t="s">
        <v>125</v>
      </c>
      <c r="I2089">
        <v>0</v>
      </c>
      <c r="J2089" t="s">
        <v>126</v>
      </c>
      <c r="K2089" t="s">
        <v>125</v>
      </c>
      <c r="L2089" t="s">
        <v>2423</v>
      </c>
      <c r="U2089" t="s">
        <v>149</v>
      </c>
      <c r="W2089" t="s">
        <v>155</v>
      </c>
      <c r="X2089">
        <v>3</v>
      </c>
      <c r="AC2089" t="s">
        <v>209</v>
      </c>
      <c r="AE2089" t="s">
        <v>137</v>
      </c>
    </row>
    <row r="2090" spans="1:78" hidden="1" x14ac:dyDescent="0.2">
      <c r="A2090" t="s">
        <v>119</v>
      </c>
      <c r="B2090" t="s">
        <v>120</v>
      </c>
      <c r="C2090" t="s">
        <v>4850</v>
      </c>
      <c r="D2090">
        <v>2</v>
      </c>
      <c r="E2090" t="s">
        <v>512</v>
      </c>
      <c r="F2090" t="s">
        <v>146</v>
      </c>
      <c r="G2090" t="s">
        <v>124</v>
      </c>
      <c r="H2090" t="s">
        <v>125</v>
      </c>
      <c r="I2090">
        <v>0</v>
      </c>
      <c r="J2090" t="s">
        <v>126</v>
      </c>
      <c r="K2090" t="s">
        <v>125</v>
      </c>
      <c r="L2090" t="s">
        <v>2426</v>
      </c>
      <c r="U2090" t="s">
        <v>149</v>
      </c>
      <c r="W2090" t="s">
        <v>155</v>
      </c>
      <c r="X2090">
        <v>3</v>
      </c>
      <c r="AC2090" t="s">
        <v>209</v>
      </c>
      <c r="AE2090" t="s">
        <v>137</v>
      </c>
    </row>
    <row r="2091" spans="1:78" hidden="1" x14ac:dyDescent="0.2">
      <c r="A2091" t="s">
        <v>119</v>
      </c>
      <c r="B2091" t="s">
        <v>120</v>
      </c>
      <c r="C2091" t="s">
        <v>4851</v>
      </c>
      <c r="D2091">
        <v>3</v>
      </c>
      <c r="E2091" t="s">
        <v>1977</v>
      </c>
      <c r="F2091" t="s">
        <v>283</v>
      </c>
      <c r="G2091" t="s">
        <v>124</v>
      </c>
      <c r="H2091" t="s">
        <v>125</v>
      </c>
      <c r="I2091">
        <v>0</v>
      </c>
      <c r="J2091" t="s">
        <v>126</v>
      </c>
      <c r="K2091" t="s">
        <v>125</v>
      </c>
      <c r="L2091" t="s">
        <v>4852</v>
      </c>
      <c r="U2091" t="s">
        <v>149</v>
      </c>
      <c r="W2091" t="s">
        <v>135</v>
      </c>
      <c r="X2091">
        <v>3</v>
      </c>
      <c r="AC2091" t="s">
        <v>209</v>
      </c>
      <c r="AE2091" t="s">
        <v>137</v>
      </c>
    </row>
    <row r="2092" spans="1:78" hidden="1" x14ac:dyDescent="0.2">
      <c r="A2092" t="s">
        <v>119</v>
      </c>
      <c r="B2092" t="s">
        <v>120</v>
      </c>
      <c r="C2092" t="s">
        <v>4851</v>
      </c>
      <c r="D2092">
        <v>12</v>
      </c>
      <c r="E2092" t="s">
        <v>207</v>
      </c>
      <c r="F2092" t="s">
        <v>146</v>
      </c>
      <c r="G2092" t="s">
        <v>124</v>
      </c>
      <c r="H2092" t="s">
        <v>125</v>
      </c>
      <c r="I2092">
        <v>9</v>
      </c>
      <c r="J2092" t="s">
        <v>170</v>
      </c>
      <c r="K2092" t="s">
        <v>125</v>
      </c>
      <c r="L2092" t="s">
        <v>4853</v>
      </c>
      <c r="U2092" t="s">
        <v>149</v>
      </c>
      <c r="W2092" t="s">
        <v>135</v>
      </c>
      <c r="X2092">
        <v>3</v>
      </c>
      <c r="AC2092" t="s">
        <v>209</v>
      </c>
      <c r="AE2092" t="s">
        <v>137</v>
      </c>
    </row>
    <row r="2093" spans="1:78" hidden="1" x14ac:dyDescent="0.2">
      <c r="A2093" t="s">
        <v>119</v>
      </c>
      <c r="B2093" t="s">
        <v>120</v>
      </c>
      <c r="C2093" t="s">
        <v>4854</v>
      </c>
      <c r="D2093">
        <v>1</v>
      </c>
      <c r="E2093" t="s">
        <v>311</v>
      </c>
      <c r="F2093" t="s">
        <v>311</v>
      </c>
      <c r="G2093" t="s">
        <v>124</v>
      </c>
      <c r="H2093" t="s">
        <v>125</v>
      </c>
      <c r="I2093">
        <v>0</v>
      </c>
      <c r="J2093" t="s">
        <v>126</v>
      </c>
      <c r="K2093" t="s">
        <v>125</v>
      </c>
      <c r="L2093" t="s">
        <v>4855</v>
      </c>
      <c r="AE2093" t="s">
        <v>128</v>
      </c>
    </row>
    <row r="2094" spans="1:78" hidden="1" x14ac:dyDescent="0.2">
      <c r="A2094" t="s">
        <v>119</v>
      </c>
      <c r="B2094" t="s">
        <v>120</v>
      </c>
      <c r="C2094" t="s">
        <v>4854</v>
      </c>
      <c r="D2094">
        <v>3</v>
      </c>
      <c r="E2094" t="s">
        <v>861</v>
      </c>
      <c r="F2094" t="s">
        <v>140</v>
      </c>
      <c r="G2094" t="s">
        <v>124</v>
      </c>
      <c r="H2094" t="s">
        <v>125</v>
      </c>
      <c r="I2094">
        <v>1</v>
      </c>
      <c r="J2094" t="s">
        <v>294</v>
      </c>
      <c r="K2094" t="s">
        <v>125</v>
      </c>
      <c r="L2094" t="s">
        <v>4856</v>
      </c>
    </row>
    <row r="2095" spans="1:78" hidden="1" x14ac:dyDescent="0.2">
      <c r="A2095" t="s">
        <v>119</v>
      </c>
      <c r="B2095" t="s">
        <v>120</v>
      </c>
      <c r="C2095" t="s">
        <v>4854</v>
      </c>
      <c r="D2095">
        <v>5</v>
      </c>
      <c r="E2095" t="s">
        <v>178</v>
      </c>
      <c r="F2095" t="s">
        <v>178</v>
      </c>
      <c r="G2095" t="s">
        <v>124</v>
      </c>
      <c r="H2095" t="s">
        <v>125</v>
      </c>
      <c r="I2095">
        <v>1</v>
      </c>
      <c r="J2095" t="s">
        <v>294</v>
      </c>
      <c r="K2095" t="s">
        <v>125</v>
      </c>
      <c r="L2095" t="s">
        <v>4857</v>
      </c>
      <c r="AE2095" t="s">
        <v>128</v>
      </c>
    </row>
    <row r="2096" spans="1:78" hidden="1" x14ac:dyDescent="0.2">
      <c r="A2096" t="s">
        <v>119</v>
      </c>
      <c r="B2096" t="s">
        <v>120</v>
      </c>
      <c r="C2096" t="s">
        <v>4858</v>
      </c>
      <c r="D2096">
        <v>2</v>
      </c>
      <c r="E2096" t="s">
        <v>1237</v>
      </c>
      <c r="F2096" t="s">
        <v>123</v>
      </c>
      <c r="G2096" t="s">
        <v>124</v>
      </c>
      <c r="H2096" t="s">
        <v>125</v>
      </c>
      <c r="I2096">
        <v>0</v>
      </c>
      <c r="J2096" t="s">
        <v>126</v>
      </c>
      <c r="K2096" t="s">
        <v>125</v>
      </c>
      <c r="L2096" t="s">
        <v>4859</v>
      </c>
      <c r="U2096" t="s">
        <v>149</v>
      </c>
      <c r="W2096" t="s">
        <v>155</v>
      </c>
      <c r="X2096">
        <v>3</v>
      </c>
      <c r="AC2096" t="s">
        <v>209</v>
      </c>
      <c r="AE2096" t="s">
        <v>137</v>
      </c>
    </row>
    <row r="2097" spans="1:78" x14ac:dyDescent="0.2">
      <c r="A2097" t="s">
        <v>119</v>
      </c>
      <c r="B2097" t="s">
        <v>120</v>
      </c>
      <c r="C2097" t="s">
        <v>4860</v>
      </c>
      <c r="D2097">
        <v>1</v>
      </c>
      <c r="E2097" t="s">
        <v>4861</v>
      </c>
      <c r="F2097" t="s">
        <v>4862</v>
      </c>
      <c r="G2097" t="s">
        <v>124</v>
      </c>
      <c r="H2097" t="s">
        <v>125</v>
      </c>
      <c r="I2097">
        <v>0</v>
      </c>
      <c r="J2097" t="s">
        <v>126</v>
      </c>
      <c r="K2097" t="s">
        <v>125</v>
      </c>
      <c r="L2097" t="s">
        <v>4863</v>
      </c>
      <c r="U2097" t="s">
        <v>209</v>
      </c>
      <c r="W2097" t="s">
        <v>155</v>
      </c>
      <c r="X2097">
        <v>2</v>
      </c>
      <c r="AC2097" t="s">
        <v>136</v>
      </c>
      <c r="AE2097" t="s">
        <v>137</v>
      </c>
    </row>
    <row r="2098" spans="1:78" x14ac:dyDescent="0.2">
      <c r="A2098" t="s">
        <v>119</v>
      </c>
      <c r="B2098" t="s">
        <v>120</v>
      </c>
      <c r="C2098" t="s">
        <v>4864</v>
      </c>
      <c r="D2098">
        <v>4</v>
      </c>
      <c r="E2098" t="s">
        <v>4341</v>
      </c>
      <c r="F2098" t="s">
        <v>773</v>
      </c>
      <c r="G2098" t="s">
        <v>124</v>
      </c>
      <c r="H2098" t="s">
        <v>125</v>
      </c>
      <c r="I2098">
        <v>14</v>
      </c>
      <c r="J2098" t="s">
        <v>268</v>
      </c>
      <c r="K2098" t="s">
        <v>125</v>
      </c>
      <c r="L2098" t="s">
        <v>4865</v>
      </c>
      <c r="U2098" t="s">
        <v>149</v>
      </c>
      <c r="W2098" t="s">
        <v>155</v>
      </c>
      <c r="X2098">
        <v>3</v>
      </c>
      <c r="AC2098" t="s">
        <v>136</v>
      </c>
      <c r="AE2098" t="s">
        <v>137</v>
      </c>
    </row>
    <row r="2099" spans="1:78" hidden="1" x14ac:dyDescent="0.2">
      <c r="A2099" t="s">
        <v>119</v>
      </c>
      <c r="B2099" t="s">
        <v>120</v>
      </c>
      <c r="C2099" t="s">
        <v>4864</v>
      </c>
      <c r="D2099">
        <v>14</v>
      </c>
      <c r="E2099" t="s">
        <v>4866</v>
      </c>
      <c r="F2099" t="s">
        <v>773</v>
      </c>
      <c r="G2099" t="s">
        <v>124</v>
      </c>
      <c r="H2099" t="s">
        <v>125</v>
      </c>
      <c r="I2099">
        <v>0</v>
      </c>
      <c r="J2099" t="s">
        <v>126</v>
      </c>
      <c r="K2099" t="s">
        <v>125</v>
      </c>
      <c r="L2099" t="s">
        <v>4867</v>
      </c>
    </row>
    <row r="2100" spans="1:78" hidden="1" x14ac:dyDescent="0.2">
      <c r="A2100" t="s">
        <v>119</v>
      </c>
      <c r="B2100" t="s">
        <v>120</v>
      </c>
      <c r="C2100" t="s">
        <v>4868</v>
      </c>
      <c r="D2100">
        <v>5</v>
      </c>
      <c r="E2100" t="s">
        <v>261</v>
      </c>
      <c r="F2100" t="s">
        <v>261</v>
      </c>
      <c r="G2100" t="s">
        <v>124</v>
      </c>
      <c r="H2100" t="s">
        <v>125</v>
      </c>
      <c r="I2100">
        <v>0</v>
      </c>
      <c r="J2100" t="s">
        <v>126</v>
      </c>
      <c r="K2100" t="s">
        <v>125</v>
      </c>
      <c r="L2100" t="s">
        <v>4869</v>
      </c>
      <c r="AE2100" t="s">
        <v>128</v>
      </c>
      <c r="AG2100">
        <v>4</v>
      </c>
      <c r="AH2100" t="s">
        <v>1935</v>
      </c>
      <c r="AI2100" t="s">
        <v>667</v>
      </c>
      <c r="AJ2100" t="s">
        <v>131</v>
      </c>
      <c r="AK2100" t="s">
        <v>125</v>
      </c>
      <c r="AL2100">
        <v>5</v>
      </c>
      <c r="AM2100" t="s">
        <v>132</v>
      </c>
      <c r="AN2100" t="s">
        <v>125</v>
      </c>
      <c r="AO2100" t="s">
        <v>4870</v>
      </c>
      <c r="BP2100" t="s">
        <v>149</v>
      </c>
      <c r="BR2100" t="s">
        <v>135</v>
      </c>
      <c r="BS2100">
        <v>3</v>
      </c>
      <c r="BX2100" t="s">
        <v>136</v>
      </c>
      <c r="BZ2100" t="s">
        <v>137</v>
      </c>
    </row>
    <row r="2101" spans="1:78" x14ac:dyDescent="0.2">
      <c r="A2101" t="s">
        <v>119</v>
      </c>
      <c r="B2101" t="s">
        <v>120</v>
      </c>
      <c r="C2101" t="s">
        <v>4871</v>
      </c>
      <c r="D2101">
        <v>7</v>
      </c>
      <c r="E2101" t="s">
        <v>232</v>
      </c>
      <c r="F2101" t="s">
        <v>205</v>
      </c>
      <c r="G2101" t="s">
        <v>124</v>
      </c>
      <c r="H2101" t="s">
        <v>125</v>
      </c>
      <c r="I2101">
        <v>4</v>
      </c>
      <c r="J2101" t="s">
        <v>170</v>
      </c>
      <c r="K2101" t="s">
        <v>125</v>
      </c>
      <c r="L2101" t="s">
        <v>4872</v>
      </c>
      <c r="U2101" t="s">
        <v>149</v>
      </c>
      <c r="W2101" t="s">
        <v>155</v>
      </c>
      <c r="X2101">
        <v>1</v>
      </c>
      <c r="AC2101" t="s">
        <v>136</v>
      </c>
      <c r="AE2101" t="s">
        <v>137</v>
      </c>
    </row>
    <row r="2102" spans="1:78" hidden="1" x14ac:dyDescent="0.2">
      <c r="A2102" t="s">
        <v>119</v>
      </c>
      <c r="B2102" t="s">
        <v>120</v>
      </c>
      <c r="C2102" t="s">
        <v>4871</v>
      </c>
      <c r="D2102">
        <v>15</v>
      </c>
      <c r="E2102" t="s">
        <v>4805</v>
      </c>
      <c r="F2102" t="s">
        <v>1399</v>
      </c>
      <c r="G2102" t="s">
        <v>124</v>
      </c>
      <c r="H2102" t="s">
        <v>125</v>
      </c>
      <c r="I2102">
        <v>10</v>
      </c>
      <c r="J2102" t="s">
        <v>170</v>
      </c>
      <c r="K2102" t="s">
        <v>125</v>
      </c>
      <c r="L2102" t="s">
        <v>4873</v>
      </c>
      <c r="T2102" t="s">
        <v>142</v>
      </c>
      <c r="W2102" t="s">
        <v>155</v>
      </c>
      <c r="AG2102">
        <v>14</v>
      </c>
      <c r="AH2102" t="s">
        <v>4874</v>
      </c>
      <c r="AI2102" t="s">
        <v>1001</v>
      </c>
      <c r="AJ2102" t="s">
        <v>131</v>
      </c>
      <c r="AK2102" t="s">
        <v>125</v>
      </c>
      <c r="AL2102">
        <v>15</v>
      </c>
      <c r="AM2102" t="s">
        <v>132</v>
      </c>
      <c r="AN2102" t="s">
        <v>125</v>
      </c>
      <c r="AO2102" t="s">
        <v>4875</v>
      </c>
      <c r="BP2102" t="s">
        <v>149</v>
      </c>
      <c r="BR2102" t="s">
        <v>155</v>
      </c>
      <c r="BS2102">
        <v>3</v>
      </c>
      <c r="BX2102" t="s">
        <v>136</v>
      </c>
      <c r="BZ2102" t="s">
        <v>137</v>
      </c>
    </row>
    <row r="2103" spans="1:78" x14ac:dyDescent="0.2">
      <c r="A2103" t="s">
        <v>119</v>
      </c>
      <c r="B2103" t="s">
        <v>120</v>
      </c>
      <c r="C2103" t="s">
        <v>4876</v>
      </c>
      <c r="D2103">
        <v>5</v>
      </c>
      <c r="E2103" t="s">
        <v>327</v>
      </c>
      <c r="F2103" t="s">
        <v>198</v>
      </c>
      <c r="G2103" t="s">
        <v>124</v>
      </c>
      <c r="H2103" t="s">
        <v>125</v>
      </c>
      <c r="I2103">
        <v>0</v>
      </c>
      <c r="J2103" t="s">
        <v>126</v>
      </c>
      <c r="K2103" t="s">
        <v>125</v>
      </c>
      <c r="L2103" t="s">
        <v>4877</v>
      </c>
      <c r="U2103" t="s">
        <v>149</v>
      </c>
      <c r="W2103" t="s">
        <v>135</v>
      </c>
      <c r="X2103">
        <v>3</v>
      </c>
      <c r="AC2103" t="s">
        <v>136</v>
      </c>
      <c r="AE2103" t="s">
        <v>137</v>
      </c>
    </row>
    <row r="2104" spans="1:78" x14ac:dyDescent="0.2">
      <c r="A2104" t="s">
        <v>119</v>
      </c>
      <c r="B2104" t="s">
        <v>120</v>
      </c>
      <c r="C2104" t="s">
        <v>4878</v>
      </c>
      <c r="D2104">
        <v>7</v>
      </c>
      <c r="E2104" t="s">
        <v>1309</v>
      </c>
      <c r="F2104" t="s">
        <v>728</v>
      </c>
      <c r="G2104" t="s">
        <v>124</v>
      </c>
      <c r="H2104" t="s">
        <v>125</v>
      </c>
      <c r="I2104">
        <v>3</v>
      </c>
      <c r="J2104" t="s">
        <v>161</v>
      </c>
      <c r="K2104" t="s">
        <v>125</v>
      </c>
      <c r="L2104" t="s">
        <v>4879</v>
      </c>
      <c r="U2104" t="s">
        <v>149</v>
      </c>
      <c r="W2104" t="s">
        <v>135</v>
      </c>
      <c r="X2104">
        <v>1</v>
      </c>
      <c r="AC2104" t="s">
        <v>136</v>
      </c>
      <c r="AE2104" t="s">
        <v>137</v>
      </c>
      <c r="AG2104">
        <v>5</v>
      </c>
      <c r="AH2104" t="s">
        <v>614</v>
      </c>
      <c r="AI2104" t="s">
        <v>205</v>
      </c>
      <c r="AJ2104" t="s">
        <v>131</v>
      </c>
      <c r="AK2104" t="s">
        <v>125</v>
      </c>
      <c r="AL2104">
        <v>7</v>
      </c>
      <c r="AM2104" t="s">
        <v>132</v>
      </c>
      <c r="AN2104" t="s">
        <v>125</v>
      </c>
      <c r="AO2104" t="s">
        <v>4880</v>
      </c>
      <c r="BP2104" t="s">
        <v>149</v>
      </c>
      <c r="BR2104" t="s">
        <v>135</v>
      </c>
      <c r="BS2104">
        <v>3</v>
      </c>
      <c r="BX2104" t="s">
        <v>136</v>
      </c>
      <c r="BZ2104" t="s">
        <v>137</v>
      </c>
    </row>
    <row r="2105" spans="1:78" hidden="1" x14ac:dyDescent="0.2">
      <c r="A2105" t="s">
        <v>119</v>
      </c>
      <c r="B2105" t="s">
        <v>120</v>
      </c>
      <c r="C2105" t="s">
        <v>4878</v>
      </c>
      <c r="D2105">
        <v>11</v>
      </c>
      <c r="E2105" t="s">
        <v>1548</v>
      </c>
      <c r="F2105" t="s">
        <v>1399</v>
      </c>
      <c r="G2105" t="s">
        <v>124</v>
      </c>
      <c r="H2105" t="s">
        <v>125</v>
      </c>
      <c r="I2105">
        <v>8</v>
      </c>
      <c r="J2105" t="s">
        <v>264</v>
      </c>
      <c r="K2105" t="s">
        <v>125</v>
      </c>
      <c r="L2105" t="s">
        <v>4881</v>
      </c>
      <c r="T2105" t="s">
        <v>154</v>
      </c>
      <c r="W2105" t="s">
        <v>135</v>
      </c>
      <c r="AC2105" t="s">
        <v>143</v>
      </c>
      <c r="AE2105" t="s">
        <v>144</v>
      </c>
      <c r="AG2105">
        <v>10</v>
      </c>
      <c r="AH2105" t="s">
        <v>145</v>
      </c>
      <c r="AI2105" t="s">
        <v>146</v>
      </c>
      <c r="AJ2105" t="s">
        <v>131</v>
      </c>
      <c r="AK2105" t="s">
        <v>125</v>
      </c>
      <c r="AL2105">
        <v>11</v>
      </c>
      <c r="AM2105" t="s">
        <v>132</v>
      </c>
      <c r="AN2105" t="s">
        <v>125</v>
      </c>
      <c r="AO2105" t="s">
        <v>4882</v>
      </c>
      <c r="BP2105" t="s">
        <v>149</v>
      </c>
      <c r="BR2105" t="s">
        <v>135</v>
      </c>
      <c r="BS2105">
        <v>3</v>
      </c>
      <c r="BX2105" t="s">
        <v>136</v>
      </c>
      <c r="BZ2105" t="s">
        <v>137</v>
      </c>
    </row>
    <row r="2106" spans="1:78" hidden="1" x14ac:dyDescent="0.2">
      <c r="A2106" t="s">
        <v>119</v>
      </c>
      <c r="B2106" t="s">
        <v>120</v>
      </c>
      <c r="C2106" t="s">
        <v>4883</v>
      </c>
      <c r="D2106">
        <v>7</v>
      </c>
      <c r="E2106" t="s">
        <v>691</v>
      </c>
      <c r="F2106" t="s">
        <v>261</v>
      </c>
      <c r="G2106" t="s">
        <v>124</v>
      </c>
      <c r="H2106" t="s">
        <v>125</v>
      </c>
      <c r="I2106">
        <v>0</v>
      </c>
      <c r="J2106" t="s">
        <v>126</v>
      </c>
      <c r="K2106" t="s">
        <v>125</v>
      </c>
      <c r="L2106" t="s">
        <v>4884</v>
      </c>
      <c r="T2106" t="s">
        <v>154</v>
      </c>
      <c r="W2106" t="s">
        <v>135</v>
      </c>
      <c r="AC2106" t="s">
        <v>143</v>
      </c>
      <c r="AE2106" t="s">
        <v>144</v>
      </c>
      <c r="AG2106">
        <v>6</v>
      </c>
      <c r="AH2106" t="s">
        <v>218</v>
      </c>
      <c r="AI2106" t="s">
        <v>205</v>
      </c>
      <c r="AJ2106" t="s">
        <v>131</v>
      </c>
      <c r="AK2106" t="s">
        <v>125</v>
      </c>
      <c r="AL2106">
        <v>7</v>
      </c>
      <c r="AM2106" t="s">
        <v>132</v>
      </c>
      <c r="AN2106" t="s">
        <v>125</v>
      </c>
      <c r="AO2106" t="s">
        <v>4885</v>
      </c>
      <c r="BP2106" t="s">
        <v>149</v>
      </c>
      <c r="BR2106" t="s">
        <v>155</v>
      </c>
      <c r="BS2106">
        <v>3</v>
      </c>
      <c r="BX2106" t="s">
        <v>136</v>
      </c>
      <c r="BZ2106" t="s">
        <v>137</v>
      </c>
    </row>
    <row r="2107" spans="1:78" x14ac:dyDescent="0.2">
      <c r="A2107" t="s">
        <v>119</v>
      </c>
      <c r="B2107" t="s">
        <v>120</v>
      </c>
      <c r="C2107" t="s">
        <v>4883</v>
      </c>
      <c r="D2107">
        <v>13</v>
      </c>
      <c r="E2107" t="s">
        <v>546</v>
      </c>
      <c r="F2107" t="s">
        <v>283</v>
      </c>
      <c r="G2107" t="s">
        <v>124</v>
      </c>
      <c r="H2107" t="s">
        <v>125</v>
      </c>
      <c r="I2107">
        <v>11</v>
      </c>
      <c r="J2107" t="s">
        <v>170</v>
      </c>
      <c r="K2107" t="s">
        <v>125</v>
      </c>
      <c r="L2107" t="s">
        <v>4886</v>
      </c>
      <c r="U2107" t="s">
        <v>149</v>
      </c>
      <c r="W2107" t="s">
        <v>135</v>
      </c>
      <c r="X2107">
        <v>3</v>
      </c>
      <c r="AC2107" t="s">
        <v>136</v>
      </c>
      <c r="AE2107" t="s">
        <v>137</v>
      </c>
    </row>
    <row r="2108" spans="1:78" x14ac:dyDescent="0.2">
      <c r="A2108" t="s">
        <v>119</v>
      </c>
      <c r="B2108" t="s">
        <v>120</v>
      </c>
      <c r="C2108" t="s">
        <v>4883</v>
      </c>
      <c r="D2108">
        <v>31</v>
      </c>
      <c r="E2108" t="s">
        <v>4887</v>
      </c>
      <c r="F2108" t="s">
        <v>773</v>
      </c>
      <c r="G2108" t="s">
        <v>124</v>
      </c>
      <c r="H2108" t="s">
        <v>125</v>
      </c>
      <c r="I2108">
        <v>13</v>
      </c>
      <c r="J2108" t="s">
        <v>161</v>
      </c>
      <c r="K2108" t="s">
        <v>125</v>
      </c>
      <c r="L2108" t="s">
        <v>4888</v>
      </c>
      <c r="U2108" t="s">
        <v>149</v>
      </c>
      <c r="W2108" t="s">
        <v>155</v>
      </c>
      <c r="X2108">
        <v>1</v>
      </c>
      <c r="AC2108" t="s">
        <v>136</v>
      </c>
      <c r="AE2108" t="s">
        <v>137</v>
      </c>
    </row>
    <row r="2109" spans="1:78" x14ac:dyDescent="0.2">
      <c r="A2109" t="s">
        <v>119</v>
      </c>
      <c r="B2109" t="s">
        <v>120</v>
      </c>
      <c r="C2109" t="s">
        <v>4889</v>
      </c>
      <c r="D2109">
        <v>3</v>
      </c>
      <c r="E2109" t="s">
        <v>145</v>
      </c>
      <c r="F2109" t="s">
        <v>146</v>
      </c>
      <c r="G2109" t="s">
        <v>124</v>
      </c>
      <c r="H2109" t="s">
        <v>125</v>
      </c>
      <c r="I2109">
        <v>0</v>
      </c>
      <c r="J2109" t="s">
        <v>126</v>
      </c>
      <c r="K2109" t="s">
        <v>125</v>
      </c>
      <c r="L2109" t="s">
        <v>4890</v>
      </c>
      <c r="U2109" t="s">
        <v>149</v>
      </c>
      <c r="W2109" t="s">
        <v>135</v>
      </c>
      <c r="X2109">
        <v>3</v>
      </c>
      <c r="AC2109" t="s">
        <v>136</v>
      </c>
      <c r="AE2109" t="s">
        <v>137</v>
      </c>
    </row>
    <row r="2110" spans="1:78" x14ac:dyDescent="0.2">
      <c r="A2110" t="s">
        <v>119</v>
      </c>
      <c r="B2110" t="s">
        <v>120</v>
      </c>
      <c r="C2110" t="s">
        <v>4889</v>
      </c>
      <c r="D2110">
        <v>10</v>
      </c>
      <c r="E2110" t="s">
        <v>145</v>
      </c>
      <c r="F2110" t="s">
        <v>146</v>
      </c>
      <c r="G2110" t="s">
        <v>124</v>
      </c>
      <c r="H2110" t="s">
        <v>125</v>
      </c>
      <c r="I2110">
        <v>3</v>
      </c>
      <c r="J2110" t="s">
        <v>161</v>
      </c>
      <c r="K2110" t="s">
        <v>125</v>
      </c>
      <c r="L2110" t="s">
        <v>4891</v>
      </c>
      <c r="U2110" t="s">
        <v>149</v>
      </c>
      <c r="W2110" t="s">
        <v>135</v>
      </c>
      <c r="X2110">
        <v>3</v>
      </c>
      <c r="AC2110" t="s">
        <v>136</v>
      </c>
      <c r="AE2110" t="s">
        <v>137</v>
      </c>
    </row>
    <row r="2111" spans="1:78" hidden="1" x14ac:dyDescent="0.2">
      <c r="A2111" t="s">
        <v>119</v>
      </c>
      <c r="B2111" t="s">
        <v>120</v>
      </c>
      <c r="C2111" t="s">
        <v>4892</v>
      </c>
      <c r="D2111">
        <v>5</v>
      </c>
      <c r="E2111" t="s">
        <v>4893</v>
      </c>
      <c r="F2111" t="s">
        <v>186</v>
      </c>
      <c r="G2111" t="s">
        <v>124</v>
      </c>
      <c r="H2111" t="s">
        <v>125</v>
      </c>
      <c r="I2111">
        <v>0</v>
      </c>
      <c r="J2111" t="s">
        <v>126</v>
      </c>
      <c r="K2111" t="s">
        <v>125</v>
      </c>
      <c r="L2111" t="s">
        <v>4894</v>
      </c>
      <c r="T2111" t="s">
        <v>142</v>
      </c>
      <c r="W2111" t="s">
        <v>155</v>
      </c>
      <c r="AC2111" t="s">
        <v>143</v>
      </c>
      <c r="AE2111" t="s">
        <v>144</v>
      </c>
      <c r="AG2111">
        <v>4</v>
      </c>
      <c r="AH2111" t="s">
        <v>232</v>
      </c>
      <c r="AI2111" t="s">
        <v>205</v>
      </c>
      <c r="AJ2111" t="s">
        <v>131</v>
      </c>
      <c r="AK2111" t="s">
        <v>125</v>
      </c>
      <c r="AL2111">
        <v>5</v>
      </c>
      <c r="AM2111" t="s">
        <v>132</v>
      </c>
      <c r="AN2111" t="s">
        <v>125</v>
      </c>
      <c r="AO2111" t="s">
        <v>4895</v>
      </c>
      <c r="BP2111" t="s">
        <v>209</v>
      </c>
      <c r="BR2111" t="s">
        <v>155</v>
      </c>
      <c r="BS2111">
        <v>1</v>
      </c>
      <c r="BX2111" t="s">
        <v>136</v>
      </c>
      <c r="BZ2111" t="s">
        <v>137</v>
      </c>
    </row>
    <row r="2112" spans="1:78" hidden="1" x14ac:dyDescent="0.2">
      <c r="A2112" t="s">
        <v>119</v>
      </c>
      <c r="B2112" t="s">
        <v>120</v>
      </c>
      <c r="C2112" t="s">
        <v>4896</v>
      </c>
      <c r="D2112">
        <v>5</v>
      </c>
      <c r="E2112" t="s">
        <v>512</v>
      </c>
      <c r="F2112" t="s">
        <v>146</v>
      </c>
      <c r="G2112" t="s">
        <v>124</v>
      </c>
      <c r="H2112" t="s">
        <v>125</v>
      </c>
      <c r="I2112">
        <v>0</v>
      </c>
      <c r="J2112" t="s">
        <v>126</v>
      </c>
      <c r="K2112" t="s">
        <v>125</v>
      </c>
      <c r="L2112" t="s">
        <v>4897</v>
      </c>
      <c r="U2112" t="s">
        <v>149</v>
      </c>
      <c r="W2112" t="s">
        <v>155</v>
      </c>
      <c r="X2112">
        <v>3</v>
      </c>
      <c r="AC2112" t="s">
        <v>209</v>
      </c>
      <c r="AE2112" t="s">
        <v>137</v>
      </c>
    </row>
    <row r="2113" spans="1:78" hidden="1" x14ac:dyDescent="0.2">
      <c r="A2113" t="s">
        <v>119</v>
      </c>
      <c r="B2113" t="s">
        <v>120</v>
      </c>
      <c r="C2113" t="s">
        <v>4896</v>
      </c>
      <c r="D2113">
        <v>17</v>
      </c>
      <c r="E2113" t="s">
        <v>1237</v>
      </c>
      <c r="F2113" t="s">
        <v>123</v>
      </c>
      <c r="G2113" t="s">
        <v>124</v>
      </c>
      <c r="H2113" t="s">
        <v>125</v>
      </c>
      <c r="I2113">
        <v>5</v>
      </c>
      <c r="J2113" t="s">
        <v>170</v>
      </c>
      <c r="K2113" t="s">
        <v>125</v>
      </c>
      <c r="L2113" t="s">
        <v>4898</v>
      </c>
      <c r="U2113" t="s">
        <v>149</v>
      </c>
      <c r="W2113" t="s">
        <v>155</v>
      </c>
      <c r="X2113">
        <v>3</v>
      </c>
      <c r="AC2113" t="s">
        <v>209</v>
      </c>
      <c r="AE2113" t="s">
        <v>137</v>
      </c>
    </row>
    <row r="2114" spans="1:78" x14ac:dyDescent="0.2">
      <c r="A2114" t="s">
        <v>119</v>
      </c>
      <c r="B2114" t="s">
        <v>120</v>
      </c>
      <c r="C2114" t="s">
        <v>4899</v>
      </c>
      <c r="D2114">
        <v>6</v>
      </c>
      <c r="E2114" t="s">
        <v>3944</v>
      </c>
      <c r="F2114" t="s">
        <v>434</v>
      </c>
      <c r="G2114" t="s">
        <v>124</v>
      </c>
      <c r="H2114" t="s">
        <v>125</v>
      </c>
      <c r="I2114">
        <v>2</v>
      </c>
      <c r="J2114" t="s">
        <v>161</v>
      </c>
      <c r="K2114" t="s">
        <v>125</v>
      </c>
      <c r="L2114" t="s">
        <v>4900</v>
      </c>
      <c r="U2114" t="s">
        <v>209</v>
      </c>
      <c r="W2114" t="s">
        <v>155</v>
      </c>
      <c r="X2114">
        <v>1</v>
      </c>
      <c r="AC2114" t="s">
        <v>136</v>
      </c>
      <c r="AE2114" t="s">
        <v>137</v>
      </c>
    </row>
    <row r="2115" spans="1:78" x14ac:dyDescent="0.2">
      <c r="A2115" t="s">
        <v>119</v>
      </c>
      <c r="B2115" t="s">
        <v>120</v>
      </c>
      <c r="C2115" t="s">
        <v>4899</v>
      </c>
      <c r="D2115">
        <v>14</v>
      </c>
      <c r="E2115" t="s">
        <v>3013</v>
      </c>
      <c r="F2115" t="s">
        <v>3014</v>
      </c>
      <c r="G2115" t="s">
        <v>124</v>
      </c>
      <c r="H2115" t="s">
        <v>125</v>
      </c>
      <c r="I2115">
        <v>11</v>
      </c>
      <c r="J2115" t="s">
        <v>170</v>
      </c>
      <c r="K2115" t="s">
        <v>125</v>
      </c>
      <c r="L2115" t="s">
        <v>4901</v>
      </c>
      <c r="U2115" t="s">
        <v>149</v>
      </c>
      <c r="W2115" t="s">
        <v>135</v>
      </c>
      <c r="X2115">
        <v>3</v>
      </c>
      <c r="AC2115" t="s">
        <v>136</v>
      </c>
      <c r="AE2115" t="s">
        <v>137</v>
      </c>
    </row>
    <row r="2116" spans="1:78" x14ac:dyDescent="0.2">
      <c r="A2116" t="s">
        <v>119</v>
      </c>
      <c r="B2116" t="s">
        <v>120</v>
      </c>
      <c r="C2116" t="s">
        <v>4902</v>
      </c>
      <c r="D2116">
        <v>1</v>
      </c>
      <c r="E2116" t="s">
        <v>145</v>
      </c>
      <c r="F2116" t="s">
        <v>146</v>
      </c>
      <c r="G2116" t="s">
        <v>124</v>
      </c>
      <c r="H2116" t="s">
        <v>125</v>
      </c>
      <c r="I2116">
        <v>0</v>
      </c>
      <c r="J2116" t="s">
        <v>126</v>
      </c>
      <c r="K2116" t="s">
        <v>125</v>
      </c>
      <c r="L2116" t="s">
        <v>4903</v>
      </c>
      <c r="U2116" t="s">
        <v>149</v>
      </c>
      <c r="W2116" t="s">
        <v>135</v>
      </c>
      <c r="X2116">
        <v>3</v>
      </c>
      <c r="AC2116" t="s">
        <v>136</v>
      </c>
      <c r="AE2116" t="s">
        <v>137</v>
      </c>
    </row>
    <row r="2117" spans="1:78" hidden="1" x14ac:dyDescent="0.2">
      <c r="A2117" t="s">
        <v>119</v>
      </c>
      <c r="B2117" t="s">
        <v>120</v>
      </c>
      <c r="C2117" t="s">
        <v>4904</v>
      </c>
      <c r="D2117">
        <v>8</v>
      </c>
      <c r="E2117" t="s">
        <v>4905</v>
      </c>
      <c r="F2117" t="s">
        <v>1345</v>
      </c>
      <c r="G2117" t="s">
        <v>124</v>
      </c>
      <c r="H2117" t="s">
        <v>125</v>
      </c>
      <c r="I2117">
        <v>4</v>
      </c>
      <c r="J2117" t="s">
        <v>170</v>
      </c>
      <c r="K2117" t="s">
        <v>125</v>
      </c>
      <c r="L2117" t="s">
        <v>4906</v>
      </c>
      <c r="AE2117" t="s">
        <v>128</v>
      </c>
      <c r="AG2117">
        <v>7</v>
      </c>
      <c r="AH2117" t="s">
        <v>4534</v>
      </c>
      <c r="AI2117" t="s">
        <v>572</v>
      </c>
      <c r="AJ2117" t="s">
        <v>131</v>
      </c>
      <c r="AK2117" t="s">
        <v>125</v>
      </c>
      <c r="AL2117">
        <v>8</v>
      </c>
      <c r="AM2117" t="s">
        <v>132</v>
      </c>
      <c r="AN2117" t="s">
        <v>125</v>
      </c>
      <c r="AO2117" t="s">
        <v>4907</v>
      </c>
      <c r="BP2117" t="s">
        <v>149</v>
      </c>
      <c r="BR2117" t="s">
        <v>155</v>
      </c>
      <c r="BS2117">
        <v>2</v>
      </c>
      <c r="BX2117" t="s">
        <v>143</v>
      </c>
      <c r="BZ2117" t="s">
        <v>137</v>
      </c>
    </row>
    <row r="2118" spans="1:78" hidden="1" x14ac:dyDescent="0.2">
      <c r="A2118" t="s">
        <v>119</v>
      </c>
      <c r="B2118" t="s">
        <v>120</v>
      </c>
      <c r="C2118" t="s">
        <v>4908</v>
      </c>
      <c r="D2118">
        <v>4</v>
      </c>
      <c r="E2118" t="s">
        <v>4909</v>
      </c>
      <c r="F2118" t="s">
        <v>158</v>
      </c>
      <c r="G2118" t="s">
        <v>124</v>
      </c>
      <c r="H2118" t="s">
        <v>125</v>
      </c>
      <c r="I2118">
        <v>2</v>
      </c>
      <c r="J2118" t="s">
        <v>170</v>
      </c>
      <c r="K2118" t="s">
        <v>125</v>
      </c>
      <c r="L2118" t="s">
        <v>4910</v>
      </c>
      <c r="U2118" t="s">
        <v>149</v>
      </c>
      <c r="W2118" t="s">
        <v>155</v>
      </c>
      <c r="X2118">
        <v>3</v>
      </c>
      <c r="AC2118" t="s">
        <v>209</v>
      </c>
      <c r="AE2118" t="s">
        <v>137</v>
      </c>
    </row>
    <row r="2119" spans="1:78" hidden="1" x14ac:dyDescent="0.2">
      <c r="A2119" t="s">
        <v>119</v>
      </c>
      <c r="B2119" t="s">
        <v>120</v>
      </c>
      <c r="C2119" t="s">
        <v>4908</v>
      </c>
      <c r="D2119">
        <v>12</v>
      </c>
      <c r="E2119" t="s">
        <v>4559</v>
      </c>
      <c r="F2119" t="s">
        <v>1399</v>
      </c>
      <c r="G2119" t="s">
        <v>124</v>
      </c>
      <c r="H2119" t="s">
        <v>125</v>
      </c>
      <c r="I2119">
        <v>0</v>
      </c>
      <c r="J2119" t="s">
        <v>126</v>
      </c>
      <c r="K2119" t="s">
        <v>125</v>
      </c>
      <c r="L2119" t="s">
        <v>4911</v>
      </c>
      <c r="U2119" t="s">
        <v>149</v>
      </c>
      <c r="W2119" t="s">
        <v>155</v>
      </c>
      <c r="X2119">
        <v>3</v>
      </c>
      <c r="AC2119" t="s">
        <v>209</v>
      </c>
      <c r="AE2119" t="s">
        <v>137</v>
      </c>
    </row>
    <row r="2120" spans="1:78" hidden="1" x14ac:dyDescent="0.2">
      <c r="A2120" t="s">
        <v>119</v>
      </c>
      <c r="B2120" t="s">
        <v>120</v>
      </c>
      <c r="C2120" t="s">
        <v>4912</v>
      </c>
      <c r="D2120">
        <v>2</v>
      </c>
      <c r="E2120" t="s">
        <v>4913</v>
      </c>
      <c r="F2120" t="s">
        <v>350</v>
      </c>
      <c r="G2120" t="s">
        <v>124</v>
      </c>
      <c r="H2120" t="s">
        <v>125</v>
      </c>
      <c r="I2120">
        <v>0</v>
      </c>
      <c r="J2120" t="s">
        <v>126</v>
      </c>
      <c r="K2120" t="s">
        <v>125</v>
      </c>
      <c r="L2120" t="s">
        <v>4914</v>
      </c>
      <c r="U2120" t="s">
        <v>149</v>
      </c>
      <c r="W2120" t="s">
        <v>155</v>
      </c>
      <c r="X2120">
        <v>3</v>
      </c>
      <c r="AC2120" t="s">
        <v>209</v>
      </c>
      <c r="AE2120" t="s">
        <v>137</v>
      </c>
    </row>
    <row r="2121" spans="1:78" hidden="1" x14ac:dyDescent="0.2">
      <c r="A2121" t="s">
        <v>119</v>
      </c>
      <c r="B2121" t="s">
        <v>120</v>
      </c>
      <c r="C2121" t="s">
        <v>4915</v>
      </c>
      <c r="D2121">
        <v>2</v>
      </c>
      <c r="E2121" t="s">
        <v>4521</v>
      </c>
      <c r="F2121" t="s">
        <v>1399</v>
      </c>
      <c r="G2121" t="s">
        <v>124</v>
      </c>
      <c r="H2121" t="s">
        <v>125</v>
      </c>
      <c r="I2121">
        <v>0</v>
      </c>
      <c r="J2121" t="s">
        <v>126</v>
      </c>
      <c r="K2121" t="s">
        <v>125</v>
      </c>
      <c r="L2121" t="s">
        <v>4916</v>
      </c>
      <c r="U2121" t="s">
        <v>149</v>
      </c>
      <c r="W2121" t="s">
        <v>135</v>
      </c>
      <c r="X2121">
        <v>3</v>
      </c>
      <c r="AC2121" t="s">
        <v>209</v>
      </c>
      <c r="AE2121" t="s">
        <v>137</v>
      </c>
    </row>
    <row r="2122" spans="1:78" hidden="1" x14ac:dyDescent="0.2">
      <c r="A2122" t="s">
        <v>119</v>
      </c>
      <c r="B2122" t="s">
        <v>120</v>
      </c>
      <c r="C2122" t="s">
        <v>4915</v>
      </c>
      <c r="D2122">
        <v>10</v>
      </c>
      <c r="E2122" t="s">
        <v>512</v>
      </c>
      <c r="F2122" t="s">
        <v>146</v>
      </c>
      <c r="G2122" t="s">
        <v>124</v>
      </c>
      <c r="H2122" t="s">
        <v>125</v>
      </c>
      <c r="I2122">
        <v>2</v>
      </c>
      <c r="J2122" t="s">
        <v>170</v>
      </c>
      <c r="K2122" t="s">
        <v>125</v>
      </c>
      <c r="L2122" t="s">
        <v>4917</v>
      </c>
      <c r="U2122" t="s">
        <v>149</v>
      </c>
      <c r="W2122" t="s">
        <v>155</v>
      </c>
      <c r="X2122">
        <v>3</v>
      </c>
      <c r="AC2122" t="s">
        <v>209</v>
      </c>
      <c r="AE2122" t="s">
        <v>137</v>
      </c>
    </row>
    <row r="2123" spans="1:78" hidden="1" x14ac:dyDescent="0.2">
      <c r="A2123" t="s">
        <v>119</v>
      </c>
      <c r="B2123" t="s">
        <v>120</v>
      </c>
      <c r="C2123" t="s">
        <v>4915</v>
      </c>
      <c r="D2123">
        <v>16</v>
      </c>
      <c r="E2123" t="s">
        <v>644</v>
      </c>
      <c r="F2123" t="s">
        <v>140</v>
      </c>
      <c r="G2123" t="s">
        <v>124</v>
      </c>
      <c r="H2123" t="s">
        <v>125</v>
      </c>
      <c r="I2123">
        <v>2</v>
      </c>
      <c r="J2123" t="s">
        <v>170</v>
      </c>
      <c r="K2123" t="s">
        <v>125</v>
      </c>
      <c r="L2123" t="s">
        <v>4918</v>
      </c>
      <c r="U2123" t="s">
        <v>149</v>
      </c>
      <c r="W2123" t="s">
        <v>135</v>
      </c>
      <c r="X2123">
        <v>3</v>
      </c>
      <c r="AC2123" t="s">
        <v>209</v>
      </c>
      <c r="AE2123" t="s">
        <v>137</v>
      </c>
    </row>
    <row r="2124" spans="1:78" hidden="1" x14ac:dyDescent="0.2">
      <c r="A2124" t="s">
        <v>119</v>
      </c>
      <c r="B2124" t="s">
        <v>120</v>
      </c>
      <c r="C2124" t="s">
        <v>4915</v>
      </c>
      <c r="D2124">
        <v>20</v>
      </c>
      <c r="E2124" t="s">
        <v>207</v>
      </c>
      <c r="F2124" t="s">
        <v>146</v>
      </c>
      <c r="G2124" t="s">
        <v>124</v>
      </c>
      <c r="H2124" t="s">
        <v>125</v>
      </c>
      <c r="I2124">
        <v>2</v>
      </c>
      <c r="J2124" t="s">
        <v>170</v>
      </c>
      <c r="K2124" t="s">
        <v>125</v>
      </c>
      <c r="L2124" t="s">
        <v>4919</v>
      </c>
      <c r="U2124" t="s">
        <v>149</v>
      </c>
      <c r="W2124" t="s">
        <v>135</v>
      </c>
      <c r="X2124">
        <v>3</v>
      </c>
      <c r="AC2124" t="s">
        <v>209</v>
      </c>
      <c r="AE2124" t="s">
        <v>137</v>
      </c>
    </row>
    <row r="2125" spans="1:78" hidden="1" x14ac:dyDescent="0.2">
      <c r="A2125" t="s">
        <v>119</v>
      </c>
      <c r="B2125" t="s">
        <v>120</v>
      </c>
      <c r="C2125" t="s">
        <v>4915</v>
      </c>
      <c r="D2125">
        <v>23</v>
      </c>
      <c r="E2125" t="s">
        <v>2202</v>
      </c>
      <c r="F2125" t="s">
        <v>2202</v>
      </c>
      <c r="G2125" t="s">
        <v>124</v>
      </c>
      <c r="H2125" t="s">
        <v>125</v>
      </c>
      <c r="I2125">
        <v>20</v>
      </c>
      <c r="J2125" t="s">
        <v>386</v>
      </c>
      <c r="K2125" t="s">
        <v>125</v>
      </c>
      <c r="L2125" t="s">
        <v>4920</v>
      </c>
      <c r="AE2125" t="s">
        <v>128</v>
      </c>
    </row>
    <row r="2126" spans="1:78" hidden="1" x14ac:dyDescent="0.2">
      <c r="A2126" t="s">
        <v>119</v>
      </c>
      <c r="B2126" t="s">
        <v>120</v>
      </c>
      <c r="C2126" t="s">
        <v>4915</v>
      </c>
      <c r="D2126">
        <v>27</v>
      </c>
      <c r="E2126" t="s">
        <v>207</v>
      </c>
      <c r="F2126" t="s">
        <v>146</v>
      </c>
      <c r="G2126" t="s">
        <v>124</v>
      </c>
      <c r="H2126" t="s">
        <v>125</v>
      </c>
      <c r="I2126">
        <v>2</v>
      </c>
      <c r="J2126" t="s">
        <v>170</v>
      </c>
      <c r="K2126" t="s">
        <v>125</v>
      </c>
      <c r="L2126" t="s">
        <v>4921</v>
      </c>
      <c r="U2126" t="s">
        <v>149</v>
      </c>
      <c r="W2126" t="s">
        <v>135</v>
      </c>
      <c r="X2126">
        <v>3</v>
      </c>
      <c r="AC2126" t="s">
        <v>209</v>
      </c>
      <c r="AE2126" t="s">
        <v>137</v>
      </c>
    </row>
    <row r="2127" spans="1:78" x14ac:dyDescent="0.2">
      <c r="A2127" t="s">
        <v>119</v>
      </c>
      <c r="B2127" t="s">
        <v>120</v>
      </c>
      <c r="C2127" t="s">
        <v>4922</v>
      </c>
      <c r="D2127">
        <v>2</v>
      </c>
      <c r="E2127" t="s">
        <v>4559</v>
      </c>
      <c r="F2127" t="s">
        <v>1399</v>
      </c>
      <c r="G2127" t="s">
        <v>124</v>
      </c>
      <c r="H2127" t="s">
        <v>125</v>
      </c>
      <c r="I2127">
        <v>0</v>
      </c>
      <c r="J2127" t="s">
        <v>126</v>
      </c>
      <c r="K2127" t="s">
        <v>125</v>
      </c>
      <c r="L2127" t="s">
        <v>4923</v>
      </c>
      <c r="U2127" t="s">
        <v>149</v>
      </c>
      <c r="W2127" t="s">
        <v>155</v>
      </c>
      <c r="X2127">
        <v>3</v>
      </c>
      <c r="AC2127" t="s">
        <v>136</v>
      </c>
      <c r="AE2127" t="s">
        <v>137</v>
      </c>
    </row>
    <row r="2128" spans="1:78" x14ac:dyDescent="0.2">
      <c r="A2128" t="s">
        <v>119</v>
      </c>
      <c r="B2128" t="s">
        <v>120</v>
      </c>
      <c r="C2128" t="s">
        <v>4924</v>
      </c>
      <c r="D2128">
        <v>1</v>
      </c>
      <c r="E2128" t="s">
        <v>4559</v>
      </c>
      <c r="F2128" t="s">
        <v>1399</v>
      </c>
      <c r="G2128" t="s">
        <v>124</v>
      </c>
      <c r="H2128" t="s">
        <v>125</v>
      </c>
      <c r="I2128">
        <v>0</v>
      </c>
      <c r="J2128" t="s">
        <v>126</v>
      </c>
      <c r="K2128" t="s">
        <v>125</v>
      </c>
      <c r="L2128" t="s">
        <v>4925</v>
      </c>
      <c r="U2128" t="s">
        <v>149</v>
      </c>
      <c r="W2128" t="s">
        <v>155</v>
      </c>
      <c r="X2128">
        <v>3</v>
      </c>
      <c r="AC2128" t="s">
        <v>136</v>
      </c>
      <c r="AE2128" t="s">
        <v>137</v>
      </c>
    </row>
    <row r="2129" spans="1:78" hidden="1" x14ac:dyDescent="0.2">
      <c r="A2129" t="s">
        <v>119</v>
      </c>
      <c r="B2129" t="s">
        <v>120</v>
      </c>
      <c r="C2129" t="s">
        <v>4924</v>
      </c>
      <c r="D2129">
        <v>3</v>
      </c>
      <c r="E2129" t="s">
        <v>465</v>
      </c>
      <c r="F2129" t="s">
        <v>373</v>
      </c>
      <c r="G2129" t="s">
        <v>124</v>
      </c>
      <c r="H2129" t="s">
        <v>125</v>
      </c>
      <c r="I2129">
        <v>1</v>
      </c>
      <c r="J2129" t="s">
        <v>161</v>
      </c>
      <c r="K2129" t="s">
        <v>125</v>
      </c>
      <c r="L2129" t="s">
        <v>4926</v>
      </c>
      <c r="T2129" t="s">
        <v>154</v>
      </c>
      <c r="W2129" t="s">
        <v>135</v>
      </c>
      <c r="AC2129" t="s">
        <v>143</v>
      </c>
      <c r="AE2129" t="s">
        <v>144</v>
      </c>
      <c r="AG2129">
        <v>2</v>
      </c>
      <c r="AH2129" t="s">
        <v>706</v>
      </c>
      <c r="AI2129" t="s">
        <v>205</v>
      </c>
      <c r="AJ2129" t="s">
        <v>131</v>
      </c>
      <c r="AK2129" t="s">
        <v>125</v>
      </c>
      <c r="AL2129">
        <v>3</v>
      </c>
      <c r="AM2129" t="s">
        <v>132</v>
      </c>
      <c r="AN2129" t="s">
        <v>125</v>
      </c>
      <c r="AO2129" t="s">
        <v>4927</v>
      </c>
      <c r="BP2129" t="s">
        <v>149</v>
      </c>
      <c r="BR2129" t="s">
        <v>155</v>
      </c>
      <c r="BS2129">
        <v>3</v>
      </c>
      <c r="BX2129" t="s">
        <v>209</v>
      </c>
      <c r="BZ2129" t="s">
        <v>137</v>
      </c>
    </row>
    <row r="2130" spans="1:78" x14ac:dyDescent="0.2">
      <c r="A2130" t="s">
        <v>119</v>
      </c>
      <c r="B2130" t="s">
        <v>120</v>
      </c>
      <c r="C2130" t="s">
        <v>4928</v>
      </c>
      <c r="D2130">
        <v>2</v>
      </c>
      <c r="E2130" t="s">
        <v>145</v>
      </c>
      <c r="F2130" t="s">
        <v>146</v>
      </c>
      <c r="G2130" t="s">
        <v>124</v>
      </c>
      <c r="H2130" t="s">
        <v>125</v>
      </c>
      <c r="I2130">
        <v>0</v>
      </c>
      <c r="J2130" t="s">
        <v>126</v>
      </c>
      <c r="K2130" t="s">
        <v>125</v>
      </c>
      <c r="L2130" t="s">
        <v>4929</v>
      </c>
      <c r="U2130" t="s">
        <v>149</v>
      </c>
      <c r="W2130" t="s">
        <v>135</v>
      </c>
      <c r="X2130">
        <v>3</v>
      </c>
      <c r="AC2130" t="s">
        <v>136</v>
      </c>
      <c r="AE2130" t="s">
        <v>137</v>
      </c>
    </row>
    <row r="2131" spans="1:78" hidden="1" x14ac:dyDescent="0.2">
      <c r="A2131" t="s">
        <v>119</v>
      </c>
      <c r="B2131" t="s">
        <v>120</v>
      </c>
      <c r="C2131" t="s">
        <v>4930</v>
      </c>
      <c r="D2131">
        <v>2</v>
      </c>
      <c r="E2131" t="s">
        <v>4559</v>
      </c>
      <c r="F2131" t="s">
        <v>1399</v>
      </c>
      <c r="G2131" t="s">
        <v>124</v>
      </c>
      <c r="H2131" t="s">
        <v>125</v>
      </c>
      <c r="I2131">
        <v>0</v>
      </c>
      <c r="J2131" t="s">
        <v>126</v>
      </c>
      <c r="K2131" t="s">
        <v>125</v>
      </c>
      <c r="L2131" t="s">
        <v>4931</v>
      </c>
      <c r="U2131" t="s">
        <v>149</v>
      </c>
      <c r="W2131" t="s">
        <v>155</v>
      </c>
      <c r="X2131">
        <v>3</v>
      </c>
      <c r="AC2131" t="s">
        <v>209</v>
      </c>
      <c r="AE2131" t="s">
        <v>137</v>
      </c>
    </row>
    <row r="2132" spans="1:78" hidden="1" x14ac:dyDescent="0.2">
      <c r="A2132" t="s">
        <v>119</v>
      </c>
      <c r="B2132" t="s">
        <v>120</v>
      </c>
      <c r="C2132" t="s">
        <v>4932</v>
      </c>
      <c r="D2132">
        <v>2</v>
      </c>
      <c r="E2132" t="s">
        <v>4559</v>
      </c>
      <c r="F2132" t="s">
        <v>1399</v>
      </c>
      <c r="G2132" t="s">
        <v>124</v>
      </c>
      <c r="H2132" t="s">
        <v>125</v>
      </c>
      <c r="I2132">
        <v>0</v>
      </c>
      <c r="J2132" t="s">
        <v>126</v>
      </c>
      <c r="K2132" t="s">
        <v>125</v>
      </c>
      <c r="L2132" t="s">
        <v>4933</v>
      </c>
      <c r="U2132" t="s">
        <v>149</v>
      </c>
      <c r="W2132" t="s">
        <v>155</v>
      </c>
      <c r="X2132">
        <v>3</v>
      </c>
      <c r="AC2132" t="s">
        <v>209</v>
      </c>
      <c r="AE2132" t="s">
        <v>137</v>
      </c>
    </row>
    <row r="2133" spans="1:78" hidden="1" x14ac:dyDescent="0.2">
      <c r="A2133" t="s">
        <v>119</v>
      </c>
      <c r="B2133" t="s">
        <v>120</v>
      </c>
      <c r="C2133" t="s">
        <v>4934</v>
      </c>
      <c r="D2133">
        <v>3</v>
      </c>
      <c r="E2133" t="s">
        <v>4935</v>
      </c>
      <c r="F2133" t="s">
        <v>4151</v>
      </c>
      <c r="G2133" t="s">
        <v>124</v>
      </c>
      <c r="H2133" t="s">
        <v>125</v>
      </c>
      <c r="I2133">
        <v>0</v>
      </c>
      <c r="J2133" t="s">
        <v>126</v>
      </c>
      <c r="K2133" t="s">
        <v>125</v>
      </c>
      <c r="L2133" t="s">
        <v>4936</v>
      </c>
      <c r="U2133" t="s">
        <v>149</v>
      </c>
      <c r="W2133" t="s">
        <v>155</v>
      </c>
      <c r="X2133">
        <v>3</v>
      </c>
      <c r="AC2133" t="s">
        <v>209</v>
      </c>
      <c r="AE2133" t="s">
        <v>137</v>
      </c>
    </row>
    <row r="2134" spans="1:78" hidden="1" x14ac:dyDescent="0.2">
      <c r="A2134" t="s">
        <v>119</v>
      </c>
      <c r="B2134" t="s">
        <v>120</v>
      </c>
      <c r="C2134" t="s">
        <v>4937</v>
      </c>
      <c r="D2134">
        <v>5</v>
      </c>
      <c r="E2134" t="s">
        <v>4938</v>
      </c>
      <c r="F2134" t="s">
        <v>283</v>
      </c>
      <c r="G2134" t="s">
        <v>124</v>
      </c>
      <c r="H2134" t="s">
        <v>125</v>
      </c>
      <c r="I2134">
        <v>0</v>
      </c>
      <c r="J2134" t="s">
        <v>126</v>
      </c>
      <c r="K2134" t="s">
        <v>125</v>
      </c>
      <c r="L2134" t="s">
        <v>4939</v>
      </c>
      <c r="U2134" t="s">
        <v>149</v>
      </c>
      <c r="W2134" t="s">
        <v>155</v>
      </c>
      <c r="X2134">
        <v>3</v>
      </c>
      <c r="AC2134" t="s">
        <v>209</v>
      </c>
      <c r="AE2134" t="s">
        <v>137</v>
      </c>
    </row>
    <row r="2135" spans="1:78" hidden="1" x14ac:dyDescent="0.2">
      <c r="A2135" t="s">
        <v>119</v>
      </c>
      <c r="B2135" t="s">
        <v>120</v>
      </c>
      <c r="C2135" t="s">
        <v>4940</v>
      </c>
      <c r="D2135">
        <v>1</v>
      </c>
      <c r="E2135" t="s">
        <v>4941</v>
      </c>
      <c r="F2135" t="s">
        <v>242</v>
      </c>
      <c r="G2135" t="s">
        <v>124</v>
      </c>
      <c r="H2135" t="s">
        <v>125</v>
      </c>
      <c r="I2135">
        <v>0</v>
      </c>
      <c r="J2135" t="s">
        <v>126</v>
      </c>
      <c r="K2135" t="s">
        <v>125</v>
      </c>
      <c r="L2135" t="s">
        <v>4942</v>
      </c>
      <c r="U2135" t="s">
        <v>149</v>
      </c>
      <c r="W2135" t="s">
        <v>155</v>
      </c>
      <c r="X2135">
        <v>3</v>
      </c>
      <c r="AC2135" t="s">
        <v>209</v>
      </c>
      <c r="AE2135" t="s">
        <v>137</v>
      </c>
    </row>
    <row r="2136" spans="1:78" hidden="1" x14ac:dyDescent="0.2">
      <c r="A2136" t="s">
        <v>119</v>
      </c>
      <c r="B2136" t="s">
        <v>120</v>
      </c>
      <c r="C2136" t="s">
        <v>4943</v>
      </c>
      <c r="D2136">
        <v>5</v>
      </c>
      <c r="E2136" t="s">
        <v>4938</v>
      </c>
      <c r="F2136" t="s">
        <v>283</v>
      </c>
      <c r="G2136" t="s">
        <v>124</v>
      </c>
      <c r="H2136" t="s">
        <v>125</v>
      </c>
      <c r="I2136">
        <v>18</v>
      </c>
      <c r="J2136" t="s">
        <v>268</v>
      </c>
      <c r="K2136" t="s">
        <v>125</v>
      </c>
      <c r="L2136" t="s">
        <v>4944</v>
      </c>
      <c r="U2136" t="s">
        <v>149</v>
      </c>
      <c r="W2136" t="s">
        <v>155</v>
      </c>
      <c r="X2136">
        <v>3</v>
      </c>
      <c r="AC2136" t="s">
        <v>209</v>
      </c>
      <c r="AE2136" t="s">
        <v>137</v>
      </c>
    </row>
    <row r="2137" spans="1:78" hidden="1" x14ac:dyDescent="0.2">
      <c r="A2137" t="s">
        <v>119</v>
      </c>
      <c r="B2137" t="s">
        <v>120</v>
      </c>
      <c r="C2137" t="s">
        <v>4943</v>
      </c>
      <c r="D2137">
        <v>7</v>
      </c>
      <c r="E2137" t="s">
        <v>4945</v>
      </c>
      <c r="F2137" t="s">
        <v>4946</v>
      </c>
      <c r="G2137" t="s">
        <v>124</v>
      </c>
      <c r="H2137" t="s">
        <v>125</v>
      </c>
      <c r="I2137">
        <v>5</v>
      </c>
      <c r="J2137" t="s">
        <v>294</v>
      </c>
      <c r="K2137" t="s">
        <v>125</v>
      </c>
      <c r="L2137" t="s">
        <v>4947</v>
      </c>
      <c r="T2137" t="s">
        <v>154</v>
      </c>
      <c r="W2137" t="s">
        <v>155</v>
      </c>
    </row>
    <row r="2138" spans="1:78" hidden="1" x14ac:dyDescent="0.2">
      <c r="A2138" t="s">
        <v>119</v>
      </c>
      <c r="B2138" t="s">
        <v>120</v>
      </c>
      <c r="C2138" t="s">
        <v>4943</v>
      </c>
      <c r="D2138">
        <v>11</v>
      </c>
      <c r="E2138" t="s">
        <v>1538</v>
      </c>
      <c r="F2138" t="s">
        <v>1538</v>
      </c>
      <c r="G2138" t="s">
        <v>124</v>
      </c>
      <c r="H2138" t="s">
        <v>125</v>
      </c>
      <c r="I2138">
        <v>7</v>
      </c>
      <c r="J2138" t="s">
        <v>294</v>
      </c>
      <c r="K2138" t="s">
        <v>125</v>
      </c>
      <c r="L2138" t="s">
        <v>4948</v>
      </c>
      <c r="AE2138" t="s">
        <v>128</v>
      </c>
    </row>
    <row r="2139" spans="1:78" hidden="1" x14ac:dyDescent="0.2">
      <c r="A2139" t="s">
        <v>119</v>
      </c>
      <c r="B2139" t="s">
        <v>120</v>
      </c>
      <c r="C2139" t="s">
        <v>4943</v>
      </c>
      <c r="D2139">
        <v>18</v>
      </c>
      <c r="E2139" t="s">
        <v>4559</v>
      </c>
      <c r="F2139" t="s">
        <v>1399</v>
      </c>
      <c r="G2139" t="s">
        <v>124</v>
      </c>
      <c r="H2139" t="s">
        <v>125</v>
      </c>
      <c r="I2139">
        <v>0</v>
      </c>
      <c r="J2139" t="s">
        <v>126</v>
      </c>
      <c r="K2139" t="s">
        <v>125</v>
      </c>
      <c r="L2139" t="s">
        <v>4949</v>
      </c>
      <c r="U2139" t="s">
        <v>149</v>
      </c>
      <c r="W2139" t="s">
        <v>155</v>
      </c>
      <c r="X2139">
        <v>3</v>
      </c>
      <c r="AC2139" t="s">
        <v>209</v>
      </c>
      <c r="AE2139" t="s">
        <v>137</v>
      </c>
    </row>
    <row r="2140" spans="1:78" x14ac:dyDescent="0.2">
      <c r="A2140" t="s">
        <v>119</v>
      </c>
      <c r="B2140" t="s">
        <v>120</v>
      </c>
      <c r="C2140" t="s">
        <v>4950</v>
      </c>
      <c r="D2140">
        <v>2</v>
      </c>
      <c r="E2140" t="s">
        <v>4559</v>
      </c>
      <c r="F2140" t="s">
        <v>1399</v>
      </c>
      <c r="G2140" t="s">
        <v>124</v>
      </c>
      <c r="H2140" t="s">
        <v>125</v>
      </c>
      <c r="I2140">
        <v>0</v>
      </c>
      <c r="J2140" t="s">
        <v>126</v>
      </c>
      <c r="K2140" t="s">
        <v>125</v>
      </c>
      <c r="L2140" t="s">
        <v>4951</v>
      </c>
      <c r="U2140" t="s">
        <v>149</v>
      </c>
      <c r="W2140" t="s">
        <v>155</v>
      </c>
      <c r="X2140">
        <v>3</v>
      </c>
      <c r="AC2140" t="s">
        <v>136</v>
      </c>
      <c r="AE2140" t="s">
        <v>137</v>
      </c>
    </row>
    <row r="2141" spans="1:78" hidden="1" x14ac:dyDescent="0.2">
      <c r="A2141" t="s">
        <v>119</v>
      </c>
      <c r="B2141" t="s">
        <v>120</v>
      </c>
      <c r="C2141" t="s">
        <v>4952</v>
      </c>
      <c r="D2141">
        <v>3</v>
      </c>
      <c r="E2141" t="s">
        <v>4559</v>
      </c>
      <c r="F2141" t="s">
        <v>1399</v>
      </c>
      <c r="G2141" t="s">
        <v>124</v>
      </c>
      <c r="H2141" t="s">
        <v>125</v>
      </c>
      <c r="I2141">
        <v>0</v>
      </c>
      <c r="J2141" t="s">
        <v>126</v>
      </c>
      <c r="K2141" t="s">
        <v>125</v>
      </c>
      <c r="L2141" t="s">
        <v>4953</v>
      </c>
      <c r="U2141" t="s">
        <v>149</v>
      </c>
      <c r="W2141" t="s">
        <v>155</v>
      </c>
      <c r="X2141">
        <v>3</v>
      </c>
      <c r="AC2141" t="s">
        <v>209</v>
      </c>
      <c r="AE2141" t="s">
        <v>137</v>
      </c>
    </row>
    <row r="2142" spans="1:78" hidden="1" x14ac:dyDescent="0.2">
      <c r="A2142" t="s">
        <v>119</v>
      </c>
      <c r="B2142" t="s">
        <v>120</v>
      </c>
      <c r="C2142" t="s">
        <v>4952</v>
      </c>
      <c r="D2142">
        <v>7</v>
      </c>
      <c r="E2142" t="s">
        <v>557</v>
      </c>
      <c r="F2142" t="s">
        <v>146</v>
      </c>
      <c r="G2142" t="s">
        <v>124</v>
      </c>
      <c r="H2142" t="s">
        <v>125</v>
      </c>
      <c r="I2142">
        <v>3</v>
      </c>
      <c r="J2142" t="s">
        <v>161</v>
      </c>
      <c r="K2142" t="s">
        <v>125</v>
      </c>
      <c r="L2142" t="s">
        <v>4954</v>
      </c>
      <c r="T2142" t="s">
        <v>154</v>
      </c>
      <c r="W2142" t="s">
        <v>135</v>
      </c>
      <c r="AC2142" t="s">
        <v>143</v>
      </c>
      <c r="AE2142" t="s">
        <v>144</v>
      </c>
      <c r="AG2142">
        <v>6</v>
      </c>
      <c r="AH2142" t="s">
        <v>145</v>
      </c>
      <c r="AI2142" t="s">
        <v>146</v>
      </c>
      <c r="AJ2142" t="s">
        <v>131</v>
      </c>
      <c r="AK2142" t="s">
        <v>125</v>
      </c>
      <c r="AL2142">
        <v>7</v>
      </c>
      <c r="AM2142" t="s">
        <v>132</v>
      </c>
      <c r="AN2142" t="s">
        <v>125</v>
      </c>
      <c r="AO2142" t="s">
        <v>4955</v>
      </c>
      <c r="BP2142" t="s">
        <v>149</v>
      </c>
      <c r="BR2142" t="s">
        <v>135</v>
      </c>
      <c r="BS2142">
        <v>3</v>
      </c>
      <c r="BX2142" t="s">
        <v>136</v>
      </c>
      <c r="BZ2142" t="s">
        <v>137</v>
      </c>
    </row>
    <row r="2143" spans="1:78" hidden="1" x14ac:dyDescent="0.2">
      <c r="A2143" t="s">
        <v>119</v>
      </c>
      <c r="B2143" t="s">
        <v>120</v>
      </c>
      <c r="C2143" t="s">
        <v>4952</v>
      </c>
      <c r="D2143">
        <v>10</v>
      </c>
      <c r="E2143" t="s">
        <v>4956</v>
      </c>
      <c r="F2143" t="s">
        <v>4956</v>
      </c>
      <c r="G2143" t="s">
        <v>124</v>
      </c>
      <c r="H2143" t="s">
        <v>125</v>
      </c>
      <c r="I2143">
        <v>7</v>
      </c>
      <c r="J2143" t="s">
        <v>294</v>
      </c>
      <c r="K2143" t="s">
        <v>125</v>
      </c>
      <c r="L2143" t="s">
        <v>4957</v>
      </c>
      <c r="AE2143" t="s">
        <v>128</v>
      </c>
    </row>
    <row r="2144" spans="1:78" hidden="1" x14ac:dyDescent="0.2">
      <c r="A2144" t="s">
        <v>119</v>
      </c>
      <c r="B2144" t="s">
        <v>120</v>
      </c>
      <c r="C2144" t="s">
        <v>4958</v>
      </c>
      <c r="D2144">
        <v>2</v>
      </c>
      <c r="E2144" t="s">
        <v>1023</v>
      </c>
      <c r="F2144" t="s">
        <v>186</v>
      </c>
      <c r="G2144" t="s">
        <v>124</v>
      </c>
      <c r="H2144" t="s">
        <v>125</v>
      </c>
      <c r="I2144">
        <v>0</v>
      </c>
      <c r="J2144" t="s">
        <v>126</v>
      </c>
      <c r="K2144" t="s">
        <v>125</v>
      </c>
      <c r="L2144" t="s">
        <v>4959</v>
      </c>
      <c r="T2144" t="s">
        <v>154</v>
      </c>
      <c r="W2144" t="s">
        <v>135</v>
      </c>
      <c r="AC2144" t="s">
        <v>143</v>
      </c>
      <c r="AE2144" t="s">
        <v>144</v>
      </c>
      <c r="AG2144">
        <v>1</v>
      </c>
      <c r="AH2144" t="s">
        <v>614</v>
      </c>
      <c r="AI2144" t="s">
        <v>205</v>
      </c>
      <c r="AJ2144" t="s">
        <v>131</v>
      </c>
      <c r="AK2144" t="s">
        <v>125</v>
      </c>
      <c r="AL2144">
        <v>2</v>
      </c>
      <c r="AM2144" t="s">
        <v>132</v>
      </c>
      <c r="AN2144" t="s">
        <v>125</v>
      </c>
      <c r="AO2144" t="s">
        <v>4960</v>
      </c>
      <c r="BP2144" t="s">
        <v>149</v>
      </c>
      <c r="BR2144" t="s">
        <v>135</v>
      </c>
      <c r="BS2144">
        <v>3</v>
      </c>
      <c r="BX2144" t="s">
        <v>136</v>
      </c>
      <c r="BZ2144" t="s">
        <v>137</v>
      </c>
    </row>
    <row r="2145" spans="1:78" hidden="1" x14ac:dyDescent="0.2">
      <c r="A2145" t="s">
        <v>119</v>
      </c>
      <c r="B2145" t="s">
        <v>120</v>
      </c>
      <c r="C2145" t="s">
        <v>4958</v>
      </c>
      <c r="D2145">
        <v>7</v>
      </c>
      <c r="E2145" t="s">
        <v>508</v>
      </c>
      <c r="F2145" t="s">
        <v>186</v>
      </c>
      <c r="G2145" t="s">
        <v>124</v>
      </c>
      <c r="H2145" t="s">
        <v>125</v>
      </c>
      <c r="I2145">
        <v>2</v>
      </c>
      <c r="J2145" t="s">
        <v>161</v>
      </c>
      <c r="K2145" t="s">
        <v>125</v>
      </c>
      <c r="L2145" t="s">
        <v>4961</v>
      </c>
      <c r="T2145" t="s">
        <v>142</v>
      </c>
      <c r="W2145" t="s">
        <v>135</v>
      </c>
      <c r="AC2145" t="s">
        <v>143</v>
      </c>
      <c r="AE2145" t="s">
        <v>144</v>
      </c>
      <c r="AG2145">
        <v>6</v>
      </c>
      <c r="AH2145" t="s">
        <v>614</v>
      </c>
      <c r="AI2145" t="s">
        <v>205</v>
      </c>
      <c r="AJ2145" t="s">
        <v>131</v>
      </c>
      <c r="AK2145" t="s">
        <v>125</v>
      </c>
      <c r="AL2145">
        <v>7</v>
      </c>
      <c r="AM2145" t="s">
        <v>132</v>
      </c>
      <c r="AN2145" t="s">
        <v>125</v>
      </c>
      <c r="AO2145" t="s">
        <v>4962</v>
      </c>
      <c r="BP2145" t="s">
        <v>149</v>
      </c>
      <c r="BR2145" t="s">
        <v>135</v>
      </c>
      <c r="BS2145">
        <v>3</v>
      </c>
      <c r="BX2145" t="s">
        <v>136</v>
      </c>
      <c r="BZ2145" t="s">
        <v>137</v>
      </c>
    </row>
    <row r="2146" spans="1:78" x14ac:dyDescent="0.2">
      <c r="A2146" t="s">
        <v>119</v>
      </c>
      <c r="B2146" t="s">
        <v>120</v>
      </c>
      <c r="C2146" t="s">
        <v>4963</v>
      </c>
      <c r="D2146">
        <v>2</v>
      </c>
      <c r="E2146" t="s">
        <v>4964</v>
      </c>
      <c r="F2146" t="s">
        <v>4965</v>
      </c>
      <c r="G2146" t="s">
        <v>124</v>
      </c>
      <c r="H2146" t="s">
        <v>125</v>
      </c>
      <c r="I2146">
        <v>0</v>
      </c>
      <c r="J2146" t="s">
        <v>126</v>
      </c>
      <c r="K2146" t="s">
        <v>125</v>
      </c>
      <c r="L2146" t="s">
        <v>4966</v>
      </c>
      <c r="U2146" t="s">
        <v>209</v>
      </c>
      <c r="W2146" t="s">
        <v>155</v>
      </c>
      <c r="X2146">
        <v>1</v>
      </c>
      <c r="AC2146" t="s">
        <v>136</v>
      </c>
      <c r="AE2146" t="s">
        <v>137</v>
      </c>
    </row>
    <row r="2147" spans="1:78" x14ac:dyDescent="0.2">
      <c r="A2147" t="s">
        <v>119</v>
      </c>
      <c r="B2147" t="s">
        <v>120</v>
      </c>
      <c r="C2147" t="s">
        <v>4963</v>
      </c>
      <c r="D2147">
        <v>7</v>
      </c>
      <c r="E2147" t="s">
        <v>4967</v>
      </c>
      <c r="F2147" t="s">
        <v>1970</v>
      </c>
      <c r="G2147" t="s">
        <v>124</v>
      </c>
      <c r="H2147" t="s">
        <v>125</v>
      </c>
      <c r="I2147">
        <v>2</v>
      </c>
      <c r="J2147" t="s">
        <v>264</v>
      </c>
      <c r="K2147" t="s">
        <v>125</v>
      </c>
      <c r="L2147" t="s">
        <v>4968</v>
      </c>
      <c r="U2147" t="s">
        <v>209</v>
      </c>
      <c r="W2147" t="s">
        <v>135</v>
      </c>
      <c r="X2147">
        <v>3</v>
      </c>
      <c r="AC2147" t="s">
        <v>136</v>
      </c>
      <c r="AE2147" t="s">
        <v>137</v>
      </c>
    </row>
    <row r="2148" spans="1:78" hidden="1" x14ac:dyDescent="0.2">
      <c r="A2148" t="s">
        <v>119</v>
      </c>
      <c r="B2148" t="s">
        <v>120</v>
      </c>
      <c r="C2148" t="s">
        <v>4969</v>
      </c>
      <c r="D2148">
        <v>5</v>
      </c>
      <c r="E2148" t="s">
        <v>512</v>
      </c>
      <c r="F2148" t="s">
        <v>146</v>
      </c>
      <c r="G2148" t="s">
        <v>124</v>
      </c>
      <c r="H2148" t="s">
        <v>125</v>
      </c>
      <c r="I2148">
        <v>0</v>
      </c>
      <c r="J2148" t="s">
        <v>126</v>
      </c>
      <c r="K2148" t="s">
        <v>125</v>
      </c>
      <c r="L2148" t="s">
        <v>2483</v>
      </c>
      <c r="U2148" t="s">
        <v>149</v>
      </c>
      <c r="W2148" t="s">
        <v>155</v>
      </c>
      <c r="X2148">
        <v>3</v>
      </c>
      <c r="AC2148" t="s">
        <v>209</v>
      </c>
      <c r="AE2148" t="s">
        <v>137</v>
      </c>
    </row>
    <row r="2149" spans="1:78" hidden="1" x14ac:dyDescent="0.2">
      <c r="A2149" t="s">
        <v>119</v>
      </c>
      <c r="B2149" t="s">
        <v>120</v>
      </c>
      <c r="C2149" t="s">
        <v>4970</v>
      </c>
      <c r="D2149">
        <v>3</v>
      </c>
      <c r="E2149" t="s">
        <v>3210</v>
      </c>
      <c r="F2149" t="s">
        <v>3211</v>
      </c>
      <c r="G2149" t="s">
        <v>124</v>
      </c>
      <c r="H2149" t="s">
        <v>125</v>
      </c>
      <c r="I2149">
        <v>0</v>
      </c>
      <c r="J2149" t="s">
        <v>126</v>
      </c>
      <c r="K2149" t="s">
        <v>125</v>
      </c>
      <c r="L2149" t="s">
        <v>4971</v>
      </c>
      <c r="T2149" t="s">
        <v>154</v>
      </c>
      <c r="W2149" t="s">
        <v>135</v>
      </c>
      <c r="AC2149" t="s">
        <v>143</v>
      </c>
      <c r="AE2149" t="s">
        <v>144</v>
      </c>
      <c r="AG2149">
        <v>2</v>
      </c>
      <c r="AH2149" t="s">
        <v>706</v>
      </c>
      <c r="AI2149" t="s">
        <v>205</v>
      </c>
      <c r="AJ2149" t="s">
        <v>131</v>
      </c>
      <c r="AK2149" t="s">
        <v>125</v>
      </c>
      <c r="AL2149">
        <v>3</v>
      </c>
      <c r="AM2149" t="s">
        <v>132</v>
      </c>
      <c r="AN2149" t="s">
        <v>125</v>
      </c>
      <c r="AO2149" t="s">
        <v>4972</v>
      </c>
      <c r="BP2149" t="s">
        <v>149</v>
      </c>
      <c r="BR2149" t="s">
        <v>155</v>
      </c>
      <c r="BS2149">
        <v>3</v>
      </c>
      <c r="BX2149" t="s">
        <v>209</v>
      </c>
      <c r="BZ2149" t="s">
        <v>137</v>
      </c>
    </row>
    <row r="2150" spans="1:78" hidden="1" x14ac:dyDescent="0.2">
      <c r="A2150" t="s">
        <v>119</v>
      </c>
      <c r="B2150" t="s">
        <v>120</v>
      </c>
      <c r="C2150" t="s">
        <v>4970</v>
      </c>
      <c r="D2150">
        <v>5</v>
      </c>
      <c r="E2150" t="s">
        <v>1399</v>
      </c>
      <c r="F2150" t="s">
        <v>1399</v>
      </c>
      <c r="G2150" t="s">
        <v>124</v>
      </c>
      <c r="H2150" t="s">
        <v>125</v>
      </c>
      <c r="I2150">
        <v>3</v>
      </c>
      <c r="J2150" t="s">
        <v>294</v>
      </c>
      <c r="K2150" t="s">
        <v>125</v>
      </c>
      <c r="L2150" t="s">
        <v>4973</v>
      </c>
      <c r="AE2150" t="s">
        <v>128</v>
      </c>
    </row>
    <row r="2151" spans="1:78" hidden="1" x14ac:dyDescent="0.2">
      <c r="A2151" t="s">
        <v>119</v>
      </c>
      <c r="B2151" t="s">
        <v>120</v>
      </c>
      <c r="C2151" t="s">
        <v>4974</v>
      </c>
      <c r="D2151">
        <v>9</v>
      </c>
      <c r="E2151" t="s">
        <v>508</v>
      </c>
      <c r="F2151" t="s">
        <v>186</v>
      </c>
      <c r="G2151" t="s">
        <v>124</v>
      </c>
      <c r="H2151" t="s">
        <v>125</v>
      </c>
      <c r="I2151">
        <v>4</v>
      </c>
      <c r="J2151" t="s">
        <v>170</v>
      </c>
      <c r="K2151" t="s">
        <v>125</v>
      </c>
      <c r="L2151" t="s">
        <v>4975</v>
      </c>
      <c r="T2151" t="s">
        <v>142</v>
      </c>
      <c r="W2151" t="s">
        <v>135</v>
      </c>
      <c r="AC2151" t="s">
        <v>143</v>
      </c>
      <c r="AE2151" t="s">
        <v>144</v>
      </c>
      <c r="AG2151">
        <v>7</v>
      </c>
      <c r="AH2151" t="s">
        <v>145</v>
      </c>
      <c r="AI2151" t="s">
        <v>146</v>
      </c>
      <c r="AJ2151" t="s">
        <v>131</v>
      </c>
      <c r="AK2151" t="s">
        <v>125</v>
      </c>
      <c r="AL2151">
        <v>9</v>
      </c>
      <c r="AM2151" t="s">
        <v>132</v>
      </c>
      <c r="AN2151" t="s">
        <v>125</v>
      </c>
      <c r="AO2151" t="s">
        <v>4976</v>
      </c>
      <c r="BP2151" t="s">
        <v>149</v>
      </c>
      <c r="BR2151" t="s">
        <v>135</v>
      </c>
      <c r="BS2151">
        <v>3</v>
      </c>
      <c r="BX2151" t="s">
        <v>136</v>
      </c>
      <c r="BZ2151" t="s">
        <v>137</v>
      </c>
    </row>
    <row r="2152" spans="1:78" x14ac:dyDescent="0.2">
      <c r="A2152" t="s">
        <v>119</v>
      </c>
      <c r="B2152" t="s">
        <v>120</v>
      </c>
      <c r="C2152" t="s">
        <v>4974</v>
      </c>
      <c r="D2152">
        <v>11</v>
      </c>
      <c r="E2152" t="s">
        <v>145</v>
      </c>
      <c r="F2152" t="s">
        <v>146</v>
      </c>
      <c r="G2152" t="s">
        <v>124</v>
      </c>
      <c r="H2152" t="s">
        <v>125</v>
      </c>
      <c r="I2152">
        <v>0</v>
      </c>
      <c r="J2152" t="s">
        <v>126</v>
      </c>
      <c r="K2152" t="s">
        <v>125</v>
      </c>
      <c r="L2152" t="s">
        <v>4977</v>
      </c>
      <c r="U2152" t="s">
        <v>149</v>
      </c>
      <c r="W2152" t="s">
        <v>135</v>
      </c>
      <c r="X2152">
        <v>3</v>
      </c>
      <c r="AC2152" t="s">
        <v>136</v>
      </c>
      <c r="AE2152" t="s">
        <v>137</v>
      </c>
    </row>
    <row r="2153" spans="1:78" hidden="1" x14ac:dyDescent="0.2">
      <c r="A2153" t="s">
        <v>119</v>
      </c>
      <c r="B2153" t="s">
        <v>120</v>
      </c>
      <c r="C2153" t="s">
        <v>4978</v>
      </c>
      <c r="D2153">
        <v>3</v>
      </c>
      <c r="E2153" t="s">
        <v>4979</v>
      </c>
      <c r="F2153" t="s">
        <v>4980</v>
      </c>
      <c r="G2153" t="s">
        <v>124</v>
      </c>
      <c r="H2153" t="s">
        <v>125</v>
      </c>
      <c r="I2153">
        <v>0</v>
      </c>
      <c r="J2153" t="s">
        <v>126</v>
      </c>
      <c r="K2153" t="s">
        <v>125</v>
      </c>
      <c r="L2153" t="s">
        <v>4981</v>
      </c>
      <c r="U2153" t="s">
        <v>149</v>
      </c>
      <c r="W2153" t="s">
        <v>135</v>
      </c>
      <c r="X2153">
        <v>3</v>
      </c>
      <c r="AC2153" t="s">
        <v>209</v>
      </c>
      <c r="AE2153" t="s">
        <v>137</v>
      </c>
    </row>
    <row r="2154" spans="1:78" hidden="1" x14ac:dyDescent="0.2">
      <c r="A2154" t="s">
        <v>119</v>
      </c>
      <c r="B2154" t="s">
        <v>120</v>
      </c>
      <c r="C2154" t="s">
        <v>4982</v>
      </c>
      <c r="D2154">
        <v>7</v>
      </c>
      <c r="E2154" t="s">
        <v>3210</v>
      </c>
      <c r="F2154" t="s">
        <v>3211</v>
      </c>
      <c r="G2154" t="s">
        <v>124</v>
      </c>
      <c r="H2154" t="s">
        <v>125</v>
      </c>
      <c r="I2154">
        <v>0</v>
      </c>
      <c r="J2154" t="s">
        <v>126</v>
      </c>
      <c r="K2154" t="s">
        <v>125</v>
      </c>
      <c r="L2154" t="s">
        <v>4983</v>
      </c>
      <c r="T2154" t="s">
        <v>154</v>
      </c>
      <c r="W2154" t="s">
        <v>135</v>
      </c>
      <c r="AC2154" t="s">
        <v>143</v>
      </c>
      <c r="AE2154" t="s">
        <v>144</v>
      </c>
      <c r="AG2154">
        <v>6</v>
      </c>
      <c r="AH2154" t="s">
        <v>706</v>
      </c>
      <c r="AI2154" t="s">
        <v>205</v>
      </c>
      <c r="AJ2154" t="s">
        <v>131</v>
      </c>
      <c r="AK2154" t="s">
        <v>125</v>
      </c>
      <c r="AL2154">
        <v>7</v>
      </c>
      <c r="AM2154" t="s">
        <v>132</v>
      </c>
      <c r="AN2154" t="s">
        <v>125</v>
      </c>
      <c r="AO2154" t="s">
        <v>4984</v>
      </c>
      <c r="BP2154" t="s">
        <v>149</v>
      </c>
      <c r="BR2154" t="s">
        <v>155</v>
      </c>
      <c r="BS2154">
        <v>3</v>
      </c>
      <c r="BX2154" t="s">
        <v>209</v>
      </c>
      <c r="BZ2154" t="s">
        <v>137</v>
      </c>
    </row>
    <row r="2155" spans="1:78" hidden="1" x14ac:dyDescent="0.2">
      <c r="A2155" t="s">
        <v>119</v>
      </c>
      <c r="B2155" t="s">
        <v>120</v>
      </c>
      <c r="C2155" t="s">
        <v>4982</v>
      </c>
      <c r="D2155">
        <v>9</v>
      </c>
      <c r="E2155" t="s">
        <v>1399</v>
      </c>
      <c r="F2155" t="s">
        <v>1399</v>
      </c>
      <c r="G2155" t="s">
        <v>124</v>
      </c>
      <c r="H2155" t="s">
        <v>125</v>
      </c>
      <c r="I2155">
        <v>7</v>
      </c>
      <c r="J2155" t="s">
        <v>294</v>
      </c>
      <c r="K2155" t="s">
        <v>125</v>
      </c>
      <c r="L2155" t="s">
        <v>4985</v>
      </c>
      <c r="AE2155" t="s">
        <v>128</v>
      </c>
    </row>
    <row r="2156" spans="1:78" hidden="1" x14ac:dyDescent="0.2">
      <c r="A2156" t="s">
        <v>119</v>
      </c>
      <c r="B2156" t="s">
        <v>120</v>
      </c>
      <c r="C2156" t="s">
        <v>4982</v>
      </c>
      <c r="D2156">
        <v>15</v>
      </c>
      <c r="E2156" t="s">
        <v>4938</v>
      </c>
      <c r="F2156" t="s">
        <v>283</v>
      </c>
      <c r="G2156" t="s">
        <v>124</v>
      </c>
      <c r="H2156" t="s">
        <v>125</v>
      </c>
      <c r="I2156">
        <v>12</v>
      </c>
      <c r="J2156" t="s">
        <v>170</v>
      </c>
      <c r="K2156" t="s">
        <v>125</v>
      </c>
      <c r="L2156" t="s">
        <v>4986</v>
      </c>
      <c r="U2156" t="s">
        <v>149</v>
      </c>
      <c r="W2156" t="s">
        <v>155</v>
      </c>
      <c r="X2156">
        <v>3</v>
      </c>
      <c r="AC2156" t="s">
        <v>209</v>
      </c>
      <c r="AE2156" t="s">
        <v>137</v>
      </c>
    </row>
    <row r="2157" spans="1:78" hidden="1" x14ac:dyDescent="0.2">
      <c r="A2157" t="s">
        <v>119</v>
      </c>
      <c r="B2157" t="s">
        <v>120</v>
      </c>
      <c r="C2157" t="s">
        <v>4987</v>
      </c>
      <c r="D2157">
        <v>3</v>
      </c>
      <c r="E2157" t="s">
        <v>4988</v>
      </c>
      <c r="F2157" t="s">
        <v>3604</v>
      </c>
      <c r="G2157" t="s">
        <v>124</v>
      </c>
      <c r="H2157" t="s">
        <v>125</v>
      </c>
      <c r="I2157">
        <v>0</v>
      </c>
      <c r="J2157" t="s">
        <v>126</v>
      </c>
      <c r="K2157" t="s">
        <v>125</v>
      </c>
      <c r="L2157" t="s">
        <v>4989</v>
      </c>
      <c r="U2157" t="s">
        <v>149</v>
      </c>
      <c r="W2157" t="s">
        <v>135</v>
      </c>
      <c r="X2157">
        <v>3</v>
      </c>
      <c r="AC2157" t="s">
        <v>209</v>
      </c>
      <c r="AE2157" t="s">
        <v>137</v>
      </c>
    </row>
    <row r="2158" spans="1:78" hidden="1" x14ac:dyDescent="0.2">
      <c r="A2158" t="s">
        <v>119</v>
      </c>
      <c r="B2158" t="s">
        <v>120</v>
      </c>
      <c r="C2158" t="s">
        <v>4987</v>
      </c>
      <c r="D2158">
        <v>10</v>
      </c>
      <c r="E2158" t="s">
        <v>4848</v>
      </c>
      <c r="F2158" t="s">
        <v>140</v>
      </c>
      <c r="G2158" t="s">
        <v>124</v>
      </c>
      <c r="H2158" t="s">
        <v>125</v>
      </c>
      <c r="I2158">
        <v>3</v>
      </c>
      <c r="J2158" t="s">
        <v>161</v>
      </c>
      <c r="K2158" t="s">
        <v>125</v>
      </c>
      <c r="L2158" t="s">
        <v>4990</v>
      </c>
      <c r="U2158" t="s">
        <v>149</v>
      </c>
      <c r="W2158" t="s">
        <v>155</v>
      </c>
      <c r="X2158">
        <v>3</v>
      </c>
      <c r="AC2158" t="s">
        <v>209</v>
      </c>
      <c r="AE2158" t="s">
        <v>137</v>
      </c>
    </row>
    <row r="2159" spans="1:78" hidden="1" x14ac:dyDescent="0.2">
      <c r="A2159" t="s">
        <v>119</v>
      </c>
      <c r="B2159" t="s">
        <v>120</v>
      </c>
      <c r="C2159" t="s">
        <v>4991</v>
      </c>
      <c r="D2159">
        <v>4</v>
      </c>
      <c r="E2159" t="s">
        <v>207</v>
      </c>
      <c r="F2159" t="s">
        <v>146</v>
      </c>
      <c r="G2159" t="s">
        <v>124</v>
      </c>
      <c r="H2159" t="s">
        <v>125</v>
      </c>
      <c r="I2159">
        <v>0</v>
      </c>
      <c r="J2159" t="s">
        <v>126</v>
      </c>
      <c r="K2159" t="s">
        <v>125</v>
      </c>
      <c r="L2159" t="s">
        <v>4992</v>
      </c>
      <c r="U2159" t="s">
        <v>149</v>
      </c>
      <c r="W2159" t="s">
        <v>135</v>
      </c>
      <c r="X2159">
        <v>3</v>
      </c>
      <c r="AC2159" t="s">
        <v>209</v>
      </c>
      <c r="AE2159" t="s">
        <v>137</v>
      </c>
    </row>
    <row r="2160" spans="1:78" hidden="1" x14ac:dyDescent="0.2">
      <c r="A2160" t="s">
        <v>119</v>
      </c>
      <c r="B2160" t="s">
        <v>120</v>
      </c>
      <c r="C2160" t="s">
        <v>4993</v>
      </c>
      <c r="D2160">
        <v>8</v>
      </c>
      <c r="E2160" t="s">
        <v>448</v>
      </c>
      <c r="F2160" t="s">
        <v>449</v>
      </c>
      <c r="G2160" t="s">
        <v>124</v>
      </c>
      <c r="H2160" t="s">
        <v>125</v>
      </c>
      <c r="I2160">
        <v>0</v>
      </c>
      <c r="J2160" t="s">
        <v>126</v>
      </c>
      <c r="K2160" t="s">
        <v>125</v>
      </c>
      <c r="L2160" t="s">
        <v>4994</v>
      </c>
      <c r="T2160" t="s">
        <v>154</v>
      </c>
      <c r="W2160" t="s">
        <v>135</v>
      </c>
      <c r="AC2160" t="s">
        <v>143</v>
      </c>
      <c r="AE2160" t="s">
        <v>144</v>
      </c>
      <c r="AG2160">
        <v>7</v>
      </c>
      <c r="AH2160" t="s">
        <v>207</v>
      </c>
      <c r="AI2160" t="s">
        <v>146</v>
      </c>
      <c r="AJ2160" t="s">
        <v>131</v>
      </c>
      <c r="AK2160" t="s">
        <v>125</v>
      </c>
      <c r="AL2160">
        <v>8</v>
      </c>
      <c r="AM2160" t="s">
        <v>132</v>
      </c>
      <c r="AN2160" t="s">
        <v>125</v>
      </c>
      <c r="AO2160" t="s">
        <v>4995</v>
      </c>
      <c r="BP2160" t="s">
        <v>149</v>
      </c>
      <c r="BR2160" t="s">
        <v>135</v>
      </c>
      <c r="BS2160">
        <v>3</v>
      </c>
      <c r="BX2160" t="s">
        <v>209</v>
      </c>
      <c r="BZ2160" t="s">
        <v>137</v>
      </c>
    </row>
    <row r="2161" spans="1:78" hidden="1" x14ac:dyDescent="0.2">
      <c r="A2161" t="s">
        <v>119</v>
      </c>
      <c r="B2161" t="s">
        <v>120</v>
      </c>
      <c r="C2161" t="s">
        <v>4996</v>
      </c>
      <c r="D2161">
        <v>1</v>
      </c>
      <c r="E2161" t="s">
        <v>1783</v>
      </c>
      <c r="F2161" t="s">
        <v>205</v>
      </c>
      <c r="G2161" t="s">
        <v>124</v>
      </c>
      <c r="H2161" t="s">
        <v>125</v>
      </c>
      <c r="I2161">
        <v>0</v>
      </c>
      <c r="J2161" t="s">
        <v>126</v>
      </c>
      <c r="K2161" t="s">
        <v>125</v>
      </c>
      <c r="L2161" t="s">
        <v>4997</v>
      </c>
      <c r="U2161" t="s">
        <v>149</v>
      </c>
      <c r="W2161" t="s">
        <v>135</v>
      </c>
      <c r="X2161">
        <v>3</v>
      </c>
      <c r="AC2161" t="s">
        <v>209</v>
      </c>
      <c r="AE2161" t="s">
        <v>137</v>
      </c>
    </row>
    <row r="2162" spans="1:78" hidden="1" x14ac:dyDescent="0.2">
      <c r="A2162" t="s">
        <v>119</v>
      </c>
      <c r="B2162" t="s">
        <v>120</v>
      </c>
      <c r="C2162" t="s">
        <v>4996</v>
      </c>
      <c r="D2162">
        <v>7</v>
      </c>
      <c r="E2162" t="s">
        <v>1783</v>
      </c>
      <c r="F2162" t="s">
        <v>205</v>
      </c>
      <c r="G2162" t="s">
        <v>124</v>
      </c>
      <c r="H2162" t="s">
        <v>125</v>
      </c>
      <c r="I2162">
        <v>1</v>
      </c>
      <c r="J2162" t="s">
        <v>268</v>
      </c>
      <c r="K2162" t="s">
        <v>125</v>
      </c>
      <c r="L2162" t="s">
        <v>4998</v>
      </c>
      <c r="U2162" t="s">
        <v>149</v>
      </c>
      <c r="W2162" t="s">
        <v>135</v>
      </c>
      <c r="X2162">
        <v>3</v>
      </c>
      <c r="AC2162" t="s">
        <v>209</v>
      </c>
      <c r="AE2162" t="s">
        <v>137</v>
      </c>
    </row>
    <row r="2163" spans="1:78" hidden="1" x14ac:dyDescent="0.2">
      <c r="A2163" t="s">
        <v>119</v>
      </c>
      <c r="B2163" t="s">
        <v>120</v>
      </c>
      <c r="C2163" t="s">
        <v>4996</v>
      </c>
      <c r="D2163">
        <v>8</v>
      </c>
      <c r="E2163" t="s">
        <v>1783</v>
      </c>
      <c r="F2163" t="s">
        <v>205</v>
      </c>
      <c r="G2163" t="s">
        <v>124</v>
      </c>
      <c r="H2163" t="s">
        <v>125</v>
      </c>
      <c r="I2163">
        <v>1</v>
      </c>
      <c r="J2163" t="s">
        <v>161</v>
      </c>
      <c r="K2163" t="s">
        <v>125</v>
      </c>
      <c r="L2163" t="s">
        <v>4999</v>
      </c>
      <c r="U2163" t="s">
        <v>149</v>
      </c>
      <c r="W2163" t="s">
        <v>135</v>
      </c>
      <c r="X2163">
        <v>3</v>
      </c>
      <c r="AC2163" t="s">
        <v>209</v>
      </c>
      <c r="AE2163" t="s">
        <v>137</v>
      </c>
    </row>
    <row r="2164" spans="1:78" x14ac:dyDescent="0.2">
      <c r="A2164" t="s">
        <v>119</v>
      </c>
      <c r="B2164" t="s">
        <v>120</v>
      </c>
      <c r="C2164" t="s">
        <v>5000</v>
      </c>
      <c r="D2164">
        <v>2</v>
      </c>
      <c r="E2164" t="s">
        <v>160</v>
      </c>
      <c r="F2164" t="s">
        <v>146</v>
      </c>
      <c r="G2164" t="s">
        <v>124</v>
      </c>
      <c r="H2164" t="s">
        <v>125</v>
      </c>
      <c r="I2164">
        <v>0</v>
      </c>
      <c r="J2164" t="s">
        <v>126</v>
      </c>
      <c r="K2164" t="s">
        <v>125</v>
      </c>
      <c r="L2164" t="s">
        <v>5001</v>
      </c>
      <c r="U2164" t="s">
        <v>149</v>
      </c>
      <c r="W2164" t="s">
        <v>155</v>
      </c>
      <c r="X2164">
        <v>3</v>
      </c>
      <c r="AC2164" t="s">
        <v>136</v>
      </c>
      <c r="AE2164" t="s">
        <v>137</v>
      </c>
    </row>
    <row r="2165" spans="1:78" x14ac:dyDescent="0.2">
      <c r="A2165" t="s">
        <v>119</v>
      </c>
      <c r="B2165" t="s">
        <v>120</v>
      </c>
      <c r="C2165" t="s">
        <v>5000</v>
      </c>
      <c r="D2165">
        <v>10</v>
      </c>
      <c r="E2165" t="s">
        <v>218</v>
      </c>
      <c r="F2165" t="s">
        <v>205</v>
      </c>
      <c r="G2165" t="s">
        <v>124</v>
      </c>
      <c r="H2165" t="s">
        <v>125</v>
      </c>
      <c r="I2165">
        <v>8</v>
      </c>
      <c r="J2165" t="s">
        <v>170</v>
      </c>
      <c r="K2165" t="s">
        <v>125</v>
      </c>
      <c r="L2165" t="s">
        <v>5002</v>
      </c>
      <c r="U2165" t="s">
        <v>149</v>
      </c>
      <c r="W2165" t="s">
        <v>155</v>
      </c>
      <c r="X2165">
        <v>3</v>
      </c>
      <c r="AC2165" t="s">
        <v>136</v>
      </c>
      <c r="AE2165" t="s">
        <v>137</v>
      </c>
    </row>
    <row r="2166" spans="1:78" hidden="1" x14ac:dyDescent="0.2">
      <c r="A2166" t="s">
        <v>119</v>
      </c>
      <c r="B2166" t="s">
        <v>120</v>
      </c>
      <c r="C2166" t="s">
        <v>5003</v>
      </c>
      <c r="D2166">
        <v>2</v>
      </c>
      <c r="E2166" t="s">
        <v>557</v>
      </c>
      <c r="F2166" t="s">
        <v>146</v>
      </c>
      <c r="G2166" t="s">
        <v>124</v>
      </c>
      <c r="H2166" t="s">
        <v>125</v>
      </c>
      <c r="I2166">
        <v>0</v>
      </c>
      <c r="J2166" t="s">
        <v>126</v>
      </c>
      <c r="K2166" t="s">
        <v>125</v>
      </c>
      <c r="L2166" t="s">
        <v>5004</v>
      </c>
      <c r="T2166" t="s">
        <v>154</v>
      </c>
      <c r="W2166" t="s">
        <v>135</v>
      </c>
      <c r="AC2166" t="s">
        <v>143</v>
      </c>
      <c r="AE2166" t="s">
        <v>144</v>
      </c>
      <c r="AG2166">
        <v>1</v>
      </c>
      <c r="AH2166" t="s">
        <v>145</v>
      </c>
      <c r="AI2166" t="s">
        <v>146</v>
      </c>
      <c r="AJ2166" t="s">
        <v>131</v>
      </c>
      <c r="AK2166" t="s">
        <v>125</v>
      </c>
      <c r="AL2166">
        <v>2</v>
      </c>
      <c r="AM2166" t="s">
        <v>132</v>
      </c>
      <c r="AN2166" t="s">
        <v>125</v>
      </c>
      <c r="AO2166" t="s">
        <v>5005</v>
      </c>
      <c r="BP2166" t="s">
        <v>149</v>
      </c>
      <c r="BR2166" t="s">
        <v>135</v>
      </c>
      <c r="BS2166">
        <v>3</v>
      </c>
      <c r="BX2166" t="s">
        <v>136</v>
      </c>
      <c r="BZ2166" t="s">
        <v>137</v>
      </c>
    </row>
    <row r="2167" spans="1:78" hidden="1" x14ac:dyDescent="0.2">
      <c r="A2167" t="s">
        <v>119</v>
      </c>
      <c r="B2167" t="s">
        <v>120</v>
      </c>
      <c r="C2167" t="s">
        <v>5003</v>
      </c>
      <c r="D2167">
        <v>6</v>
      </c>
      <c r="E2167" t="s">
        <v>407</v>
      </c>
      <c r="F2167" t="s">
        <v>140</v>
      </c>
      <c r="G2167" t="s">
        <v>124</v>
      </c>
      <c r="H2167" t="s">
        <v>125</v>
      </c>
      <c r="I2167">
        <v>2</v>
      </c>
      <c r="J2167" t="s">
        <v>161</v>
      </c>
      <c r="K2167" t="s">
        <v>125</v>
      </c>
      <c r="L2167" t="s">
        <v>5006</v>
      </c>
      <c r="T2167" t="s">
        <v>154</v>
      </c>
      <c r="W2167" t="s">
        <v>135</v>
      </c>
      <c r="AC2167" t="s">
        <v>143</v>
      </c>
      <c r="AE2167" t="s">
        <v>144</v>
      </c>
      <c r="AG2167">
        <v>5</v>
      </c>
      <c r="AH2167" t="s">
        <v>614</v>
      </c>
      <c r="AI2167" t="s">
        <v>205</v>
      </c>
      <c r="AJ2167" t="s">
        <v>131</v>
      </c>
      <c r="AK2167" t="s">
        <v>125</v>
      </c>
      <c r="AL2167">
        <v>6</v>
      </c>
      <c r="AM2167" t="s">
        <v>132</v>
      </c>
      <c r="AN2167" t="s">
        <v>125</v>
      </c>
      <c r="AO2167" t="s">
        <v>5007</v>
      </c>
      <c r="BP2167" t="s">
        <v>149</v>
      </c>
      <c r="BR2167" t="s">
        <v>135</v>
      </c>
      <c r="BS2167">
        <v>3</v>
      </c>
      <c r="BX2167" t="s">
        <v>136</v>
      </c>
      <c r="BZ2167" t="s">
        <v>137</v>
      </c>
    </row>
    <row r="2168" spans="1:78" x14ac:dyDescent="0.2">
      <c r="A2168" t="s">
        <v>119</v>
      </c>
      <c r="B2168" t="s">
        <v>120</v>
      </c>
      <c r="C2168" t="s">
        <v>5008</v>
      </c>
      <c r="D2168">
        <v>4</v>
      </c>
      <c r="E2168" t="s">
        <v>5009</v>
      </c>
      <c r="F2168" t="s">
        <v>186</v>
      </c>
      <c r="G2168" t="s">
        <v>124</v>
      </c>
      <c r="H2168" t="s">
        <v>125</v>
      </c>
      <c r="I2168">
        <v>1</v>
      </c>
      <c r="J2168" t="s">
        <v>161</v>
      </c>
      <c r="K2168" t="s">
        <v>125</v>
      </c>
      <c r="L2168" t="s">
        <v>5010</v>
      </c>
      <c r="U2168" t="s">
        <v>149</v>
      </c>
      <c r="W2168" t="s">
        <v>155</v>
      </c>
      <c r="X2168">
        <v>3</v>
      </c>
      <c r="AC2168" t="s">
        <v>136</v>
      </c>
      <c r="AE2168" t="s">
        <v>137</v>
      </c>
    </row>
    <row r="2169" spans="1:78" x14ac:dyDescent="0.2">
      <c r="A2169" t="s">
        <v>119</v>
      </c>
      <c r="B2169" t="s">
        <v>120</v>
      </c>
      <c r="C2169" t="s">
        <v>5011</v>
      </c>
      <c r="D2169">
        <v>4</v>
      </c>
      <c r="E2169" t="s">
        <v>1148</v>
      </c>
      <c r="F2169" t="s">
        <v>1149</v>
      </c>
      <c r="G2169" t="s">
        <v>124</v>
      </c>
      <c r="H2169" t="s">
        <v>125</v>
      </c>
      <c r="I2169">
        <v>0</v>
      </c>
      <c r="J2169" t="s">
        <v>126</v>
      </c>
      <c r="K2169" t="s">
        <v>125</v>
      </c>
      <c r="L2169" t="s">
        <v>5012</v>
      </c>
      <c r="U2169" t="s">
        <v>149</v>
      </c>
      <c r="W2169" t="s">
        <v>135</v>
      </c>
      <c r="X2169">
        <v>3</v>
      </c>
      <c r="AC2169" t="s">
        <v>136</v>
      </c>
      <c r="AE2169" t="s">
        <v>137</v>
      </c>
    </row>
    <row r="2170" spans="1:78" hidden="1" x14ac:dyDescent="0.2">
      <c r="A2170" t="s">
        <v>119</v>
      </c>
      <c r="B2170" t="s">
        <v>120</v>
      </c>
      <c r="C2170" t="s">
        <v>5011</v>
      </c>
      <c r="D2170">
        <v>6</v>
      </c>
      <c r="E2170" t="s">
        <v>5013</v>
      </c>
      <c r="F2170" t="s">
        <v>205</v>
      </c>
      <c r="G2170" t="s">
        <v>124</v>
      </c>
      <c r="H2170" t="s">
        <v>125</v>
      </c>
      <c r="I2170">
        <v>4</v>
      </c>
      <c r="J2170" t="s">
        <v>264</v>
      </c>
      <c r="K2170" t="s">
        <v>125</v>
      </c>
      <c r="L2170" t="s">
        <v>5014</v>
      </c>
      <c r="U2170" t="s">
        <v>309</v>
      </c>
      <c r="W2170" t="s">
        <v>135</v>
      </c>
      <c r="X2170">
        <v>3</v>
      </c>
      <c r="AC2170" t="s">
        <v>209</v>
      </c>
      <c r="AE2170" t="s">
        <v>137</v>
      </c>
    </row>
    <row r="2171" spans="1:78" hidden="1" x14ac:dyDescent="0.2">
      <c r="A2171" t="s">
        <v>119</v>
      </c>
      <c r="B2171" t="s">
        <v>120</v>
      </c>
      <c r="C2171" t="s">
        <v>5011</v>
      </c>
      <c r="D2171">
        <v>15</v>
      </c>
      <c r="E2171" t="s">
        <v>1399</v>
      </c>
      <c r="F2171" t="s">
        <v>1399</v>
      </c>
      <c r="G2171" t="s">
        <v>124</v>
      </c>
      <c r="H2171" t="s">
        <v>125</v>
      </c>
      <c r="I2171">
        <v>6</v>
      </c>
      <c r="J2171" t="s">
        <v>647</v>
      </c>
      <c r="K2171" t="s">
        <v>125</v>
      </c>
      <c r="L2171" t="s">
        <v>5015</v>
      </c>
      <c r="AE2171" t="s">
        <v>128</v>
      </c>
    </row>
    <row r="2172" spans="1:78" x14ac:dyDescent="0.2">
      <c r="A2172" t="s">
        <v>119</v>
      </c>
      <c r="B2172" t="s">
        <v>120</v>
      </c>
      <c r="C2172" t="s">
        <v>5016</v>
      </c>
      <c r="D2172">
        <v>6</v>
      </c>
      <c r="E2172" t="s">
        <v>145</v>
      </c>
      <c r="F2172" t="s">
        <v>146</v>
      </c>
      <c r="G2172" t="s">
        <v>124</v>
      </c>
      <c r="H2172" t="s">
        <v>125</v>
      </c>
      <c r="I2172">
        <v>0</v>
      </c>
      <c r="J2172" t="s">
        <v>126</v>
      </c>
      <c r="K2172" t="s">
        <v>125</v>
      </c>
      <c r="L2172" t="s">
        <v>5017</v>
      </c>
      <c r="U2172" t="s">
        <v>149</v>
      </c>
      <c r="W2172" t="s">
        <v>135</v>
      </c>
      <c r="X2172">
        <v>3</v>
      </c>
      <c r="AC2172" t="s">
        <v>136</v>
      </c>
      <c r="AE2172" t="s">
        <v>137</v>
      </c>
    </row>
    <row r="2173" spans="1:78" hidden="1" x14ac:dyDescent="0.2">
      <c r="A2173" t="s">
        <v>119</v>
      </c>
      <c r="B2173" t="s">
        <v>120</v>
      </c>
      <c r="C2173" t="s">
        <v>5018</v>
      </c>
      <c r="D2173">
        <v>2</v>
      </c>
      <c r="E2173" t="s">
        <v>5019</v>
      </c>
      <c r="F2173" t="s">
        <v>5020</v>
      </c>
      <c r="G2173" t="s">
        <v>124</v>
      </c>
      <c r="H2173" t="s">
        <v>125</v>
      </c>
      <c r="I2173">
        <v>0</v>
      </c>
      <c r="J2173" t="s">
        <v>126</v>
      </c>
      <c r="K2173" t="s">
        <v>125</v>
      </c>
      <c r="L2173" t="s">
        <v>5021</v>
      </c>
      <c r="T2173" t="s">
        <v>142</v>
      </c>
      <c r="W2173" t="s">
        <v>135</v>
      </c>
      <c r="AC2173" t="s">
        <v>143</v>
      </c>
      <c r="AE2173" t="s">
        <v>144</v>
      </c>
      <c r="AG2173">
        <v>1</v>
      </c>
      <c r="AH2173" t="s">
        <v>145</v>
      </c>
      <c r="AI2173" t="s">
        <v>146</v>
      </c>
      <c r="AJ2173" t="s">
        <v>131</v>
      </c>
      <c r="AK2173" t="s">
        <v>125</v>
      </c>
      <c r="AL2173">
        <v>2</v>
      </c>
      <c r="AM2173" t="s">
        <v>132</v>
      </c>
      <c r="AN2173" t="s">
        <v>125</v>
      </c>
      <c r="AO2173" t="s">
        <v>5022</v>
      </c>
      <c r="BP2173" t="s">
        <v>149</v>
      </c>
      <c r="BR2173" t="s">
        <v>135</v>
      </c>
      <c r="BS2173">
        <v>3</v>
      </c>
      <c r="BX2173" t="s">
        <v>136</v>
      </c>
      <c r="BZ2173" t="s">
        <v>137</v>
      </c>
    </row>
    <row r="2174" spans="1:78" hidden="1" x14ac:dyDescent="0.2">
      <c r="A2174" t="s">
        <v>119</v>
      </c>
      <c r="B2174" t="s">
        <v>120</v>
      </c>
      <c r="C2174" t="s">
        <v>5018</v>
      </c>
      <c r="D2174">
        <v>9</v>
      </c>
      <c r="E2174" t="s">
        <v>1548</v>
      </c>
      <c r="F2174" t="s">
        <v>1399</v>
      </c>
      <c r="G2174" t="s">
        <v>124</v>
      </c>
      <c r="H2174" t="s">
        <v>125</v>
      </c>
      <c r="I2174">
        <v>4</v>
      </c>
      <c r="J2174" t="s">
        <v>170</v>
      </c>
      <c r="K2174" t="s">
        <v>125</v>
      </c>
      <c r="L2174" t="s">
        <v>5023</v>
      </c>
      <c r="T2174" t="s">
        <v>154</v>
      </c>
      <c r="W2174" t="s">
        <v>135</v>
      </c>
      <c r="AC2174" t="s">
        <v>143</v>
      </c>
      <c r="AE2174" t="s">
        <v>144</v>
      </c>
      <c r="AG2174">
        <v>8</v>
      </c>
      <c r="AH2174" t="s">
        <v>614</v>
      </c>
      <c r="AI2174" t="s">
        <v>205</v>
      </c>
      <c r="AJ2174" t="s">
        <v>131</v>
      </c>
      <c r="AK2174" t="s">
        <v>125</v>
      </c>
      <c r="AL2174">
        <v>9</v>
      </c>
      <c r="AM2174" t="s">
        <v>132</v>
      </c>
      <c r="AN2174" t="s">
        <v>125</v>
      </c>
      <c r="AO2174" t="s">
        <v>5024</v>
      </c>
      <c r="BP2174" t="s">
        <v>149</v>
      </c>
      <c r="BR2174" t="s">
        <v>135</v>
      </c>
      <c r="BS2174">
        <v>3</v>
      </c>
      <c r="BX2174" t="s">
        <v>136</v>
      </c>
      <c r="BZ2174" t="s">
        <v>137</v>
      </c>
    </row>
    <row r="2175" spans="1:78" x14ac:dyDescent="0.2">
      <c r="A2175" t="s">
        <v>119</v>
      </c>
      <c r="B2175" t="s">
        <v>120</v>
      </c>
      <c r="C2175" t="s">
        <v>5025</v>
      </c>
      <c r="D2175">
        <v>3</v>
      </c>
      <c r="E2175" t="s">
        <v>2559</v>
      </c>
      <c r="F2175" t="s">
        <v>350</v>
      </c>
      <c r="G2175" t="s">
        <v>124</v>
      </c>
      <c r="H2175" t="s">
        <v>125</v>
      </c>
      <c r="I2175">
        <v>7</v>
      </c>
      <c r="J2175" t="s">
        <v>268</v>
      </c>
      <c r="K2175" t="s">
        <v>125</v>
      </c>
      <c r="L2175" t="s">
        <v>5026</v>
      </c>
      <c r="U2175" t="s">
        <v>149</v>
      </c>
      <c r="W2175" t="s">
        <v>155</v>
      </c>
      <c r="X2175">
        <v>2</v>
      </c>
      <c r="AC2175" t="s">
        <v>136</v>
      </c>
      <c r="AE2175" t="s">
        <v>137</v>
      </c>
    </row>
    <row r="2176" spans="1:78" x14ac:dyDescent="0.2">
      <c r="A2176" t="s">
        <v>119</v>
      </c>
      <c r="B2176" t="s">
        <v>120</v>
      </c>
      <c r="C2176" t="s">
        <v>5025</v>
      </c>
      <c r="D2176">
        <v>7</v>
      </c>
      <c r="E2176" t="s">
        <v>3979</v>
      </c>
      <c r="F2176" t="s">
        <v>331</v>
      </c>
      <c r="G2176" t="s">
        <v>124</v>
      </c>
      <c r="H2176" t="s">
        <v>125</v>
      </c>
      <c r="I2176">
        <v>0</v>
      </c>
      <c r="J2176" t="s">
        <v>126</v>
      </c>
      <c r="K2176" t="s">
        <v>125</v>
      </c>
      <c r="L2176" t="s">
        <v>5027</v>
      </c>
      <c r="U2176" t="s">
        <v>209</v>
      </c>
      <c r="W2176" t="s">
        <v>155</v>
      </c>
      <c r="X2176">
        <v>2</v>
      </c>
      <c r="AC2176" t="s">
        <v>136</v>
      </c>
      <c r="AE2176" t="s">
        <v>137</v>
      </c>
    </row>
    <row r="2177" spans="1:78" x14ac:dyDescent="0.2">
      <c r="A2177" t="s">
        <v>119</v>
      </c>
      <c r="B2177" t="s">
        <v>120</v>
      </c>
      <c r="C2177" t="s">
        <v>5028</v>
      </c>
      <c r="D2177">
        <v>6</v>
      </c>
      <c r="E2177" t="s">
        <v>5029</v>
      </c>
      <c r="F2177" t="s">
        <v>5030</v>
      </c>
      <c r="G2177" t="s">
        <v>124</v>
      </c>
      <c r="H2177" t="s">
        <v>125</v>
      </c>
      <c r="I2177">
        <v>0</v>
      </c>
      <c r="J2177" t="s">
        <v>126</v>
      </c>
      <c r="K2177" t="s">
        <v>125</v>
      </c>
      <c r="L2177" t="s">
        <v>5031</v>
      </c>
      <c r="U2177" t="s">
        <v>149</v>
      </c>
      <c r="W2177" t="s">
        <v>135</v>
      </c>
      <c r="X2177">
        <v>3</v>
      </c>
      <c r="AC2177" t="s">
        <v>136</v>
      </c>
      <c r="AE2177" t="s">
        <v>137</v>
      </c>
    </row>
    <row r="2178" spans="1:78" x14ac:dyDescent="0.2">
      <c r="A2178" t="s">
        <v>119</v>
      </c>
      <c r="B2178" t="s">
        <v>120</v>
      </c>
      <c r="C2178" t="s">
        <v>5028</v>
      </c>
      <c r="D2178">
        <v>9</v>
      </c>
      <c r="E2178" t="s">
        <v>4893</v>
      </c>
      <c r="F2178" t="s">
        <v>186</v>
      </c>
      <c r="G2178" t="s">
        <v>124</v>
      </c>
      <c r="H2178" t="s">
        <v>125</v>
      </c>
      <c r="I2178">
        <v>6</v>
      </c>
      <c r="J2178" t="s">
        <v>161</v>
      </c>
      <c r="K2178" t="s">
        <v>125</v>
      </c>
      <c r="L2178" t="s">
        <v>5032</v>
      </c>
      <c r="U2178" t="s">
        <v>149</v>
      </c>
      <c r="W2178" t="s">
        <v>155</v>
      </c>
      <c r="X2178">
        <v>2</v>
      </c>
      <c r="AC2178" t="s">
        <v>136</v>
      </c>
      <c r="AE2178" t="s">
        <v>137</v>
      </c>
    </row>
    <row r="2179" spans="1:78" hidden="1" x14ac:dyDescent="0.2">
      <c r="A2179" t="s">
        <v>119</v>
      </c>
      <c r="B2179" t="s">
        <v>120</v>
      </c>
      <c r="C2179" t="s">
        <v>5028</v>
      </c>
      <c r="D2179">
        <v>13</v>
      </c>
      <c r="E2179" t="s">
        <v>1548</v>
      </c>
      <c r="F2179" t="s">
        <v>1399</v>
      </c>
      <c r="G2179" t="s">
        <v>124</v>
      </c>
      <c r="H2179" t="s">
        <v>125</v>
      </c>
      <c r="I2179">
        <v>10</v>
      </c>
      <c r="J2179" t="s">
        <v>170</v>
      </c>
      <c r="K2179" t="s">
        <v>125</v>
      </c>
      <c r="L2179" t="s">
        <v>5033</v>
      </c>
      <c r="T2179" t="s">
        <v>154</v>
      </c>
      <c r="W2179" t="s">
        <v>135</v>
      </c>
      <c r="AC2179" t="s">
        <v>143</v>
      </c>
      <c r="AE2179" t="s">
        <v>144</v>
      </c>
      <c r="AG2179">
        <v>12</v>
      </c>
      <c r="AH2179" t="s">
        <v>614</v>
      </c>
      <c r="AI2179" t="s">
        <v>205</v>
      </c>
      <c r="AJ2179" t="s">
        <v>131</v>
      </c>
      <c r="AK2179" t="s">
        <v>125</v>
      </c>
      <c r="AL2179">
        <v>13</v>
      </c>
      <c r="AM2179" t="s">
        <v>132</v>
      </c>
      <c r="AN2179" t="s">
        <v>125</v>
      </c>
      <c r="AO2179" t="s">
        <v>5034</v>
      </c>
      <c r="BP2179" t="s">
        <v>149</v>
      </c>
      <c r="BR2179" t="s">
        <v>135</v>
      </c>
      <c r="BS2179">
        <v>3</v>
      </c>
      <c r="BX2179" t="s">
        <v>136</v>
      </c>
      <c r="BZ2179" t="s">
        <v>137</v>
      </c>
    </row>
    <row r="2180" spans="1:78" hidden="1" x14ac:dyDescent="0.2">
      <c r="A2180" t="s">
        <v>119</v>
      </c>
      <c r="B2180" t="s">
        <v>120</v>
      </c>
      <c r="C2180" t="s">
        <v>5035</v>
      </c>
      <c r="D2180">
        <v>15</v>
      </c>
      <c r="E2180" t="s">
        <v>5036</v>
      </c>
      <c r="F2180" t="s">
        <v>1981</v>
      </c>
      <c r="G2180" t="s">
        <v>124</v>
      </c>
      <c r="H2180" t="s">
        <v>125</v>
      </c>
      <c r="I2180">
        <v>11</v>
      </c>
      <c r="J2180" t="s">
        <v>170</v>
      </c>
      <c r="K2180" t="s">
        <v>125</v>
      </c>
      <c r="L2180" t="s">
        <v>5037</v>
      </c>
      <c r="AE2180" t="s">
        <v>394</v>
      </c>
      <c r="AG2180">
        <v>14</v>
      </c>
      <c r="AH2180" t="s">
        <v>323</v>
      </c>
      <c r="AI2180" t="s">
        <v>146</v>
      </c>
      <c r="AJ2180" t="s">
        <v>131</v>
      </c>
      <c r="AK2180" t="s">
        <v>125</v>
      </c>
      <c r="AL2180">
        <v>15</v>
      </c>
      <c r="AM2180" t="s">
        <v>132</v>
      </c>
      <c r="AN2180" t="s">
        <v>125</v>
      </c>
      <c r="AO2180" t="s">
        <v>5038</v>
      </c>
      <c r="BP2180" t="s">
        <v>149</v>
      </c>
      <c r="BR2180" t="s">
        <v>135</v>
      </c>
      <c r="BS2180">
        <v>1</v>
      </c>
      <c r="BX2180" t="s">
        <v>136</v>
      </c>
      <c r="BZ2180" t="s">
        <v>137</v>
      </c>
    </row>
    <row r="2181" spans="1:78" x14ac:dyDescent="0.2">
      <c r="A2181" t="s">
        <v>119</v>
      </c>
      <c r="B2181" t="s">
        <v>120</v>
      </c>
      <c r="C2181" t="s">
        <v>5035</v>
      </c>
      <c r="D2181">
        <v>17</v>
      </c>
      <c r="E2181" t="s">
        <v>791</v>
      </c>
      <c r="F2181" t="s">
        <v>494</v>
      </c>
      <c r="G2181" t="s">
        <v>124</v>
      </c>
      <c r="H2181" t="s">
        <v>125</v>
      </c>
      <c r="I2181">
        <v>7</v>
      </c>
      <c r="J2181" t="s">
        <v>170</v>
      </c>
      <c r="K2181" t="s">
        <v>125</v>
      </c>
      <c r="L2181" t="s">
        <v>5039</v>
      </c>
      <c r="U2181" t="s">
        <v>149</v>
      </c>
      <c r="W2181" t="s">
        <v>135</v>
      </c>
      <c r="X2181">
        <v>3</v>
      </c>
      <c r="AC2181" t="s">
        <v>136</v>
      </c>
      <c r="AE2181" t="s">
        <v>137</v>
      </c>
    </row>
    <row r="2182" spans="1:78" x14ac:dyDescent="0.2">
      <c r="A2182" t="s">
        <v>119</v>
      </c>
      <c r="B2182" t="s">
        <v>120</v>
      </c>
      <c r="C2182" t="s">
        <v>5040</v>
      </c>
      <c r="D2182">
        <v>2</v>
      </c>
      <c r="E2182" t="s">
        <v>145</v>
      </c>
      <c r="F2182" t="s">
        <v>146</v>
      </c>
      <c r="G2182" t="s">
        <v>124</v>
      </c>
      <c r="H2182" t="s">
        <v>125</v>
      </c>
      <c r="I2182">
        <v>0</v>
      </c>
      <c r="J2182" t="s">
        <v>126</v>
      </c>
      <c r="K2182" t="s">
        <v>125</v>
      </c>
      <c r="L2182" t="s">
        <v>5041</v>
      </c>
      <c r="U2182" t="s">
        <v>149</v>
      </c>
      <c r="W2182" t="s">
        <v>135</v>
      </c>
      <c r="X2182">
        <v>3</v>
      </c>
      <c r="AC2182" t="s">
        <v>136</v>
      </c>
      <c r="AE2182" t="s">
        <v>137</v>
      </c>
      <c r="AG2182">
        <v>17</v>
      </c>
      <c r="AH2182" t="s">
        <v>5042</v>
      </c>
      <c r="AI2182" t="s">
        <v>146</v>
      </c>
      <c r="AJ2182" t="s">
        <v>131</v>
      </c>
      <c r="AK2182" t="s">
        <v>125</v>
      </c>
      <c r="AL2182">
        <v>2</v>
      </c>
      <c r="AM2182" t="s">
        <v>161</v>
      </c>
      <c r="AN2182" t="s">
        <v>125</v>
      </c>
      <c r="AO2182" t="s">
        <v>5043</v>
      </c>
      <c r="BP2182" t="s">
        <v>134</v>
      </c>
      <c r="BR2182" t="s">
        <v>155</v>
      </c>
      <c r="BS2182">
        <v>3</v>
      </c>
      <c r="BX2182" t="s">
        <v>136</v>
      </c>
      <c r="BZ2182" t="s">
        <v>137</v>
      </c>
    </row>
    <row r="2183" spans="1:78" hidden="1" x14ac:dyDescent="0.2">
      <c r="A2183" t="s">
        <v>119</v>
      </c>
      <c r="B2183" t="s">
        <v>120</v>
      </c>
      <c r="C2183" t="s">
        <v>5040</v>
      </c>
      <c r="D2183">
        <v>14</v>
      </c>
      <c r="E2183" t="s">
        <v>1981</v>
      </c>
      <c r="F2183" t="s">
        <v>1981</v>
      </c>
      <c r="G2183" t="s">
        <v>124</v>
      </c>
      <c r="H2183" t="s">
        <v>125</v>
      </c>
      <c r="I2183">
        <v>10</v>
      </c>
      <c r="J2183" t="s">
        <v>170</v>
      </c>
      <c r="K2183" t="s">
        <v>125</v>
      </c>
      <c r="L2183" t="s">
        <v>5044</v>
      </c>
      <c r="AE2183" t="s">
        <v>128</v>
      </c>
      <c r="AG2183">
        <v>13</v>
      </c>
      <c r="AH2183" t="s">
        <v>1747</v>
      </c>
      <c r="AI2183" t="s">
        <v>572</v>
      </c>
      <c r="AJ2183" t="s">
        <v>131</v>
      </c>
      <c r="AK2183" t="s">
        <v>125</v>
      </c>
      <c r="AL2183">
        <v>14</v>
      </c>
      <c r="AM2183" t="s">
        <v>132</v>
      </c>
      <c r="AN2183" t="s">
        <v>125</v>
      </c>
      <c r="AO2183" t="s">
        <v>5045</v>
      </c>
      <c r="BP2183" t="s">
        <v>149</v>
      </c>
      <c r="BR2183" t="s">
        <v>135</v>
      </c>
      <c r="BS2183">
        <v>3</v>
      </c>
      <c r="BX2183" t="s">
        <v>136</v>
      </c>
      <c r="BZ2183" t="s">
        <v>137</v>
      </c>
    </row>
    <row r="2184" spans="1:78" hidden="1" x14ac:dyDescent="0.2">
      <c r="A2184" t="s">
        <v>119</v>
      </c>
      <c r="B2184" t="s">
        <v>120</v>
      </c>
      <c r="C2184" t="s">
        <v>5046</v>
      </c>
      <c r="D2184">
        <v>7</v>
      </c>
      <c r="E2184" t="s">
        <v>145</v>
      </c>
      <c r="F2184" t="s">
        <v>146</v>
      </c>
      <c r="G2184" t="s">
        <v>124</v>
      </c>
      <c r="H2184" t="s">
        <v>125</v>
      </c>
      <c r="I2184">
        <v>0</v>
      </c>
      <c r="J2184" t="s">
        <v>126</v>
      </c>
      <c r="K2184" t="s">
        <v>125</v>
      </c>
      <c r="L2184" t="s">
        <v>5047</v>
      </c>
    </row>
    <row r="2185" spans="1:78" x14ac:dyDescent="0.2">
      <c r="A2185" t="s">
        <v>119</v>
      </c>
      <c r="B2185" t="s">
        <v>120</v>
      </c>
      <c r="C2185" t="s">
        <v>5048</v>
      </c>
      <c r="D2185">
        <v>13</v>
      </c>
      <c r="E2185" t="s">
        <v>3947</v>
      </c>
      <c r="F2185" t="s">
        <v>198</v>
      </c>
      <c r="G2185" t="s">
        <v>124</v>
      </c>
      <c r="H2185" t="s">
        <v>125</v>
      </c>
      <c r="I2185">
        <v>10</v>
      </c>
      <c r="J2185" t="s">
        <v>170</v>
      </c>
      <c r="K2185" t="s">
        <v>125</v>
      </c>
      <c r="L2185" t="s">
        <v>5049</v>
      </c>
      <c r="U2185" t="s">
        <v>149</v>
      </c>
      <c r="W2185" t="s">
        <v>155</v>
      </c>
      <c r="X2185">
        <v>1</v>
      </c>
      <c r="AC2185" t="s">
        <v>136</v>
      </c>
      <c r="AE2185" t="s">
        <v>137</v>
      </c>
    </row>
    <row r="2186" spans="1:78" x14ac:dyDescent="0.2">
      <c r="A2186" t="s">
        <v>119</v>
      </c>
      <c r="B2186" t="s">
        <v>120</v>
      </c>
      <c r="C2186" t="s">
        <v>5050</v>
      </c>
      <c r="D2186">
        <v>4</v>
      </c>
      <c r="E2186" t="s">
        <v>5051</v>
      </c>
      <c r="F2186" t="s">
        <v>1981</v>
      </c>
      <c r="G2186" t="s">
        <v>124</v>
      </c>
      <c r="H2186" t="s">
        <v>125</v>
      </c>
      <c r="I2186">
        <v>7</v>
      </c>
      <c r="J2186" t="s">
        <v>170</v>
      </c>
      <c r="K2186" t="s">
        <v>125</v>
      </c>
      <c r="L2186" t="s">
        <v>5052</v>
      </c>
      <c r="U2186" t="s">
        <v>149</v>
      </c>
      <c r="W2186" t="s">
        <v>135</v>
      </c>
      <c r="X2186">
        <v>1</v>
      </c>
      <c r="AC2186" t="s">
        <v>136</v>
      </c>
      <c r="AE2186" t="s">
        <v>137</v>
      </c>
    </row>
    <row r="2187" spans="1:78" x14ac:dyDescent="0.2">
      <c r="A2187" t="s">
        <v>119</v>
      </c>
      <c r="B2187" t="s">
        <v>120</v>
      </c>
      <c r="C2187" t="s">
        <v>5050</v>
      </c>
      <c r="D2187">
        <v>7</v>
      </c>
      <c r="E2187" t="s">
        <v>145</v>
      </c>
      <c r="F2187" t="s">
        <v>146</v>
      </c>
      <c r="G2187" t="s">
        <v>124</v>
      </c>
      <c r="H2187" t="s">
        <v>125</v>
      </c>
      <c r="I2187">
        <v>0</v>
      </c>
      <c r="J2187" t="s">
        <v>126</v>
      </c>
      <c r="K2187" t="s">
        <v>125</v>
      </c>
      <c r="L2187" t="s">
        <v>5053</v>
      </c>
      <c r="U2187" t="s">
        <v>149</v>
      </c>
      <c r="W2187" t="s">
        <v>135</v>
      </c>
      <c r="X2187">
        <v>3</v>
      </c>
      <c r="AC2187" t="s">
        <v>136</v>
      </c>
      <c r="AE2187" t="s">
        <v>137</v>
      </c>
    </row>
    <row r="2188" spans="1:78" hidden="1" x14ac:dyDescent="0.2">
      <c r="A2188" t="s">
        <v>119</v>
      </c>
      <c r="B2188" t="s">
        <v>120</v>
      </c>
      <c r="C2188" t="s">
        <v>5050</v>
      </c>
      <c r="D2188">
        <v>22</v>
      </c>
      <c r="E2188" t="s">
        <v>146</v>
      </c>
      <c r="F2188" t="s">
        <v>146</v>
      </c>
      <c r="G2188" t="s">
        <v>124</v>
      </c>
      <c r="H2188" t="s">
        <v>125</v>
      </c>
      <c r="I2188">
        <v>7</v>
      </c>
      <c r="J2188" t="s">
        <v>161</v>
      </c>
      <c r="K2188" t="s">
        <v>125</v>
      </c>
      <c r="L2188" t="s">
        <v>5054</v>
      </c>
      <c r="AE2188" t="s">
        <v>128</v>
      </c>
      <c r="AG2188">
        <v>21</v>
      </c>
      <c r="AH2188" t="s">
        <v>5055</v>
      </c>
      <c r="AI2188" t="s">
        <v>572</v>
      </c>
      <c r="AJ2188" t="s">
        <v>131</v>
      </c>
      <c r="AK2188" t="s">
        <v>125</v>
      </c>
      <c r="AL2188">
        <v>22</v>
      </c>
      <c r="AM2188" t="s">
        <v>132</v>
      </c>
      <c r="AN2188" t="s">
        <v>125</v>
      </c>
      <c r="AO2188" t="s">
        <v>5056</v>
      </c>
      <c r="BP2188" t="s">
        <v>134</v>
      </c>
      <c r="BR2188" t="s">
        <v>155</v>
      </c>
      <c r="BS2188">
        <v>3</v>
      </c>
      <c r="BX2188" t="s">
        <v>136</v>
      </c>
      <c r="BZ2188" t="s">
        <v>137</v>
      </c>
    </row>
    <row r="2189" spans="1:78" x14ac:dyDescent="0.2">
      <c r="A2189" t="s">
        <v>119</v>
      </c>
      <c r="B2189" t="s">
        <v>120</v>
      </c>
      <c r="C2189" t="s">
        <v>5057</v>
      </c>
      <c r="D2189">
        <v>8</v>
      </c>
      <c r="E2189" t="s">
        <v>185</v>
      </c>
      <c r="F2189" t="s">
        <v>186</v>
      </c>
      <c r="G2189" t="s">
        <v>124</v>
      </c>
      <c r="H2189" t="s">
        <v>125</v>
      </c>
      <c r="I2189">
        <v>0</v>
      </c>
      <c r="J2189" t="s">
        <v>126</v>
      </c>
      <c r="K2189" t="s">
        <v>125</v>
      </c>
      <c r="L2189" t="s">
        <v>5058</v>
      </c>
      <c r="U2189" t="s">
        <v>149</v>
      </c>
      <c r="W2189" t="s">
        <v>135</v>
      </c>
      <c r="X2189">
        <v>3</v>
      </c>
      <c r="AC2189" t="s">
        <v>136</v>
      </c>
      <c r="AE2189" t="s">
        <v>137</v>
      </c>
    </row>
    <row r="2190" spans="1:78" x14ac:dyDescent="0.2">
      <c r="A2190" t="s">
        <v>119</v>
      </c>
      <c r="B2190" t="s">
        <v>120</v>
      </c>
      <c r="C2190" t="s">
        <v>5059</v>
      </c>
      <c r="D2190">
        <v>2</v>
      </c>
      <c r="E2190" t="s">
        <v>1764</v>
      </c>
      <c r="F2190" t="s">
        <v>261</v>
      </c>
      <c r="G2190" t="s">
        <v>124</v>
      </c>
      <c r="H2190" t="s">
        <v>125</v>
      </c>
      <c r="I2190">
        <v>0</v>
      </c>
      <c r="J2190" t="s">
        <v>126</v>
      </c>
      <c r="K2190" t="s">
        <v>125</v>
      </c>
      <c r="L2190" t="s">
        <v>5060</v>
      </c>
      <c r="U2190" t="s">
        <v>149</v>
      </c>
      <c r="W2190" t="s">
        <v>135</v>
      </c>
      <c r="X2190">
        <v>3</v>
      </c>
      <c r="AC2190" t="s">
        <v>136</v>
      </c>
      <c r="AE2190" t="s">
        <v>137</v>
      </c>
    </row>
    <row r="2191" spans="1:78" x14ac:dyDescent="0.2">
      <c r="A2191" t="s">
        <v>119</v>
      </c>
      <c r="B2191" t="s">
        <v>120</v>
      </c>
      <c r="C2191" t="s">
        <v>5059</v>
      </c>
      <c r="D2191">
        <v>3</v>
      </c>
      <c r="E2191" t="s">
        <v>5061</v>
      </c>
      <c r="F2191" t="s">
        <v>1538</v>
      </c>
      <c r="G2191" t="s">
        <v>124</v>
      </c>
      <c r="H2191" t="s">
        <v>125</v>
      </c>
      <c r="I2191">
        <v>2</v>
      </c>
      <c r="J2191" t="s">
        <v>264</v>
      </c>
      <c r="K2191" t="s">
        <v>125</v>
      </c>
      <c r="L2191" t="s">
        <v>5062</v>
      </c>
      <c r="U2191" t="s">
        <v>209</v>
      </c>
      <c r="W2191" t="s">
        <v>155</v>
      </c>
      <c r="X2191">
        <v>2</v>
      </c>
      <c r="AC2191" t="s">
        <v>136</v>
      </c>
      <c r="AE2191" t="s">
        <v>137</v>
      </c>
    </row>
    <row r="2192" spans="1:78" hidden="1" x14ac:dyDescent="0.2">
      <c r="A2192" t="s">
        <v>119</v>
      </c>
      <c r="B2192" t="s">
        <v>120</v>
      </c>
      <c r="C2192" t="s">
        <v>5059</v>
      </c>
      <c r="D2192">
        <v>5</v>
      </c>
      <c r="E2192" t="s">
        <v>1023</v>
      </c>
      <c r="F2192" t="s">
        <v>186</v>
      </c>
      <c r="G2192" t="s">
        <v>124</v>
      </c>
      <c r="H2192" t="s">
        <v>125</v>
      </c>
      <c r="I2192">
        <v>3</v>
      </c>
      <c r="J2192" t="s">
        <v>161</v>
      </c>
      <c r="K2192" t="s">
        <v>125</v>
      </c>
      <c r="L2192" t="s">
        <v>5063</v>
      </c>
      <c r="T2192" t="s">
        <v>154</v>
      </c>
      <c r="W2192" t="s">
        <v>135</v>
      </c>
      <c r="AC2192" t="s">
        <v>143</v>
      </c>
      <c r="AE2192" t="s">
        <v>144</v>
      </c>
      <c r="AG2192">
        <v>4</v>
      </c>
      <c r="AH2192" t="s">
        <v>204</v>
      </c>
      <c r="AI2192" t="s">
        <v>205</v>
      </c>
      <c r="AJ2192" t="s">
        <v>131</v>
      </c>
      <c r="AK2192" t="s">
        <v>125</v>
      </c>
      <c r="AL2192">
        <v>5</v>
      </c>
      <c r="AM2192" t="s">
        <v>132</v>
      </c>
      <c r="AN2192" t="s">
        <v>125</v>
      </c>
      <c r="AO2192" t="s">
        <v>5064</v>
      </c>
      <c r="BP2192" t="s">
        <v>149</v>
      </c>
      <c r="BR2192" t="s">
        <v>135</v>
      </c>
      <c r="BS2192">
        <v>1</v>
      </c>
      <c r="BX2192" t="s">
        <v>136</v>
      </c>
      <c r="BZ2192" t="s">
        <v>137</v>
      </c>
    </row>
    <row r="2193" spans="1:78" x14ac:dyDescent="0.2">
      <c r="A2193" t="s">
        <v>119</v>
      </c>
      <c r="B2193" t="s">
        <v>120</v>
      </c>
      <c r="C2193" t="s">
        <v>5065</v>
      </c>
      <c r="D2193">
        <v>3</v>
      </c>
      <c r="E2193" t="s">
        <v>5066</v>
      </c>
      <c r="F2193" t="s">
        <v>5067</v>
      </c>
      <c r="G2193" t="s">
        <v>124</v>
      </c>
      <c r="H2193" t="s">
        <v>125</v>
      </c>
      <c r="I2193">
        <v>0</v>
      </c>
      <c r="J2193" t="s">
        <v>126</v>
      </c>
      <c r="K2193" t="s">
        <v>125</v>
      </c>
      <c r="L2193" t="s">
        <v>5068</v>
      </c>
      <c r="U2193" t="s">
        <v>149</v>
      </c>
      <c r="W2193" t="s">
        <v>135</v>
      </c>
      <c r="X2193">
        <v>3</v>
      </c>
      <c r="AC2193" t="s">
        <v>136</v>
      </c>
      <c r="AE2193" t="s">
        <v>137</v>
      </c>
    </row>
    <row r="2194" spans="1:78" x14ac:dyDescent="0.2">
      <c r="A2194" t="s">
        <v>119</v>
      </c>
      <c r="B2194" t="s">
        <v>120</v>
      </c>
      <c r="C2194" t="s">
        <v>5065</v>
      </c>
      <c r="D2194">
        <v>16</v>
      </c>
      <c r="E2194" t="s">
        <v>5069</v>
      </c>
      <c r="F2194" t="s">
        <v>257</v>
      </c>
      <c r="G2194" t="s">
        <v>124</v>
      </c>
      <c r="H2194" t="s">
        <v>125</v>
      </c>
      <c r="I2194">
        <v>3</v>
      </c>
      <c r="J2194" t="s">
        <v>268</v>
      </c>
      <c r="K2194" t="s">
        <v>125</v>
      </c>
      <c r="L2194" t="s">
        <v>5070</v>
      </c>
      <c r="U2194" t="s">
        <v>149</v>
      </c>
      <c r="W2194" t="s">
        <v>155</v>
      </c>
      <c r="X2194">
        <v>1</v>
      </c>
      <c r="AC2194" t="s">
        <v>136</v>
      </c>
      <c r="AE2194" t="s">
        <v>137</v>
      </c>
    </row>
    <row r="2195" spans="1:78" hidden="1" x14ac:dyDescent="0.2">
      <c r="A2195" t="s">
        <v>119</v>
      </c>
      <c r="B2195" t="s">
        <v>120</v>
      </c>
      <c r="C2195" t="s">
        <v>5071</v>
      </c>
      <c r="D2195">
        <v>2</v>
      </c>
      <c r="E2195" t="s">
        <v>512</v>
      </c>
      <c r="F2195" t="s">
        <v>146</v>
      </c>
      <c r="G2195" t="s">
        <v>124</v>
      </c>
      <c r="H2195" t="s">
        <v>125</v>
      </c>
      <c r="I2195">
        <v>0</v>
      </c>
      <c r="J2195" t="s">
        <v>126</v>
      </c>
      <c r="K2195" t="s">
        <v>125</v>
      </c>
      <c r="L2195" t="s">
        <v>5072</v>
      </c>
      <c r="U2195" t="s">
        <v>149</v>
      </c>
      <c r="W2195" t="s">
        <v>155</v>
      </c>
      <c r="X2195">
        <v>3</v>
      </c>
      <c r="AC2195" t="s">
        <v>209</v>
      </c>
      <c r="AE2195" t="s">
        <v>137</v>
      </c>
    </row>
    <row r="2196" spans="1:78" hidden="1" x14ac:dyDescent="0.2">
      <c r="A2196" t="s">
        <v>119</v>
      </c>
      <c r="B2196" t="s">
        <v>120</v>
      </c>
      <c r="C2196" t="s">
        <v>5071</v>
      </c>
      <c r="D2196">
        <v>6</v>
      </c>
      <c r="E2196" t="s">
        <v>4913</v>
      </c>
      <c r="F2196" t="s">
        <v>350</v>
      </c>
      <c r="G2196" t="s">
        <v>124</v>
      </c>
      <c r="H2196" t="s">
        <v>125</v>
      </c>
      <c r="I2196">
        <v>4</v>
      </c>
      <c r="J2196" t="s">
        <v>170</v>
      </c>
      <c r="K2196" t="s">
        <v>125</v>
      </c>
      <c r="L2196" t="s">
        <v>5073</v>
      </c>
      <c r="U2196" t="s">
        <v>149</v>
      </c>
      <c r="W2196" t="s">
        <v>155</v>
      </c>
      <c r="X2196">
        <v>3</v>
      </c>
      <c r="AC2196" t="s">
        <v>209</v>
      </c>
      <c r="AE2196" t="s">
        <v>137</v>
      </c>
    </row>
    <row r="2197" spans="1:78" hidden="1" x14ac:dyDescent="0.2">
      <c r="A2197" t="s">
        <v>119</v>
      </c>
      <c r="B2197" t="s">
        <v>120</v>
      </c>
      <c r="C2197" t="s">
        <v>5071</v>
      </c>
      <c r="D2197">
        <v>9</v>
      </c>
      <c r="E2197" t="s">
        <v>4559</v>
      </c>
      <c r="F2197" t="s">
        <v>1399</v>
      </c>
      <c r="G2197" t="s">
        <v>124</v>
      </c>
      <c r="H2197" t="s">
        <v>125</v>
      </c>
      <c r="I2197">
        <v>2</v>
      </c>
      <c r="J2197" t="s">
        <v>161</v>
      </c>
      <c r="K2197" t="s">
        <v>125</v>
      </c>
      <c r="L2197" t="s">
        <v>5074</v>
      </c>
      <c r="U2197" t="s">
        <v>149</v>
      </c>
      <c r="W2197" t="s">
        <v>155</v>
      </c>
      <c r="X2197">
        <v>3</v>
      </c>
      <c r="AC2197" t="s">
        <v>209</v>
      </c>
      <c r="AE2197" t="s">
        <v>137</v>
      </c>
    </row>
    <row r="2198" spans="1:78" x14ac:dyDescent="0.2">
      <c r="A2198" t="s">
        <v>119</v>
      </c>
      <c r="B2198" t="s">
        <v>120</v>
      </c>
      <c r="C2198" t="s">
        <v>5075</v>
      </c>
      <c r="D2198">
        <v>1</v>
      </c>
      <c r="E2198" t="s">
        <v>4559</v>
      </c>
      <c r="F2198" t="s">
        <v>1399</v>
      </c>
      <c r="G2198" t="s">
        <v>124</v>
      </c>
      <c r="H2198" t="s">
        <v>125</v>
      </c>
      <c r="I2198">
        <v>0</v>
      </c>
      <c r="J2198" t="s">
        <v>126</v>
      </c>
      <c r="K2198" t="s">
        <v>125</v>
      </c>
      <c r="L2198" t="s">
        <v>5076</v>
      </c>
      <c r="U2198" t="s">
        <v>149</v>
      </c>
      <c r="W2198" t="s">
        <v>155</v>
      </c>
      <c r="X2198">
        <v>3</v>
      </c>
      <c r="AC2198" t="s">
        <v>136</v>
      </c>
      <c r="AE2198" t="s">
        <v>137</v>
      </c>
    </row>
    <row r="2199" spans="1:78" x14ac:dyDescent="0.2">
      <c r="A2199" t="s">
        <v>119</v>
      </c>
      <c r="B2199" t="s">
        <v>120</v>
      </c>
      <c r="C2199" t="s">
        <v>5077</v>
      </c>
      <c r="D2199">
        <v>4</v>
      </c>
      <c r="E2199" t="s">
        <v>232</v>
      </c>
      <c r="F2199" t="s">
        <v>205</v>
      </c>
      <c r="G2199" t="s">
        <v>124</v>
      </c>
      <c r="H2199" t="s">
        <v>125</v>
      </c>
      <c r="I2199">
        <v>0</v>
      </c>
      <c r="J2199" t="s">
        <v>126</v>
      </c>
      <c r="K2199" t="s">
        <v>125</v>
      </c>
      <c r="L2199" t="s">
        <v>5078</v>
      </c>
      <c r="U2199" t="s">
        <v>149</v>
      </c>
      <c r="W2199" t="s">
        <v>155</v>
      </c>
      <c r="X2199">
        <v>1</v>
      </c>
      <c r="AC2199" t="s">
        <v>136</v>
      </c>
      <c r="AE2199" t="s">
        <v>137</v>
      </c>
    </row>
    <row r="2200" spans="1:78" hidden="1" x14ac:dyDescent="0.2">
      <c r="A2200" t="s">
        <v>119</v>
      </c>
      <c r="B2200" t="s">
        <v>120</v>
      </c>
      <c r="C2200" t="s">
        <v>5077</v>
      </c>
      <c r="D2200">
        <v>10</v>
      </c>
      <c r="E2200" t="s">
        <v>5079</v>
      </c>
      <c r="F2200" t="s">
        <v>5079</v>
      </c>
      <c r="G2200" t="s">
        <v>124</v>
      </c>
      <c r="H2200" t="s">
        <v>125</v>
      </c>
      <c r="I2200">
        <v>8</v>
      </c>
      <c r="J2200" t="s">
        <v>386</v>
      </c>
      <c r="K2200" t="s">
        <v>125</v>
      </c>
      <c r="L2200" t="s">
        <v>5080</v>
      </c>
      <c r="AE2200" t="s">
        <v>128</v>
      </c>
    </row>
    <row r="2201" spans="1:78" x14ac:dyDescent="0.2">
      <c r="A2201" t="s">
        <v>119</v>
      </c>
      <c r="B2201" t="s">
        <v>120</v>
      </c>
      <c r="C2201" t="s">
        <v>5081</v>
      </c>
      <c r="D2201">
        <v>2</v>
      </c>
      <c r="E2201" t="s">
        <v>204</v>
      </c>
      <c r="F2201" t="s">
        <v>205</v>
      </c>
      <c r="G2201" t="s">
        <v>124</v>
      </c>
      <c r="H2201" t="s">
        <v>125</v>
      </c>
      <c r="I2201">
        <v>0</v>
      </c>
      <c r="J2201" t="s">
        <v>126</v>
      </c>
      <c r="K2201" t="s">
        <v>125</v>
      </c>
      <c r="L2201" t="s">
        <v>5082</v>
      </c>
      <c r="U2201" t="s">
        <v>149</v>
      </c>
      <c r="W2201" t="s">
        <v>135</v>
      </c>
      <c r="X2201">
        <v>1</v>
      </c>
      <c r="AC2201" t="s">
        <v>136</v>
      </c>
      <c r="AE2201" t="s">
        <v>137</v>
      </c>
    </row>
    <row r="2202" spans="1:78" x14ac:dyDescent="0.2">
      <c r="A2202" t="s">
        <v>119</v>
      </c>
      <c r="B2202" t="s">
        <v>120</v>
      </c>
      <c r="C2202" t="s">
        <v>5083</v>
      </c>
      <c r="D2202">
        <v>3</v>
      </c>
      <c r="E2202" t="s">
        <v>349</v>
      </c>
      <c r="F2202" t="s">
        <v>350</v>
      </c>
      <c r="G2202" t="s">
        <v>124</v>
      </c>
      <c r="H2202" t="s">
        <v>125</v>
      </c>
      <c r="I2202">
        <v>9</v>
      </c>
      <c r="J2202" t="s">
        <v>268</v>
      </c>
      <c r="K2202" t="s">
        <v>125</v>
      </c>
      <c r="L2202" t="s">
        <v>5084</v>
      </c>
      <c r="U2202" t="s">
        <v>149</v>
      </c>
      <c r="W2202" t="s">
        <v>135</v>
      </c>
      <c r="X2202">
        <v>2</v>
      </c>
      <c r="AC2202" t="s">
        <v>136</v>
      </c>
      <c r="AE2202" t="s">
        <v>137</v>
      </c>
    </row>
    <row r="2203" spans="1:78" x14ac:dyDescent="0.2">
      <c r="A2203" t="s">
        <v>119</v>
      </c>
      <c r="B2203" t="s">
        <v>120</v>
      </c>
      <c r="C2203" t="s">
        <v>5083</v>
      </c>
      <c r="D2203">
        <v>9</v>
      </c>
      <c r="E2203" t="s">
        <v>218</v>
      </c>
      <c r="F2203" t="s">
        <v>205</v>
      </c>
      <c r="G2203" t="s">
        <v>124</v>
      </c>
      <c r="H2203" t="s">
        <v>125</v>
      </c>
      <c r="I2203">
        <v>0</v>
      </c>
      <c r="J2203" t="s">
        <v>126</v>
      </c>
      <c r="K2203" t="s">
        <v>125</v>
      </c>
      <c r="L2203" t="s">
        <v>5085</v>
      </c>
      <c r="U2203" t="s">
        <v>149</v>
      </c>
      <c r="W2203" t="s">
        <v>155</v>
      </c>
      <c r="X2203">
        <v>3</v>
      </c>
      <c r="AC2203" t="s">
        <v>136</v>
      </c>
      <c r="AE2203" t="s">
        <v>137</v>
      </c>
    </row>
    <row r="2204" spans="1:78" x14ac:dyDescent="0.2">
      <c r="A2204" t="s">
        <v>119</v>
      </c>
      <c r="B2204" t="s">
        <v>120</v>
      </c>
      <c r="C2204" t="s">
        <v>5086</v>
      </c>
      <c r="D2204">
        <v>2</v>
      </c>
      <c r="E2204" t="s">
        <v>218</v>
      </c>
      <c r="F2204" t="s">
        <v>205</v>
      </c>
      <c r="G2204" t="s">
        <v>124</v>
      </c>
      <c r="H2204" t="s">
        <v>125</v>
      </c>
      <c r="I2204">
        <v>0</v>
      </c>
      <c r="J2204" t="s">
        <v>126</v>
      </c>
      <c r="K2204" t="s">
        <v>125</v>
      </c>
      <c r="L2204" t="s">
        <v>5087</v>
      </c>
      <c r="U2204" t="s">
        <v>149</v>
      </c>
      <c r="W2204" t="s">
        <v>155</v>
      </c>
      <c r="X2204">
        <v>3</v>
      </c>
      <c r="AC2204" t="s">
        <v>136</v>
      </c>
      <c r="AE2204" t="s">
        <v>137</v>
      </c>
    </row>
    <row r="2205" spans="1:78" x14ac:dyDescent="0.2">
      <c r="A2205" t="s">
        <v>119</v>
      </c>
      <c r="B2205" t="s">
        <v>120</v>
      </c>
      <c r="C2205" t="s">
        <v>5086</v>
      </c>
      <c r="D2205">
        <v>7</v>
      </c>
      <c r="E2205" t="s">
        <v>160</v>
      </c>
      <c r="F2205" t="s">
        <v>146</v>
      </c>
      <c r="G2205" t="s">
        <v>124</v>
      </c>
      <c r="H2205" t="s">
        <v>125</v>
      </c>
      <c r="I2205">
        <v>2</v>
      </c>
      <c r="J2205" t="s">
        <v>161</v>
      </c>
      <c r="K2205" t="s">
        <v>125</v>
      </c>
      <c r="L2205" t="s">
        <v>5088</v>
      </c>
      <c r="U2205" t="s">
        <v>149</v>
      </c>
      <c r="W2205" t="s">
        <v>155</v>
      </c>
      <c r="X2205">
        <v>3</v>
      </c>
      <c r="AC2205" t="s">
        <v>136</v>
      </c>
      <c r="AE2205" t="s">
        <v>137</v>
      </c>
    </row>
    <row r="2206" spans="1:78" hidden="1" x14ac:dyDescent="0.2">
      <c r="A2206" t="s">
        <v>119</v>
      </c>
      <c r="B2206" t="s">
        <v>120</v>
      </c>
      <c r="C2206" t="s">
        <v>5086</v>
      </c>
      <c r="D2206">
        <v>11</v>
      </c>
      <c r="E2206" t="s">
        <v>232</v>
      </c>
      <c r="F2206" t="s">
        <v>205</v>
      </c>
      <c r="G2206" t="s">
        <v>124</v>
      </c>
      <c r="H2206" t="s">
        <v>125</v>
      </c>
      <c r="I2206">
        <v>2</v>
      </c>
      <c r="J2206" t="s">
        <v>161</v>
      </c>
      <c r="K2206" t="s">
        <v>125</v>
      </c>
      <c r="L2206" t="s">
        <v>5089</v>
      </c>
    </row>
    <row r="2207" spans="1:78" x14ac:dyDescent="0.2">
      <c r="A2207" t="s">
        <v>119</v>
      </c>
      <c r="B2207" t="s">
        <v>120</v>
      </c>
      <c r="C2207" t="s">
        <v>5086</v>
      </c>
      <c r="D2207">
        <v>13</v>
      </c>
      <c r="E2207" t="s">
        <v>160</v>
      </c>
      <c r="F2207" t="s">
        <v>146</v>
      </c>
      <c r="G2207" t="s">
        <v>124</v>
      </c>
      <c r="H2207" t="s">
        <v>125</v>
      </c>
      <c r="I2207">
        <v>2</v>
      </c>
      <c r="J2207" t="s">
        <v>161</v>
      </c>
      <c r="K2207" t="s">
        <v>125</v>
      </c>
      <c r="L2207" t="s">
        <v>5090</v>
      </c>
      <c r="U2207" t="s">
        <v>149</v>
      </c>
      <c r="W2207" t="s">
        <v>155</v>
      </c>
      <c r="X2207">
        <v>3</v>
      </c>
      <c r="AC2207" t="s">
        <v>136</v>
      </c>
      <c r="AE2207" t="s">
        <v>137</v>
      </c>
    </row>
    <row r="2208" spans="1:78" hidden="1" x14ac:dyDescent="0.2">
      <c r="A2208" t="s">
        <v>119</v>
      </c>
      <c r="B2208" t="s">
        <v>120</v>
      </c>
      <c r="C2208" t="s">
        <v>5086</v>
      </c>
      <c r="D2208">
        <v>22</v>
      </c>
      <c r="E2208" t="s">
        <v>5091</v>
      </c>
      <c r="F2208" t="s">
        <v>5079</v>
      </c>
      <c r="G2208" t="s">
        <v>124</v>
      </c>
      <c r="H2208" t="s">
        <v>125</v>
      </c>
      <c r="I2208">
        <v>15</v>
      </c>
      <c r="J2208" t="s">
        <v>170</v>
      </c>
      <c r="K2208" t="s">
        <v>125</v>
      </c>
      <c r="L2208" t="s">
        <v>5092</v>
      </c>
      <c r="T2208" t="s">
        <v>142</v>
      </c>
      <c r="W2208" t="s">
        <v>135</v>
      </c>
      <c r="AC2208" t="s">
        <v>143</v>
      </c>
      <c r="AE2208" t="s">
        <v>144</v>
      </c>
      <c r="AG2208">
        <v>18</v>
      </c>
      <c r="AH2208" t="s">
        <v>160</v>
      </c>
      <c r="AI2208" t="s">
        <v>146</v>
      </c>
      <c r="AJ2208" t="s">
        <v>131</v>
      </c>
      <c r="AK2208" t="s">
        <v>125</v>
      </c>
      <c r="AL2208">
        <v>22</v>
      </c>
      <c r="AM2208" t="s">
        <v>132</v>
      </c>
      <c r="AN2208" t="s">
        <v>125</v>
      </c>
      <c r="AO2208" t="s">
        <v>5093</v>
      </c>
      <c r="BP2208" t="s">
        <v>149</v>
      </c>
      <c r="BR2208" t="s">
        <v>155</v>
      </c>
      <c r="BS2208">
        <v>3</v>
      </c>
      <c r="BX2208" t="s">
        <v>136</v>
      </c>
      <c r="BZ2208" t="s">
        <v>137</v>
      </c>
    </row>
    <row r="2209" spans="1:78" x14ac:dyDescent="0.2">
      <c r="A2209" t="s">
        <v>119</v>
      </c>
      <c r="B2209" t="s">
        <v>120</v>
      </c>
      <c r="C2209" t="s">
        <v>5094</v>
      </c>
      <c r="D2209">
        <v>5</v>
      </c>
      <c r="E2209" t="s">
        <v>546</v>
      </c>
      <c r="F2209" t="s">
        <v>283</v>
      </c>
      <c r="G2209" t="s">
        <v>124</v>
      </c>
      <c r="H2209" t="s">
        <v>125</v>
      </c>
      <c r="I2209">
        <v>3</v>
      </c>
      <c r="J2209" t="s">
        <v>170</v>
      </c>
      <c r="K2209" t="s">
        <v>125</v>
      </c>
      <c r="L2209" t="s">
        <v>5095</v>
      </c>
      <c r="U2209" t="s">
        <v>149</v>
      </c>
      <c r="W2209" t="s">
        <v>135</v>
      </c>
      <c r="X2209">
        <v>3</v>
      </c>
      <c r="AC2209" t="s">
        <v>136</v>
      </c>
      <c r="AE2209" t="s">
        <v>137</v>
      </c>
    </row>
    <row r="2210" spans="1:78" x14ac:dyDescent="0.2">
      <c r="A2210" t="s">
        <v>119</v>
      </c>
      <c r="B2210" t="s">
        <v>120</v>
      </c>
      <c r="C2210" t="s">
        <v>5096</v>
      </c>
      <c r="D2210">
        <v>1</v>
      </c>
      <c r="E2210" t="s">
        <v>260</v>
      </c>
      <c r="F2210" t="s">
        <v>261</v>
      </c>
      <c r="G2210" t="s">
        <v>124</v>
      </c>
      <c r="H2210" t="s">
        <v>125</v>
      </c>
      <c r="I2210">
        <v>0</v>
      </c>
      <c r="J2210" t="s">
        <v>126</v>
      </c>
      <c r="K2210" t="s">
        <v>125</v>
      </c>
      <c r="L2210" t="s">
        <v>5097</v>
      </c>
      <c r="U2210" t="s">
        <v>209</v>
      </c>
      <c r="W2210" t="s">
        <v>155</v>
      </c>
      <c r="X2210">
        <v>1</v>
      </c>
      <c r="AC2210" t="s">
        <v>136</v>
      </c>
      <c r="AE2210" t="s">
        <v>137</v>
      </c>
    </row>
    <row r="2211" spans="1:78" x14ac:dyDescent="0.2">
      <c r="A2211" t="s">
        <v>119</v>
      </c>
      <c r="B2211" t="s">
        <v>120</v>
      </c>
      <c r="C2211" t="s">
        <v>5098</v>
      </c>
      <c r="D2211">
        <v>2</v>
      </c>
      <c r="E2211" t="s">
        <v>5009</v>
      </c>
      <c r="F2211" t="s">
        <v>186</v>
      </c>
      <c r="G2211" t="s">
        <v>124</v>
      </c>
      <c r="H2211" t="s">
        <v>125</v>
      </c>
      <c r="I2211">
        <v>0</v>
      </c>
      <c r="J2211" t="s">
        <v>126</v>
      </c>
      <c r="K2211" t="s">
        <v>125</v>
      </c>
      <c r="L2211" t="s">
        <v>5099</v>
      </c>
      <c r="U2211" t="s">
        <v>149</v>
      </c>
      <c r="W2211" t="s">
        <v>155</v>
      </c>
      <c r="X2211">
        <v>3</v>
      </c>
      <c r="AC2211" t="s">
        <v>136</v>
      </c>
      <c r="AE2211" t="s">
        <v>137</v>
      </c>
    </row>
    <row r="2212" spans="1:78" x14ac:dyDescent="0.2">
      <c r="A2212" t="s">
        <v>119</v>
      </c>
      <c r="B2212" t="s">
        <v>120</v>
      </c>
      <c r="C2212" t="s">
        <v>5100</v>
      </c>
      <c r="D2212">
        <v>3</v>
      </c>
      <c r="E2212" t="s">
        <v>5101</v>
      </c>
      <c r="F2212" t="s">
        <v>773</v>
      </c>
      <c r="G2212" t="s">
        <v>124</v>
      </c>
      <c r="H2212" t="s">
        <v>125</v>
      </c>
      <c r="I2212">
        <v>0</v>
      </c>
      <c r="J2212" t="s">
        <v>126</v>
      </c>
      <c r="K2212" t="s">
        <v>125</v>
      </c>
      <c r="L2212" t="s">
        <v>5102</v>
      </c>
      <c r="U2212" t="s">
        <v>209</v>
      </c>
      <c r="W2212" t="s">
        <v>155</v>
      </c>
      <c r="X2212">
        <v>2</v>
      </c>
      <c r="AC2212" t="s">
        <v>136</v>
      </c>
      <c r="AE2212" t="s">
        <v>137</v>
      </c>
      <c r="AG2212">
        <v>1</v>
      </c>
      <c r="AH2212" t="s">
        <v>160</v>
      </c>
      <c r="AI2212" t="s">
        <v>146</v>
      </c>
      <c r="AJ2212" t="s">
        <v>131</v>
      </c>
      <c r="AK2212" t="s">
        <v>125</v>
      </c>
      <c r="AL2212">
        <v>3</v>
      </c>
      <c r="AM2212" t="s">
        <v>132</v>
      </c>
      <c r="AN2212" t="s">
        <v>125</v>
      </c>
      <c r="AO2212" t="s">
        <v>5103</v>
      </c>
      <c r="BP2212" t="s">
        <v>149</v>
      </c>
      <c r="BR2212" t="s">
        <v>155</v>
      </c>
      <c r="BS2212">
        <v>3</v>
      </c>
      <c r="BX2212" t="s">
        <v>136</v>
      </c>
      <c r="BZ2212" t="s">
        <v>137</v>
      </c>
    </row>
    <row r="2213" spans="1:78" x14ac:dyDescent="0.2">
      <c r="A2213" t="s">
        <v>119</v>
      </c>
      <c r="B2213" t="s">
        <v>120</v>
      </c>
      <c r="C2213" t="s">
        <v>5104</v>
      </c>
      <c r="D2213">
        <v>4</v>
      </c>
      <c r="E2213" t="s">
        <v>218</v>
      </c>
      <c r="F2213" t="s">
        <v>205</v>
      </c>
      <c r="G2213" t="s">
        <v>124</v>
      </c>
      <c r="H2213" t="s">
        <v>125</v>
      </c>
      <c r="I2213">
        <v>0</v>
      </c>
      <c r="J2213" t="s">
        <v>126</v>
      </c>
      <c r="K2213" t="s">
        <v>125</v>
      </c>
      <c r="L2213" t="s">
        <v>5105</v>
      </c>
      <c r="U2213" t="s">
        <v>149</v>
      </c>
      <c r="W2213" t="s">
        <v>155</v>
      </c>
      <c r="X2213">
        <v>3</v>
      </c>
      <c r="AC2213" t="s">
        <v>136</v>
      </c>
      <c r="AE2213" t="s">
        <v>137</v>
      </c>
    </row>
    <row r="2214" spans="1:78" x14ac:dyDescent="0.2">
      <c r="A2214" t="s">
        <v>119</v>
      </c>
      <c r="B2214" t="s">
        <v>120</v>
      </c>
      <c r="C2214" t="s">
        <v>5104</v>
      </c>
      <c r="D2214">
        <v>9</v>
      </c>
      <c r="E2214" t="s">
        <v>5106</v>
      </c>
      <c r="F2214" t="s">
        <v>331</v>
      </c>
      <c r="G2214" t="s">
        <v>124</v>
      </c>
      <c r="H2214" t="s">
        <v>125</v>
      </c>
      <c r="I2214">
        <v>4</v>
      </c>
      <c r="J2214" t="s">
        <v>161</v>
      </c>
      <c r="K2214" t="s">
        <v>125</v>
      </c>
      <c r="L2214" t="s">
        <v>5107</v>
      </c>
      <c r="U2214" t="s">
        <v>149</v>
      </c>
      <c r="W2214" t="s">
        <v>155</v>
      </c>
      <c r="X2214">
        <v>3</v>
      </c>
      <c r="AC2214" t="s">
        <v>136</v>
      </c>
      <c r="AE2214" t="s">
        <v>137</v>
      </c>
    </row>
    <row r="2215" spans="1:78" x14ac:dyDescent="0.2">
      <c r="A2215" t="s">
        <v>119</v>
      </c>
      <c r="B2215" t="s">
        <v>120</v>
      </c>
      <c r="C2215" t="s">
        <v>5104</v>
      </c>
      <c r="D2215">
        <v>15</v>
      </c>
      <c r="E2215" t="s">
        <v>5009</v>
      </c>
      <c r="F2215" t="s">
        <v>186</v>
      </c>
      <c r="G2215" t="s">
        <v>124</v>
      </c>
      <c r="H2215" t="s">
        <v>125</v>
      </c>
      <c r="I2215">
        <v>9</v>
      </c>
      <c r="J2215" t="s">
        <v>268</v>
      </c>
      <c r="K2215" t="s">
        <v>125</v>
      </c>
      <c r="L2215" t="s">
        <v>5108</v>
      </c>
      <c r="U2215" t="s">
        <v>149</v>
      </c>
      <c r="W2215" t="s">
        <v>155</v>
      </c>
      <c r="X2215">
        <v>3</v>
      </c>
      <c r="AC2215" t="s">
        <v>136</v>
      </c>
      <c r="AE2215" t="s">
        <v>137</v>
      </c>
    </row>
    <row r="2216" spans="1:78" x14ac:dyDescent="0.2">
      <c r="A2216" t="s">
        <v>119</v>
      </c>
      <c r="B2216" t="s">
        <v>120</v>
      </c>
      <c r="C2216" t="s">
        <v>5109</v>
      </c>
      <c r="D2216">
        <v>4</v>
      </c>
      <c r="E2216" t="s">
        <v>3947</v>
      </c>
      <c r="F2216" t="s">
        <v>198</v>
      </c>
      <c r="G2216" t="s">
        <v>124</v>
      </c>
      <c r="H2216" t="s">
        <v>125</v>
      </c>
      <c r="I2216">
        <v>0</v>
      </c>
      <c r="J2216" t="s">
        <v>126</v>
      </c>
      <c r="K2216" t="s">
        <v>125</v>
      </c>
      <c r="L2216" t="s">
        <v>5110</v>
      </c>
      <c r="U2216" t="s">
        <v>149</v>
      </c>
      <c r="W2216" t="s">
        <v>155</v>
      </c>
      <c r="X2216">
        <v>1</v>
      </c>
      <c r="AC2216" t="s">
        <v>136</v>
      </c>
      <c r="AE2216" t="s">
        <v>137</v>
      </c>
    </row>
    <row r="2217" spans="1:78" x14ac:dyDescent="0.2">
      <c r="A2217" t="s">
        <v>119</v>
      </c>
      <c r="B2217" t="s">
        <v>120</v>
      </c>
      <c r="C2217" t="s">
        <v>5109</v>
      </c>
      <c r="D2217">
        <v>10</v>
      </c>
      <c r="E2217" t="s">
        <v>160</v>
      </c>
      <c r="F2217" t="s">
        <v>146</v>
      </c>
      <c r="G2217" t="s">
        <v>124</v>
      </c>
      <c r="H2217" t="s">
        <v>125</v>
      </c>
      <c r="I2217">
        <v>4</v>
      </c>
      <c r="J2217" t="s">
        <v>161</v>
      </c>
      <c r="K2217" t="s">
        <v>125</v>
      </c>
      <c r="L2217" t="s">
        <v>5111</v>
      </c>
      <c r="U2217" t="s">
        <v>149</v>
      </c>
      <c r="W2217" t="s">
        <v>155</v>
      </c>
      <c r="X2217">
        <v>3</v>
      </c>
      <c r="AC2217" t="s">
        <v>136</v>
      </c>
      <c r="AE2217" t="s">
        <v>137</v>
      </c>
    </row>
    <row r="2218" spans="1:78" x14ac:dyDescent="0.2">
      <c r="A2218" t="s">
        <v>119</v>
      </c>
      <c r="B2218" t="s">
        <v>120</v>
      </c>
      <c r="C2218" t="s">
        <v>5109</v>
      </c>
      <c r="D2218">
        <v>17</v>
      </c>
      <c r="E2218" t="s">
        <v>145</v>
      </c>
      <c r="F2218" t="s">
        <v>146</v>
      </c>
      <c r="G2218" t="s">
        <v>124</v>
      </c>
      <c r="H2218" t="s">
        <v>125</v>
      </c>
      <c r="I2218">
        <v>4</v>
      </c>
      <c r="J2218" t="s">
        <v>161</v>
      </c>
      <c r="K2218" t="s">
        <v>125</v>
      </c>
      <c r="L2218" t="s">
        <v>5112</v>
      </c>
      <c r="U2218" t="s">
        <v>149</v>
      </c>
      <c r="W2218" t="s">
        <v>135</v>
      </c>
      <c r="X2218">
        <v>3</v>
      </c>
      <c r="AC2218" t="s">
        <v>136</v>
      </c>
      <c r="AE2218" t="s">
        <v>137</v>
      </c>
    </row>
    <row r="2219" spans="1:78" x14ac:dyDescent="0.2">
      <c r="A2219" t="s">
        <v>119</v>
      </c>
      <c r="B2219" t="s">
        <v>120</v>
      </c>
      <c r="C2219" t="s">
        <v>5113</v>
      </c>
      <c r="D2219">
        <v>3</v>
      </c>
      <c r="E2219" t="s">
        <v>145</v>
      </c>
      <c r="F2219" t="s">
        <v>146</v>
      </c>
      <c r="G2219" t="s">
        <v>124</v>
      </c>
      <c r="H2219" t="s">
        <v>125</v>
      </c>
      <c r="I2219">
        <v>0</v>
      </c>
      <c r="J2219" t="s">
        <v>126</v>
      </c>
      <c r="K2219" t="s">
        <v>125</v>
      </c>
      <c r="L2219" t="s">
        <v>5114</v>
      </c>
      <c r="U2219" t="s">
        <v>149</v>
      </c>
      <c r="W2219" t="s">
        <v>135</v>
      </c>
      <c r="X2219">
        <v>3</v>
      </c>
      <c r="AC2219" t="s">
        <v>136</v>
      </c>
      <c r="AE2219" t="s">
        <v>137</v>
      </c>
    </row>
    <row r="2220" spans="1:78" hidden="1" x14ac:dyDescent="0.2">
      <c r="A2220" t="s">
        <v>119</v>
      </c>
      <c r="B2220" t="s">
        <v>120</v>
      </c>
      <c r="C2220" t="s">
        <v>5113</v>
      </c>
      <c r="D2220">
        <v>8</v>
      </c>
      <c r="E2220" t="s">
        <v>2594</v>
      </c>
      <c r="F2220" t="s">
        <v>773</v>
      </c>
      <c r="G2220" t="s">
        <v>124</v>
      </c>
      <c r="H2220" t="s">
        <v>125</v>
      </c>
      <c r="I2220">
        <v>5</v>
      </c>
      <c r="J2220" t="s">
        <v>170</v>
      </c>
      <c r="K2220" t="s">
        <v>125</v>
      </c>
      <c r="L2220" t="s">
        <v>5115</v>
      </c>
      <c r="T2220" t="s">
        <v>154</v>
      </c>
      <c r="W2220" t="s">
        <v>135</v>
      </c>
      <c r="AC2220" t="s">
        <v>143</v>
      </c>
      <c r="AE2220" t="s">
        <v>144</v>
      </c>
      <c r="AG2220">
        <v>7</v>
      </c>
      <c r="AH2220" t="s">
        <v>218</v>
      </c>
      <c r="AI2220" t="s">
        <v>205</v>
      </c>
      <c r="AJ2220" t="s">
        <v>131</v>
      </c>
      <c r="AK2220" t="s">
        <v>125</v>
      </c>
      <c r="AL2220">
        <v>8</v>
      </c>
      <c r="AM2220" t="s">
        <v>132</v>
      </c>
      <c r="AN2220" t="s">
        <v>125</v>
      </c>
      <c r="AO2220" t="s">
        <v>5116</v>
      </c>
      <c r="BP2220" t="s">
        <v>149</v>
      </c>
      <c r="BR2220" t="s">
        <v>155</v>
      </c>
      <c r="BS2220">
        <v>3</v>
      </c>
      <c r="BX2220" t="s">
        <v>136</v>
      </c>
      <c r="BZ2220" t="s">
        <v>137</v>
      </c>
    </row>
    <row r="2221" spans="1:78" hidden="1" x14ac:dyDescent="0.2">
      <c r="A2221" t="s">
        <v>119</v>
      </c>
      <c r="B2221" t="s">
        <v>120</v>
      </c>
      <c r="C2221" t="s">
        <v>5117</v>
      </c>
      <c r="D2221">
        <v>4</v>
      </c>
      <c r="E2221" t="s">
        <v>5118</v>
      </c>
      <c r="F2221" t="s">
        <v>5119</v>
      </c>
      <c r="G2221" t="s">
        <v>124</v>
      </c>
      <c r="H2221" t="s">
        <v>125</v>
      </c>
      <c r="I2221">
        <v>0</v>
      </c>
      <c r="J2221" t="s">
        <v>126</v>
      </c>
      <c r="K2221" t="s">
        <v>125</v>
      </c>
      <c r="L2221" t="s">
        <v>5120</v>
      </c>
      <c r="T2221" t="s">
        <v>142</v>
      </c>
      <c r="W2221" t="s">
        <v>135</v>
      </c>
      <c r="AC2221" t="s">
        <v>143</v>
      </c>
      <c r="AE2221" t="s">
        <v>144</v>
      </c>
      <c r="AG2221">
        <v>3</v>
      </c>
      <c r="AH2221" t="s">
        <v>2555</v>
      </c>
      <c r="AI2221" t="s">
        <v>205</v>
      </c>
      <c r="AJ2221" t="s">
        <v>131</v>
      </c>
      <c r="AK2221" t="s">
        <v>125</v>
      </c>
      <c r="AL2221">
        <v>4</v>
      </c>
      <c r="AM2221" t="s">
        <v>132</v>
      </c>
      <c r="AN2221" t="s">
        <v>125</v>
      </c>
      <c r="AO2221" t="s">
        <v>5121</v>
      </c>
      <c r="BP2221" t="s">
        <v>149</v>
      </c>
      <c r="BR2221" t="s">
        <v>155</v>
      </c>
      <c r="BS2221">
        <v>3</v>
      </c>
      <c r="BX2221" t="s">
        <v>136</v>
      </c>
      <c r="BZ2221" t="s">
        <v>137</v>
      </c>
    </row>
    <row r="2222" spans="1:78" x14ac:dyDescent="0.2">
      <c r="A2222" t="s">
        <v>119</v>
      </c>
      <c r="B2222" t="s">
        <v>120</v>
      </c>
      <c r="C2222" t="s">
        <v>5117</v>
      </c>
      <c r="D2222">
        <v>10</v>
      </c>
      <c r="E2222" t="s">
        <v>1708</v>
      </c>
      <c r="F2222" t="s">
        <v>773</v>
      </c>
      <c r="G2222" t="s">
        <v>124</v>
      </c>
      <c r="H2222" t="s">
        <v>125</v>
      </c>
      <c r="I2222">
        <v>7</v>
      </c>
      <c r="J2222" t="s">
        <v>170</v>
      </c>
      <c r="K2222" t="s">
        <v>125</v>
      </c>
      <c r="L2222" t="s">
        <v>5122</v>
      </c>
      <c r="U2222" t="s">
        <v>149</v>
      </c>
      <c r="W2222" t="s">
        <v>135</v>
      </c>
      <c r="X2222">
        <v>3</v>
      </c>
      <c r="AC2222" t="s">
        <v>136</v>
      </c>
      <c r="AE2222" t="s">
        <v>137</v>
      </c>
    </row>
    <row r="2223" spans="1:78" x14ac:dyDescent="0.2">
      <c r="A2223" t="s">
        <v>119</v>
      </c>
      <c r="B2223" t="s">
        <v>120</v>
      </c>
      <c r="C2223" t="s">
        <v>5123</v>
      </c>
      <c r="D2223">
        <v>6</v>
      </c>
      <c r="E2223" t="s">
        <v>1708</v>
      </c>
      <c r="F2223" t="s">
        <v>773</v>
      </c>
      <c r="G2223" t="s">
        <v>124</v>
      </c>
      <c r="H2223" t="s">
        <v>125</v>
      </c>
      <c r="I2223">
        <v>3</v>
      </c>
      <c r="J2223" t="s">
        <v>170</v>
      </c>
      <c r="K2223" t="s">
        <v>125</v>
      </c>
      <c r="L2223" t="s">
        <v>5124</v>
      </c>
      <c r="U2223" t="s">
        <v>149</v>
      </c>
      <c r="W2223" t="s">
        <v>135</v>
      </c>
      <c r="X2223">
        <v>3</v>
      </c>
      <c r="AC2223" t="s">
        <v>136</v>
      </c>
      <c r="AE2223" t="s">
        <v>137</v>
      </c>
    </row>
    <row r="2224" spans="1:78" hidden="1" x14ac:dyDescent="0.2">
      <c r="A2224" t="s">
        <v>119</v>
      </c>
      <c r="B2224" t="s">
        <v>120</v>
      </c>
      <c r="C2224" t="s">
        <v>5125</v>
      </c>
      <c r="D2224">
        <v>5</v>
      </c>
      <c r="E2224" t="s">
        <v>691</v>
      </c>
      <c r="F2224" t="s">
        <v>261</v>
      </c>
      <c r="G2224" t="s">
        <v>124</v>
      </c>
      <c r="H2224" t="s">
        <v>125</v>
      </c>
      <c r="I2224">
        <v>0</v>
      </c>
      <c r="J2224" t="s">
        <v>126</v>
      </c>
      <c r="K2224" t="s">
        <v>125</v>
      </c>
      <c r="L2224" t="s">
        <v>2604</v>
      </c>
      <c r="T2224" t="s">
        <v>154</v>
      </c>
      <c r="W2224" t="s">
        <v>135</v>
      </c>
      <c r="AC2224" t="s">
        <v>143</v>
      </c>
      <c r="AE2224" t="s">
        <v>144</v>
      </c>
      <c r="AG2224">
        <v>4</v>
      </c>
      <c r="AH2224" t="s">
        <v>218</v>
      </c>
      <c r="AI2224" t="s">
        <v>205</v>
      </c>
      <c r="AJ2224" t="s">
        <v>131</v>
      </c>
      <c r="AK2224" t="s">
        <v>125</v>
      </c>
      <c r="AL2224">
        <v>5</v>
      </c>
      <c r="AM2224" t="s">
        <v>132</v>
      </c>
      <c r="AN2224" t="s">
        <v>125</v>
      </c>
      <c r="AO2224" t="s">
        <v>5126</v>
      </c>
      <c r="BP2224" t="s">
        <v>149</v>
      </c>
      <c r="BR2224" t="s">
        <v>155</v>
      </c>
      <c r="BS2224">
        <v>3</v>
      </c>
      <c r="BX2224" t="s">
        <v>136</v>
      </c>
      <c r="BZ2224" t="s">
        <v>137</v>
      </c>
    </row>
    <row r="2225" spans="1:78" hidden="1" x14ac:dyDescent="0.2">
      <c r="A2225" t="s">
        <v>119</v>
      </c>
      <c r="B2225" t="s">
        <v>120</v>
      </c>
      <c r="C2225" t="s">
        <v>5125</v>
      </c>
      <c r="D2225">
        <v>12</v>
      </c>
      <c r="E2225" t="s">
        <v>5127</v>
      </c>
      <c r="F2225" t="s">
        <v>4163</v>
      </c>
      <c r="G2225" t="s">
        <v>124</v>
      </c>
      <c r="H2225" t="s">
        <v>125</v>
      </c>
      <c r="I2225">
        <v>5</v>
      </c>
      <c r="J2225" t="s">
        <v>268</v>
      </c>
      <c r="K2225" t="s">
        <v>125</v>
      </c>
      <c r="L2225" t="s">
        <v>5128</v>
      </c>
      <c r="T2225" t="s">
        <v>142</v>
      </c>
      <c r="W2225" t="s">
        <v>155</v>
      </c>
    </row>
    <row r="2226" spans="1:78" hidden="1" x14ac:dyDescent="0.2">
      <c r="A2226" t="s">
        <v>119</v>
      </c>
      <c r="B2226" t="s">
        <v>120</v>
      </c>
      <c r="C2226" t="s">
        <v>5125</v>
      </c>
      <c r="D2226">
        <v>13</v>
      </c>
      <c r="E2226" t="s">
        <v>2559</v>
      </c>
      <c r="F2226" t="s">
        <v>350</v>
      </c>
      <c r="G2226" t="s">
        <v>124</v>
      </c>
      <c r="H2226" t="s">
        <v>125</v>
      </c>
      <c r="I2226">
        <v>5</v>
      </c>
      <c r="J2226" t="s">
        <v>268</v>
      </c>
      <c r="K2226" t="s">
        <v>125</v>
      </c>
      <c r="L2226" t="s">
        <v>5129</v>
      </c>
      <c r="T2226" t="s">
        <v>142</v>
      </c>
      <c r="W2226" t="s">
        <v>155</v>
      </c>
      <c r="AC2226" t="s">
        <v>143</v>
      </c>
      <c r="AE2226" t="s">
        <v>144</v>
      </c>
    </row>
    <row r="2227" spans="1:78" hidden="1" x14ac:dyDescent="0.2">
      <c r="A2227" t="s">
        <v>119</v>
      </c>
      <c r="B2227" t="s">
        <v>120</v>
      </c>
      <c r="C2227" t="s">
        <v>5125</v>
      </c>
      <c r="D2227">
        <v>15</v>
      </c>
      <c r="E2227" t="s">
        <v>602</v>
      </c>
      <c r="F2227" t="s">
        <v>602</v>
      </c>
      <c r="G2227" t="s">
        <v>124</v>
      </c>
      <c r="H2227" t="s">
        <v>125</v>
      </c>
      <c r="I2227">
        <v>13</v>
      </c>
      <c r="J2227" t="s">
        <v>294</v>
      </c>
      <c r="K2227" t="s">
        <v>125</v>
      </c>
      <c r="L2227" t="s">
        <v>5130</v>
      </c>
      <c r="AE2227" t="s">
        <v>128</v>
      </c>
    </row>
    <row r="2228" spans="1:78" x14ac:dyDescent="0.2">
      <c r="A2228" t="s">
        <v>119</v>
      </c>
      <c r="B2228" t="s">
        <v>120</v>
      </c>
      <c r="C2228" t="s">
        <v>5125</v>
      </c>
      <c r="D2228">
        <v>18</v>
      </c>
      <c r="E2228" t="s">
        <v>2559</v>
      </c>
      <c r="F2228" t="s">
        <v>350</v>
      </c>
      <c r="G2228" t="s">
        <v>124</v>
      </c>
      <c r="H2228" t="s">
        <v>125</v>
      </c>
      <c r="I2228">
        <v>5</v>
      </c>
      <c r="J2228" t="s">
        <v>268</v>
      </c>
      <c r="K2228" t="s">
        <v>125</v>
      </c>
      <c r="L2228" t="s">
        <v>5131</v>
      </c>
      <c r="U2228" t="s">
        <v>149</v>
      </c>
      <c r="W2228" t="s">
        <v>155</v>
      </c>
      <c r="X2228">
        <v>2</v>
      </c>
      <c r="AC2228" t="s">
        <v>136</v>
      </c>
      <c r="AE2228" t="s">
        <v>137</v>
      </c>
    </row>
    <row r="2229" spans="1:78" hidden="1" x14ac:dyDescent="0.2">
      <c r="A2229" t="s">
        <v>119</v>
      </c>
      <c r="B2229" t="s">
        <v>120</v>
      </c>
      <c r="C2229" t="s">
        <v>5125</v>
      </c>
      <c r="D2229">
        <v>20</v>
      </c>
      <c r="E2229" t="s">
        <v>602</v>
      </c>
      <c r="F2229" t="s">
        <v>602</v>
      </c>
      <c r="G2229" t="s">
        <v>124</v>
      </c>
      <c r="H2229" t="s">
        <v>125</v>
      </c>
      <c r="I2229">
        <v>18</v>
      </c>
      <c r="J2229" t="s">
        <v>294</v>
      </c>
      <c r="K2229" t="s">
        <v>125</v>
      </c>
      <c r="L2229" t="s">
        <v>5132</v>
      </c>
      <c r="AE2229" t="s">
        <v>128</v>
      </c>
    </row>
    <row r="2230" spans="1:78" x14ac:dyDescent="0.2">
      <c r="A2230" t="s">
        <v>119</v>
      </c>
      <c r="B2230" t="s">
        <v>120</v>
      </c>
      <c r="C2230" t="s">
        <v>5133</v>
      </c>
      <c r="D2230">
        <v>2</v>
      </c>
      <c r="E2230" t="s">
        <v>160</v>
      </c>
      <c r="F2230" t="s">
        <v>146</v>
      </c>
      <c r="G2230" t="s">
        <v>124</v>
      </c>
      <c r="H2230" t="s">
        <v>125</v>
      </c>
      <c r="I2230">
        <v>6</v>
      </c>
      <c r="J2230" t="s">
        <v>210</v>
      </c>
      <c r="K2230" t="s">
        <v>125</v>
      </c>
      <c r="L2230" t="s">
        <v>5134</v>
      </c>
      <c r="U2230" t="s">
        <v>149</v>
      </c>
      <c r="W2230" t="s">
        <v>155</v>
      </c>
      <c r="X2230">
        <v>3</v>
      </c>
      <c r="AC2230" t="s">
        <v>136</v>
      </c>
      <c r="AE2230" t="s">
        <v>137</v>
      </c>
    </row>
    <row r="2231" spans="1:78" x14ac:dyDescent="0.2">
      <c r="A2231" t="s">
        <v>119</v>
      </c>
      <c r="B2231" t="s">
        <v>120</v>
      </c>
      <c r="C2231" t="s">
        <v>5133</v>
      </c>
      <c r="D2231">
        <v>6</v>
      </c>
      <c r="E2231" t="s">
        <v>160</v>
      </c>
      <c r="F2231" t="s">
        <v>146</v>
      </c>
      <c r="G2231" t="s">
        <v>124</v>
      </c>
      <c r="H2231" t="s">
        <v>125</v>
      </c>
      <c r="I2231">
        <v>0</v>
      </c>
      <c r="J2231" t="s">
        <v>126</v>
      </c>
      <c r="K2231" t="s">
        <v>125</v>
      </c>
      <c r="L2231" t="s">
        <v>5135</v>
      </c>
      <c r="U2231" t="s">
        <v>149</v>
      </c>
      <c r="W2231" t="s">
        <v>155</v>
      </c>
      <c r="X2231">
        <v>3</v>
      </c>
      <c r="AC2231" t="s">
        <v>136</v>
      </c>
      <c r="AE2231" t="s">
        <v>137</v>
      </c>
    </row>
    <row r="2232" spans="1:78" x14ac:dyDescent="0.2">
      <c r="A2232" t="s">
        <v>119</v>
      </c>
      <c r="B2232" t="s">
        <v>120</v>
      </c>
      <c r="C2232" t="s">
        <v>5133</v>
      </c>
      <c r="D2232">
        <v>14</v>
      </c>
      <c r="E2232" t="s">
        <v>232</v>
      </c>
      <c r="F2232" t="s">
        <v>205</v>
      </c>
      <c r="G2232" t="s">
        <v>124</v>
      </c>
      <c r="H2232" t="s">
        <v>125</v>
      </c>
      <c r="I2232">
        <v>9</v>
      </c>
      <c r="J2232" t="s">
        <v>170</v>
      </c>
      <c r="K2232" t="s">
        <v>125</v>
      </c>
      <c r="L2232" t="s">
        <v>5136</v>
      </c>
      <c r="U2232" t="s">
        <v>149</v>
      </c>
      <c r="W2232" t="s">
        <v>155</v>
      </c>
      <c r="X2232">
        <v>1</v>
      </c>
      <c r="AC2232" t="s">
        <v>136</v>
      </c>
      <c r="AE2232" t="s">
        <v>137</v>
      </c>
    </row>
    <row r="2233" spans="1:78" x14ac:dyDescent="0.2">
      <c r="A2233" t="s">
        <v>119</v>
      </c>
      <c r="B2233" t="s">
        <v>120</v>
      </c>
      <c r="C2233" t="s">
        <v>5137</v>
      </c>
      <c r="D2233">
        <v>4</v>
      </c>
      <c r="E2233" t="s">
        <v>1625</v>
      </c>
      <c r="F2233" t="s">
        <v>261</v>
      </c>
      <c r="G2233" t="s">
        <v>124</v>
      </c>
      <c r="H2233" t="s">
        <v>125</v>
      </c>
      <c r="I2233">
        <v>0</v>
      </c>
      <c r="J2233" t="s">
        <v>126</v>
      </c>
      <c r="K2233" t="s">
        <v>125</v>
      </c>
      <c r="L2233" t="s">
        <v>5138</v>
      </c>
      <c r="U2233" t="s">
        <v>149</v>
      </c>
      <c r="W2233" t="s">
        <v>155</v>
      </c>
      <c r="X2233">
        <v>3</v>
      </c>
      <c r="AC2233" t="s">
        <v>136</v>
      </c>
      <c r="AE2233" t="s">
        <v>137</v>
      </c>
    </row>
    <row r="2234" spans="1:78" x14ac:dyDescent="0.2">
      <c r="A2234" t="s">
        <v>119</v>
      </c>
      <c r="B2234" t="s">
        <v>120</v>
      </c>
      <c r="C2234" t="s">
        <v>5137</v>
      </c>
      <c r="D2234">
        <v>6</v>
      </c>
      <c r="E2234" t="s">
        <v>145</v>
      </c>
      <c r="F2234" t="s">
        <v>146</v>
      </c>
      <c r="G2234" t="s">
        <v>124</v>
      </c>
      <c r="H2234" t="s">
        <v>125</v>
      </c>
      <c r="I2234">
        <v>4</v>
      </c>
      <c r="J2234" t="s">
        <v>264</v>
      </c>
      <c r="K2234" t="s">
        <v>125</v>
      </c>
      <c r="L2234" t="s">
        <v>5139</v>
      </c>
      <c r="U2234" t="s">
        <v>149</v>
      </c>
      <c r="W2234" t="s">
        <v>135</v>
      </c>
      <c r="X2234">
        <v>3</v>
      </c>
      <c r="AC2234" t="s">
        <v>136</v>
      </c>
      <c r="AE2234" t="s">
        <v>137</v>
      </c>
    </row>
    <row r="2235" spans="1:78" x14ac:dyDescent="0.2">
      <c r="A2235" t="s">
        <v>119</v>
      </c>
      <c r="B2235" t="s">
        <v>120</v>
      </c>
      <c r="C2235" t="s">
        <v>5137</v>
      </c>
      <c r="D2235">
        <v>8</v>
      </c>
      <c r="E2235" t="s">
        <v>145</v>
      </c>
      <c r="F2235" t="s">
        <v>146</v>
      </c>
      <c r="G2235" t="s">
        <v>124</v>
      </c>
      <c r="H2235" t="s">
        <v>125</v>
      </c>
      <c r="I2235">
        <v>4</v>
      </c>
      <c r="J2235" t="s">
        <v>264</v>
      </c>
      <c r="K2235" t="s">
        <v>125</v>
      </c>
      <c r="L2235" t="s">
        <v>5140</v>
      </c>
      <c r="U2235" t="s">
        <v>149</v>
      </c>
      <c r="W2235" t="s">
        <v>135</v>
      </c>
      <c r="X2235">
        <v>3</v>
      </c>
      <c r="AC2235" t="s">
        <v>136</v>
      </c>
      <c r="AE2235" t="s">
        <v>137</v>
      </c>
    </row>
    <row r="2236" spans="1:78" x14ac:dyDescent="0.2">
      <c r="A2236" t="s">
        <v>119</v>
      </c>
      <c r="B2236" t="s">
        <v>120</v>
      </c>
      <c r="C2236" t="s">
        <v>5141</v>
      </c>
      <c r="D2236">
        <v>2</v>
      </c>
      <c r="E2236" t="s">
        <v>614</v>
      </c>
      <c r="F2236" t="s">
        <v>205</v>
      </c>
      <c r="G2236" t="s">
        <v>124</v>
      </c>
      <c r="H2236" t="s">
        <v>125</v>
      </c>
      <c r="I2236">
        <v>0</v>
      </c>
      <c r="J2236" t="s">
        <v>126</v>
      </c>
      <c r="K2236" t="s">
        <v>125</v>
      </c>
      <c r="L2236" t="s">
        <v>2615</v>
      </c>
      <c r="U2236" t="s">
        <v>149</v>
      </c>
      <c r="W2236" t="s">
        <v>135</v>
      </c>
      <c r="X2236">
        <v>3</v>
      </c>
      <c r="AC2236" t="s">
        <v>136</v>
      </c>
      <c r="AE2236" t="s">
        <v>137</v>
      </c>
    </row>
    <row r="2237" spans="1:78" x14ac:dyDescent="0.2">
      <c r="A2237" t="s">
        <v>119</v>
      </c>
      <c r="B2237" t="s">
        <v>120</v>
      </c>
      <c r="C2237" t="s">
        <v>5141</v>
      </c>
      <c r="D2237">
        <v>11</v>
      </c>
      <c r="E2237" t="s">
        <v>614</v>
      </c>
      <c r="F2237" t="s">
        <v>205</v>
      </c>
      <c r="G2237" t="s">
        <v>124</v>
      </c>
      <c r="H2237" t="s">
        <v>125</v>
      </c>
      <c r="I2237">
        <v>7</v>
      </c>
      <c r="J2237" t="s">
        <v>170</v>
      </c>
      <c r="K2237" t="s">
        <v>125</v>
      </c>
      <c r="L2237" t="s">
        <v>5142</v>
      </c>
      <c r="U2237" t="s">
        <v>149</v>
      </c>
      <c r="W2237" t="s">
        <v>135</v>
      </c>
      <c r="X2237">
        <v>3</v>
      </c>
      <c r="AC2237" t="s">
        <v>136</v>
      </c>
      <c r="AE2237" t="s">
        <v>137</v>
      </c>
    </row>
    <row r="2238" spans="1:78" x14ac:dyDescent="0.2">
      <c r="A2238" t="s">
        <v>119</v>
      </c>
      <c r="B2238" t="s">
        <v>120</v>
      </c>
      <c r="C2238" t="s">
        <v>5141</v>
      </c>
      <c r="D2238">
        <v>17</v>
      </c>
      <c r="E2238" t="s">
        <v>218</v>
      </c>
      <c r="F2238" t="s">
        <v>205</v>
      </c>
      <c r="G2238" t="s">
        <v>124</v>
      </c>
      <c r="H2238" t="s">
        <v>125</v>
      </c>
      <c r="I2238">
        <v>11</v>
      </c>
      <c r="J2238" t="s">
        <v>161</v>
      </c>
      <c r="K2238" t="s">
        <v>125</v>
      </c>
      <c r="L2238" t="s">
        <v>5143</v>
      </c>
      <c r="U2238" t="s">
        <v>149</v>
      </c>
      <c r="W2238" t="s">
        <v>155</v>
      </c>
      <c r="X2238">
        <v>3</v>
      </c>
      <c r="AC2238" t="s">
        <v>136</v>
      </c>
      <c r="AE2238" t="s">
        <v>137</v>
      </c>
    </row>
    <row r="2239" spans="1:78" x14ac:dyDescent="0.2">
      <c r="A2239" t="s">
        <v>119</v>
      </c>
      <c r="B2239" t="s">
        <v>120</v>
      </c>
      <c r="C2239" t="s">
        <v>5144</v>
      </c>
      <c r="D2239">
        <v>4</v>
      </c>
      <c r="E2239" t="s">
        <v>5145</v>
      </c>
      <c r="F2239" t="s">
        <v>1836</v>
      </c>
      <c r="G2239" t="s">
        <v>124</v>
      </c>
      <c r="H2239" t="s">
        <v>125</v>
      </c>
      <c r="I2239">
        <v>0</v>
      </c>
      <c r="J2239" t="s">
        <v>126</v>
      </c>
      <c r="K2239" t="s">
        <v>125</v>
      </c>
      <c r="L2239" t="s">
        <v>5146</v>
      </c>
      <c r="U2239" t="s">
        <v>149</v>
      </c>
      <c r="W2239" t="s">
        <v>155</v>
      </c>
      <c r="X2239">
        <v>3</v>
      </c>
      <c r="AC2239" t="s">
        <v>136</v>
      </c>
      <c r="AE2239" t="s">
        <v>137</v>
      </c>
    </row>
    <row r="2240" spans="1:78" hidden="1" x14ac:dyDescent="0.2">
      <c r="A2240" t="s">
        <v>119</v>
      </c>
      <c r="B2240" t="s">
        <v>120</v>
      </c>
      <c r="C2240" t="s">
        <v>5147</v>
      </c>
      <c r="D2240">
        <v>3</v>
      </c>
      <c r="E2240" t="s">
        <v>691</v>
      </c>
      <c r="F2240" t="s">
        <v>261</v>
      </c>
      <c r="G2240" t="s">
        <v>124</v>
      </c>
      <c r="H2240" t="s">
        <v>125</v>
      </c>
      <c r="I2240">
        <v>8</v>
      </c>
      <c r="J2240" t="s">
        <v>268</v>
      </c>
      <c r="K2240" t="s">
        <v>125</v>
      </c>
      <c r="L2240" t="s">
        <v>5148</v>
      </c>
      <c r="T2240" t="s">
        <v>154</v>
      </c>
      <c r="W2240" t="s">
        <v>135</v>
      </c>
      <c r="AC2240" t="s">
        <v>143</v>
      </c>
      <c r="AE2240" t="s">
        <v>144</v>
      </c>
      <c r="AG2240">
        <v>2</v>
      </c>
      <c r="AH2240" t="s">
        <v>204</v>
      </c>
      <c r="AI2240" t="s">
        <v>205</v>
      </c>
      <c r="AJ2240" t="s">
        <v>131</v>
      </c>
      <c r="AK2240" t="s">
        <v>125</v>
      </c>
      <c r="AL2240">
        <v>3</v>
      </c>
      <c r="AM2240" t="s">
        <v>132</v>
      </c>
      <c r="AN2240" t="s">
        <v>125</v>
      </c>
      <c r="AO2240" t="s">
        <v>5149</v>
      </c>
      <c r="BP2240" t="s">
        <v>149</v>
      </c>
      <c r="BR2240" t="s">
        <v>135</v>
      </c>
      <c r="BS2240">
        <v>1</v>
      </c>
      <c r="BX2240" t="s">
        <v>136</v>
      </c>
      <c r="BZ2240" t="s">
        <v>137</v>
      </c>
    </row>
    <row r="2241" spans="1:78" hidden="1" x14ac:dyDescent="0.2">
      <c r="A2241" t="s">
        <v>119</v>
      </c>
      <c r="B2241" t="s">
        <v>120</v>
      </c>
      <c r="C2241" t="s">
        <v>5147</v>
      </c>
      <c r="D2241">
        <v>8</v>
      </c>
      <c r="E2241" t="s">
        <v>4051</v>
      </c>
      <c r="F2241" t="s">
        <v>4051</v>
      </c>
      <c r="G2241" t="s">
        <v>124</v>
      </c>
      <c r="H2241" t="s">
        <v>125</v>
      </c>
      <c r="I2241">
        <v>0</v>
      </c>
      <c r="J2241" t="s">
        <v>126</v>
      </c>
      <c r="K2241" t="s">
        <v>125</v>
      </c>
      <c r="L2241" t="s">
        <v>5150</v>
      </c>
      <c r="AE2241" t="s">
        <v>128</v>
      </c>
      <c r="AG2241">
        <v>7</v>
      </c>
      <c r="AH2241" t="s">
        <v>571</v>
      </c>
      <c r="AI2241" t="s">
        <v>572</v>
      </c>
      <c r="AJ2241" t="s">
        <v>131</v>
      </c>
      <c r="AK2241" t="s">
        <v>125</v>
      </c>
      <c r="AL2241">
        <v>8</v>
      </c>
      <c r="AM2241" t="s">
        <v>132</v>
      </c>
      <c r="AN2241" t="s">
        <v>125</v>
      </c>
      <c r="AO2241" t="s">
        <v>5151</v>
      </c>
      <c r="BP2241" t="s">
        <v>149</v>
      </c>
      <c r="BR2241" t="s">
        <v>155</v>
      </c>
      <c r="BS2241">
        <v>3</v>
      </c>
      <c r="BX2241" t="s">
        <v>136</v>
      </c>
      <c r="BZ2241" t="s">
        <v>137</v>
      </c>
    </row>
    <row r="2242" spans="1:78" x14ac:dyDescent="0.2">
      <c r="A2242" t="s">
        <v>119</v>
      </c>
      <c r="B2242" t="s">
        <v>120</v>
      </c>
      <c r="C2242" t="s">
        <v>5152</v>
      </c>
      <c r="D2242">
        <v>3</v>
      </c>
      <c r="E2242" t="s">
        <v>2512</v>
      </c>
      <c r="F2242" t="s">
        <v>1399</v>
      </c>
      <c r="G2242" t="s">
        <v>124</v>
      </c>
      <c r="H2242" t="s">
        <v>125</v>
      </c>
      <c r="I2242">
        <v>7</v>
      </c>
      <c r="J2242" t="s">
        <v>268</v>
      </c>
      <c r="K2242" t="s">
        <v>125</v>
      </c>
      <c r="L2242" t="s">
        <v>2620</v>
      </c>
      <c r="U2242" t="s">
        <v>149</v>
      </c>
      <c r="W2242" t="s">
        <v>135</v>
      </c>
      <c r="X2242">
        <v>3</v>
      </c>
      <c r="AC2242" t="s">
        <v>136</v>
      </c>
      <c r="AE2242" t="s">
        <v>137</v>
      </c>
    </row>
    <row r="2243" spans="1:78" x14ac:dyDescent="0.2">
      <c r="A2243" t="s">
        <v>119</v>
      </c>
      <c r="B2243" t="s">
        <v>120</v>
      </c>
      <c r="C2243" t="s">
        <v>5152</v>
      </c>
      <c r="D2243">
        <v>7</v>
      </c>
      <c r="E2243" t="s">
        <v>1825</v>
      </c>
      <c r="F2243" t="s">
        <v>198</v>
      </c>
      <c r="G2243" t="s">
        <v>124</v>
      </c>
      <c r="H2243" t="s">
        <v>125</v>
      </c>
      <c r="I2243">
        <v>0</v>
      </c>
      <c r="J2243" t="s">
        <v>126</v>
      </c>
      <c r="K2243" t="s">
        <v>125</v>
      </c>
      <c r="L2243" t="s">
        <v>5153</v>
      </c>
      <c r="U2243" t="s">
        <v>149</v>
      </c>
      <c r="W2243" t="s">
        <v>135</v>
      </c>
      <c r="X2243">
        <v>2</v>
      </c>
      <c r="AC2243" t="s">
        <v>136</v>
      </c>
      <c r="AE2243" t="s">
        <v>137</v>
      </c>
    </row>
    <row r="2244" spans="1:78" x14ac:dyDescent="0.2">
      <c r="A2244" t="s">
        <v>119</v>
      </c>
      <c r="B2244" t="s">
        <v>120</v>
      </c>
      <c r="C2244" t="s">
        <v>5152</v>
      </c>
      <c r="D2244">
        <v>14</v>
      </c>
      <c r="E2244" t="s">
        <v>4559</v>
      </c>
      <c r="F2244" t="s">
        <v>1399</v>
      </c>
      <c r="G2244" t="s">
        <v>124</v>
      </c>
      <c r="H2244" t="s">
        <v>125</v>
      </c>
      <c r="I2244">
        <v>7</v>
      </c>
      <c r="J2244" t="s">
        <v>268</v>
      </c>
      <c r="K2244" t="s">
        <v>125</v>
      </c>
      <c r="L2244" t="s">
        <v>5154</v>
      </c>
      <c r="U2244" t="s">
        <v>149</v>
      </c>
      <c r="W2244" t="s">
        <v>155</v>
      </c>
      <c r="X2244">
        <v>3</v>
      </c>
      <c r="AC2244" t="s">
        <v>136</v>
      </c>
      <c r="AE2244" t="s">
        <v>137</v>
      </c>
    </row>
    <row r="2245" spans="1:78" x14ac:dyDescent="0.2">
      <c r="A2245" t="s">
        <v>119</v>
      </c>
      <c r="B2245" t="s">
        <v>120</v>
      </c>
      <c r="C2245" t="s">
        <v>5155</v>
      </c>
      <c r="D2245">
        <v>10</v>
      </c>
      <c r="E2245" t="s">
        <v>160</v>
      </c>
      <c r="F2245" t="s">
        <v>146</v>
      </c>
      <c r="G2245" t="s">
        <v>124</v>
      </c>
      <c r="H2245" t="s">
        <v>125</v>
      </c>
      <c r="I2245">
        <v>0</v>
      </c>
      <c r="J2245" t="s">
        <v>126</v>
      </c>
      <c r="K2245" t="s">
        <v>125</v>
      </c>
      <c r="L2245" t="s">
        <v>5156</v>
      </c>
      <c r="U2245" t="s">
        <v>149</v>
      </c>
      <c r="W2245" t="s">
        <v>155</v>
      </c>
      <c r="X2245">
        <v>3</v>
      </c>
      <c r="AC2245" t="s">
        <v>136</v>
      </c>
      <c r="AE2245" t="s">
        <v>137</v>
      </c>
    </row>
    <row r="2246" spans="1:78" x14ac:dyDescent="0.2">
      <c r="A2246" t="s">
        <v>119</v>
      </c>
      <c r="B2246" t="s">
        <v>120</v>
      </c>
      <c r="C2246" t="s">
        <v>5157</v>
      </c>
      <c r="D2246">
        <v>3</v>
      </c>
      <c r="E2246" t="s">
        <v>3041</v>
      </c>
      <c r="F2246" t="s">
        <v>723</v>
      </c>
      <c r="G2246" t="s">
        <v>124</v>
      </c>
      <c r="H2246" t="s">
        <v>125</v>
      </c>
      <c r="I2246">
        <v>0</v>
      </c>
      <c r="J2246" t="s">
        <v>126</v>
      </c>
      <c r="K2246" t="s">
        <v>125</v>
      </c>
      <c r="L2246" t="s">
        <v>5158</v>
      </c>
      <c r="U2246" t="s">
        <v>209</v>
      </c>
      <c r="W2246" t="s">
        <v>155</v>
      </c>
      <c r="X2246">
        <v>1</v>
      </c>
      <c r="AC2246" t="s">
        <v>136</v>
      </c>
      <c r="AE2246" t="s">
        <v>137</v>
      </c>
    </row>
    <row r="2247" spans="1:78" hidden="1" x14ac:dyDescent="0.2">
      <c r="A2247" t="s">
        <v>119</v>
      </c>
      <c r="B2247" t="s">
        <v>120</v>
      </c>
      <c r="C2247" t="s">
        <v>5157</v>
      </c>
      <c r="D2247">
        <v>5</v>
      </c>
      <c r="E2247" t="s">
        <v>861</v>
      </c>
      <c r="F2247" t="s">
        <v>140</v>
      </c>
      <c r="G2247" t="s">
        <v>124</v>
      </c>
      <c r="H2247" t="s">
        <v>125</v>
      </c>
      <c r="I2247">
        <v>3</v>
      </c>
      <c r="J2247" t="s">
        <v>294</v>
      </c>
      <c r="K2247" t="s">
        <v>125</v>
      </c>
      <c r="L2247" t="s">
        <v>5159</v>
      </c>
      <c r="AE2247" t="s">
        <v>128</v>
      </c>
    </row>
    <row r="2248" spans="1:78" hidden="1" x14ac:dyDescent="0.2">
      <c r="A2248" t="s">
        <v>119</v>
      </c>
      <c r="B2248" t="s">
        <v>120</v>
      </c>
      <c r="C2248" t="s">
        <v>5157</v>
      </c>
      <c r="D2248">
        <v>15</v>
      </c>
      <c r="E2248" t="s">
        <v>5160</v>
      </c>
      <c r="F2248" t="s">
        <v>3438</v>
      </c>
      <c r="G2248" t="s">
        <v>124</v>
      </c>
      <c r="H2248" t="s">
        <v>125</v>
      </c>
      <c r="I2248">
        <v>8</v>
      </c>
      <c r="J2248" t="s">
        <v>268</v>
      </c>
      <c r="K2248" t="s">
        <v>125</v>
      </c>
      <c r="L2248" t="s">
        <v>5161</v>
      </c>
      <c r="U2248" t="s">
        <v>309</v>
      </c>
      <c r="W2248" t="s">
        <v>135</v>
      </c>
      <c r="X2248">
        <v>3</v>
      </c>
      <c r="AC2248" t="s">
        <v>209</v>
      </c>
      <c r="AE2248" t="s">
        <v>137</v>
      </c>
      <c r="AG2248">
        <v>14</v>
      </c>
      <c r="AH2248" t="s">
        <v>160</v>
      </c>
      <c r="AI2248" t="s">
        <v>146</v>
      </c>
      <c r="AJ2248" t="s">
        <v>131</v>
      </c>
      <c r="AK2248" t="s">
        <v>125</v>
      </c>
      <c r="AL2248">
        <v>15</v>
      </c>
      <c r="AM2248" t="s">
        <v>132</v>
      </c>
      <c r="AN2248" t="s">
        <v>125</v>
      </c>
      <c r="AO2248" t="s">
        <v>5162</v>
      </c>
      <c r="AP2248">
        <v>11</v>
      </c>
      <c r="AQ2248" t="s">
        <v>160</v>
      </c>
      <c r="AR2248" t="s">
        <v>146</v>
      </c>
      <c r="AS2248" t="s">
        <v>131</v>
      </c>
      <c r="AT2248" t="s">
        <v>125</v>
      </c>
      <c r="AU2248">
        <v>14</v>
      </c>
      <c r="AV2248" t="s">
        <v>210</v>
      </c>
      <c r="AW2248" t="s">
        <v>125</v>
      </c>
      <c r="AX2248" t="s">
        <v>5163</v>
      </c>
      <c r="BP2248" t="s">
        <v>149</v>
      </c>
      <c r="BR2248" t="s">
        <v>135</v>
      </c>
      <c r="BS2248">
        <v>1</v>
      </c>
      <c r="BX2248" t="s">
        <v>136</v>
      </c>
      <c r="BZ2248" t="s">
        <v>137</v>
      </c>
    </row>
    <row r="2249" spans="1:78" hidden="1" x14ac:dyDescent="0.2">
      <c r="A2249" t="s">
        <v>119</v>
      </c>
      <c r="B2249" t="s">
        <v>120</v>
      </c>
      <c r="C2249" t="s">
        <v>5164</v>
      </c>
      <c r="D2249">
        <v>4</v>
      </c>
      <c r="E2249" t="s">
        <v>5165</v>
      </c>
      <c r="F2249" t="s">
        <v>4051</v>
      </c>
      <c r="G2249" t="s">
        <v>124</v>
      </c>
      <c r="H2249" t="s">
        <v>125</v>
      </c>
      <c r="I2249">
        <v>0</v>
      </c>
      <c r="J2249" t="s">
        <v>126</v>
      </c>
      <c r="K2249" t="s">
        <v>125</v>
      </c>
      <c r="L2249" t="s">
        <v>5166</v>
      </c>
      <c r="T2249" t="s">
        <v>142</v>
      </c>
      <c r="W2249" t="s">
        <v>155</v>
      </c>
      <c r="AG2249">
        <v>3</v>
      </c>
      <c r="AH2249" t="s">
        <v>160</v>
      </c>
      <c r="AI2249" t="s">
        <v>146</v>
      </c>
      <c r="AJ2249" t="s">
        <v>131</v>
      </c>
      <c r="AK2249" t="s">
        <v>125</v>
      </c>
      <c r="AL2249">
        <v>4</v>
      </c>
      <c r="AM2249" t="s">
        <v>147</v>
      </c>
      <c r="AN2249" t="s">
        <v>125</v>
      </c>
      <c r="AO2249" t="s">
        <v>5167</v>
      </c>
      <c r="BP2249" t="s">
        <v>149</v>
      </c>
      <c r="BR2249" t="s">
        <v>155</v>
      </c>
      <c r="BS2249">
        <v>3</v>
      </c>
      <c r="BX2249" t="s">
        <v>136</v>
      </c>
      <c r="BZ2249" t="s">
        <v>137</v>
      </c>
    </row>
    <row r="2250" spans="1:78" x14ac:dyDescent="0.2">
      <c r="A2250" t="s">
        <v>119</v>
      </c>
      <c r="B2250" t="s">
        <v>120</v>
      </c>
      <c r="C2250" t="s">
        <v>5168</v>
      </c>
      <c r="D2250">
        <v>4</v>
      </c>
      <c r="E2250" t="s">
        <v>145</v>
      </c>
      <c r="F2250" t="s">
        <v>146</v>
      </c>
      <c r="G2250" t="s">
        <v>124</v>
      </c>
      <c r="H2250" t="s">
        <v>125</v>
      </c>
      <c r="I2250">
        <v>0</v>
      </c>
      <c r="J2250" t="s">
        <v>126</v>
      </c>
      <c r="K2250" t="s">
        <v>125</v>
      </c>
      <c r="L2250" t="s">
        <v>5169</v>
      </c>
      <c r="U2250" t="s">
        <v>149</v>
      </c>
      <c r="W2250" t="s">
        <v>135</v>
      </c>
      <c r="X2250">
        <v>3</v>
      </c>
      <c r="AC2250" t="s">
        <v>136</v>
      </c>
      <c r="AE2250" t="s">
        <v>137</v>
      </c>
    </row>
    <row r="2251" spans="1:78" x14ac:dyDescent="0.2">
      <c r="A2251" t="s">
        <v>119</v>
      </c>
      <c r="B2251" t="s">
        <v>120</v>
      </c>
      <c r="C2251" t="s">
        <v>5168</v>
      </c>
      <c r="D2251">
        <v>8</v>
      </c>
      <c r="E2251" t="s">
        <v>3947</v>
      </c>
      <c r="F2251" t="s">
        <v>198</v>
      </c>
      <c r="G2251" t="s">
        <v>124</v>
      </c>
      <c r="H2251" t="s">
        <v>125</v>
      </c>
      <c r="I2251">
        <v>4</v>
      </c>
      <c r="J2251" t="s">
        <v>264</v>
      </c>
      <c r="K2251" t="s">
        <v>125</v>
      </c>
      <c r="L2251" t="s">
        <v>5170</v>
      </c>
      <c r="U2251" t="s">
        <v>149</v>
      </c>
      <c r="W2251" t="s">
        <v>155</v>
      </c>
      <c r="X2251">
        <v>1</v>
      </c>
      <c r="AC2251" t="s">
        <v>136</v>
      </c>
      <c r="AE2251" t="s">
        <v>137</v>
      </c>
    </row>
    <row r="2252" spans="1:78" hidden="1" x14ac:dyDescent="0.2">
      <c r="A2252" t="s">
        <v>119</v>
      </c>
      <c r="B2252" t="s">
        <v>120</v>
      </c>
      <c r="C2252" t="s">
        <v>5168</v>
      </c>
      <c r="D2252">
        <v>10</v>
      </c>
      <c r="E2252" t="s">
        <v>5171</v>
      </c>
      <c r="F2252" t="s">
        <v>146</v>
      </c>
      <c r="G2252" t="s">
        <v>124</v>
      </c>
      <c r="H2252" t="s">
        <v>125</v>
      </c>
      <c r="I2252">
        <v>8</v>
      </c>
      <c r="J2252" t="s">
        <v>161</v>
      </c>
      <c r="K2252" t="s">
        <v>125</v>
      </c>
      <c r="L2252" t="s">
        <v>5172</v>
      </c>
      <c r="AG2252">
        <v>9</v>
      </c>
      <c r="AH2252" t="s">
        <v>5055</v>
      </c>
      <c r="AI2252" t="s">
        <v>572</v>
      </c>
      <c r="AJ2252" t="s">
        <v>131</v>
      </c>
      <c r="AK2252" t="s">
        <v>125</v>
      </c>
      <c r="AL2252">
        <v>10</v>
      </c>
      <c r="AM2252" t="s">
        <v>132</v>
      </c>
      <c r="AN2252" t="s">
        <v>125</v>
      </c>
      <c r="AO2252" t="s">
        <v>5173</v>
      </c>
      <c r="BP2252" t="s">
        <v>134</v>
      </c>
      <c r="BR2252" t="s">
        <v>155</v>
      </c>
      <c r="BS2252">
        <v>3</v>
      </c>
      <c r="BX2252" t="s">
        <v>136</v>
      </c>
      <c r="BZ2252" t="s">
        <v>137</v>
      </c>
    </row>
    <row r="2253" spans="1:78" hidden="1" x14ac:dyDescent="0.2">
      <c r="A2253" t="s">
        <v>119</v>
      </c>
      <c r="B2253" t="s">
        <v>120</v>
      </c>
      <c r="C2253" t="s">
        <v>5168</v>
      </c>
      <c r="D2253">
        <v>16</v>
      </c>
      <c r="E2253" t="s">
        <v>5171</v>
      </c>
      <c r="F2253" t="s">
        <v>146</v>
      </c>
      <c r="G2253" t="s">
        <v>124</v>
      </c>
      <c r="H2253" t="s">
        <v>125</v>
      </c>
      <c r="I2253">
        <v>8</v>
      </c>
      <c r="J2253" t="s">
        <v>161</v>
      </c>
      <c r="K2253" t="s">
        <v>125</v>
      </c>
      <c r="L2253" t="s">
        <v>5174</v>
      </c>
      <c r="AG2253">
        <v>15</v>
      </c>
      <c r="AH2253" t="s">
        <v>5055</v>
      </c>
      <c r="AI2253" t="s">
        <v>572</v>
      </c>
      <c r="AJ2253" t="s">
        <v>131</v>
      </c>
      <c r="AK2253" t="s">
        <v>125</v>
      </c>
      <c r="AL2253">
        <v>16</v>
      </c>
      <c r="AM2253" t="s">
        <v>132</v>
      </c>
      <c r="AN2253" t="s">
        <v>125</v>
      </c>
      <c r="AO2253" t="s">
        <v>5175</v>
      </c>
      <c r="BP2253" t="s">
        <v>134</v>
      </c>
      <c r="BR2253" t="s">
        <v>155</v>
      </c>
      <c r="BS2253">
        <v>3</v>
      </c>
      <c r="BX2253" t="s">
        <v>136</v>
      </c>
      <c r="BZ2253" t="s">
        <v>137</v>
      </c>
    </row>
    <row r="2254" spans="1:78" x14ac:dyDescent="0.2">
      <c r="A2254" t="s">
        <v>119</v>
      </c>
      <c r="B2254" t="s">
        <v>120</v>
      </c>
      <c r="C2254" t="s">
        <v>5176</v>
      </c>
      <c r="D2254">
        <v>4</v>
      </c>
      <c r="E2254" t="s">
        <v>145</v>
      </c>
      <c r="F2254" t="s">
        <v>146</v>
      </c>
      <c r="G2254" t="s">
        <v>124</v>
      </c>
      <c r="H2254" t="s">
        <v>125</v>
      </c>
      <c r="I2254">
        <v>6</v>
      </c>
      <c r="J2254" t="s">
        <v>210</v>
      </c>
      <c r="K2254" t="s">
        <v>125</v>
      </c>
      <c r="L2254" t="s">
        <v>5177</v>
      </c>
      <c r="U2254" t="s">
        <v>149</v>
      </c>
      <c r="W2254" t="s">
        <v>135</v>
      </c>
      <c r="X2254">
        <v>3</v>
      </c>
      <c r="AC2254" t="s">
        <v>136</v>
      </c>
      <c r="AE2254" t="s">
        <v>137</v>
      </c>
    </row>
    <row r="2255" spans="1:78" x14ac:dyDescent="0.2">
      <c r="A2255" t="s">
        <v>119</v>
      </c>
      <c r="B2255" t="s">
        <v>120</v>
      </c>
      <c r="C2255" t="s">
        <v>5176</v>
      </c>
      <c r="D2255">
        <v>6</v>
      </c>
      <c r="E2255" t="s">
        <v>145</v>
      </c>
      <c r="F2255" t="s">
        <v>146</v>
      </c>
      <c r="G2255" t="s">
        <v>124</v>
      </c>
      <c r="H2255" t="s">
        <v>125</v>
      </c>
      <c r="I2255">
        <v>0</v>
      </c>
      <c r="J2255" t="s">
        <v>126</v>
      </c>
      <c r="K2255" t="s">
        <v>125</v>
      </c>
      <c r="L2255" t="s">
        <v>5178</v>
      </c>
      <c r="U2255" t="s">
        <v>149</v>
      </c>
      <c r="W2255" t="s">
        <v>135</v>
      </c>
      <c r="X2255">
        <v>3</v>
      </c>
      <c r="AC2255" t="s">
        <v>136</v>
      </c>
      <c r="AE2255" t="s">
        <v>137</v>
      </c>
    </row>
    <row r="2256" spans="1:78" hidden="1" x14ac:dyDescent="0.2">
      <c r="A2256" t="s">
        <v>119</v>
      </c>
      <c r="B2256" t="s">
        <v>120</v>
      </c>
      <c r="C2256" t="s">
        <v>5176</v>
      </c>
      <c r="D2256">
        <v>7</v>
      </c>
      <c r="E2256" t="s">
        <v>5179</v>
      </c>
      <c r="F2256" t="s">
        <v>5180</v>
      </c>
      <c r="G2256" t="s">
        <v>124</v>
      </c>
      <c r="H2256" t="s">
        <v>125</v>
      </c>
      <c r="I2256">
        <v>6</v>
      </c>
      <c r="J2256" t="s">
        <v>302</v>
      </c>
      <c r="K2256" t="s">
        <v>125</v>
      </c>
      <c r="L2256" t="s">
        <v>5181</v>
      </c>
      <c r="T2256" t="s">
        <v>142</v>
      </c>
      <c r="W2256" t="s">
        <v>135</v>
      </c>
    </row>
    <row r="2257" spans="1:78" x14ac:dyDescent="0.2">
      <c r="A2257" t="s">
        <v>119</v>
      </c>
      <c r="B2257" t="s">
        <v>120</v>
      </c>
      <c r="C2257" t="s">
        <v>5182</v>
      </c>
      <c r="D2257">
        <v>3</v>
      </c>
      <c r="E2257" t="s">
        <v>5183</v>
      </c>
      <c r="F2257" t="s">
        <v>311</v>
      </c>
      <c r="G2257" t="s">
        <v>124</v>
      </c>
      <c r="H2257" t="s">
        <v>125</v>
      </c>
      <c r="I2257">
        <v>0</v>
      </c>
      <c r="J2257" t="s">
        <v>126</v>
      </c>
      <c r="K2257" t="s">
        <v>125</v>
      </c>
      <c r="L2257" t="s">
        <v>5184</v>
      </c>
      <c r="U2257" t="s">
        <v>149</v>
      </c>
      <c r="W2257" t="s">
        <v>135</v>
      </c>
      <c r="X2257">
        <v>3</v>
      </c>
      <c r="AC2257" t="s">
        <v>136</v>
      </c>
      <c r="AE2257" t="s">
        <v>137</v>
      </c>
    </row>
    <row r="2258" spans="1:78" x14ac:dyDescent="0.2">
      <c r="A2258" t="s">
        <v>119</v>
      </c>
      <c r="B2258" t="s">
        <v>120</v>
      </c>
      <c r="C2258" t="s">
        <v>5185</v>
      </c>
      <c r="D2258">
        <v>4</v>
      </c>
      <c r="E2258" t="s">
        <v>1148</v>
      </c>
      <c r="F2258" t="s">
        <v>1149</v>
      </c>
      <c r="G2258" t="s">
        <v>124</v>
      </c>
      <c r="H2258" t="s">
        <v>125</v>
      </c>
      <c r="I2258">
        <v>0</v>
      </c>
      <c r="J2258" t="s">
        <v>126</v>
      </c>
      <c r="K2258" t="s">
        <v>125</v>
      </c>
      <c r="L2258" t="s">
        <v>5186</v>
      </c>
      <c r="U2258" t="s">
        <v>149</v>
      </c>
      <c r="W2258" t="s">
        <v>135</v>
      </c>
      <c r="X2258">
        <v>3</v>
      </c>
      <c r="AC2258" t="s">
        <v>136</v>
      </c>
      <c r="AE2258" t="s">
        <v>137</v>
      </c>
    </row>
    <row r="2259" spans="1:78" hidden="1" x14ac:dyDescent="0.2">
      <c r="A2259" t="s">
        <v>119</v>
      </c>
      <c r="B2259" t="s">
        <v>120</v>
      </c>
      <c r="C2259" t="s">
        <v>5185</v>
      </c>
      <c r="D2259">
        <v>7</v>
      </c>
      <c r="E2259" t="s">
        <v>5187</v>
      </c>
      <c r="F2259" t="s">
        <v>4051</v>
      </c>
      <c r="G2259" t="s">
        <v>124</v>
      </c>
      <c r="H2259" t="s">
        <v>125</v>
      </c>
      <c r="I2259">
        <v>4</v>
      </c>
      <c r="J2259" t="s">
        <v>264</v>
      </c>
      <c r="K2259" t="s">
        <v>125</v>
      </c>
      <c r="L2259" t="s">
        <v>5188</v>
      </c>
      <c r="T2259" t="s">
        <v>154</v>
      </c>
      <c r="W2259" t="s">
        <v>155</v>
      </c>
      <c r="AC2259" t="s">
        <v>143</v>
      </c>
      <c r="AE2259" t="s">
        <v>144</v>
      </c>
      <c r="AG2259">
        <v>6</v>
      </c>
      <c r="AH2259" t="s">
        <v>564</v>
      </c>
      <c r="AI2259" t="s">
        <v>146</v>
      </c>
      <c r="AJ2259" t="s">
        <v>131</v>
      </c>
      <c r="AK2259" t="s">
        <v>125</v>
      </c>
      <c r="AL2259">
        <v>7</v>
      </c>
      <c r="AM2259" t="s">
        <v>147</v>
      </c>
      <c r="AN2259" t="s">
        <v>125</v>
      </c>
      <c r="AO2259" t="s">
        <v>5189</v>
      </c>
      <c r="BP2259" t="s">
        <v>309</v>
      </c>
      <c r="BR2259" t="s">
        <v>155</v>
      </c>
      <c r="BS2259">
        <v>3</v>
      </c>
      <c r="BX2259" t="s">
        <v>136</v>
      </c>
      <c r="BZ2259" t="s">
        <v>137</v>
      </c>
    </row>
    <row r="2260" spans="1:78" hidden="1" x14ac:dyDescent="0.2">
      <c r="A2260" t="s">
        <v>119</v>
      </c>
      <c r="B2260" t="s">
        <v>120</v>
      </c>
      <c r="C2260" t="s">
        <v>5190</v>
      </c>
      <c r="D2260">
        <v>12</v>
      </c>
      <c r="E2260" t="s">
        <v>508</v>
      </c>
      <c r="F2260" t="s">
        <v>186</v>
      </c>
      <c r="G2260" t="s">
        <v>124</v>
      </c>
      <c r="H2260" t="s">
        <v>125</v>
      </c>
      <c r="I2260">
        <v>4</v>
      </c>
      <c r="J2260" t="s">
        <v>170</v>
      </c>
      <c r="K2260" t="s">
        <v>125</v>
      </c>
      <c r="L2260" t="s">
        <v>5191</v>
      </c>
      <c r="T2260" t="s">
        <v>142</v>
      </c>
      <c r="W2260" t="s">
        <v>135</v>
      </c>
      <c r="AC2260" t="s">
        <v>143</v>
      </c>
      <c r="AE2260" t="s">
        <v>144</v>
      </c>
      <c r="AG2260">
        <v>10</v>
      </c>
      <c r="AH2260" t="s">
        <v>145</v>
      </c>
      <c r="AI2260" t="s">
        <v>146</v>
      </c>
      <c r="AJ2260" t="s">
        <v>131</v>
      </c>
      <c r="AK2260" t="s">
        <v>125</v>
      </c>
      <c r="AL2260">
        <v>12</v>
      </c>
      <c r="AM2260" t="s">
        <v>132</v>
      </c>
      <c r="AN2260" t="s">
        <v>125</v>
      </c>
      <c r="AO2260" t="s">
        <v>5192</v>
      </c>
      <c r="BP2260" t="s">
        <v>149</v>
      </c>
      <c r="BR2260" t="s">
        <v>135</v>
      </c>
      <c r="BS2260">
        <v>3</v>
      </c>
      <c r="BX2260" t="s">
        <v>136</v>
      </c>
      <c r="BZ2260" t="s">
        <v>137</v>
      </c>
    </row>
    <row r="2261" spans="1:78" x14ac:dyDescent="0.2">
      <c r="A2261" t="s">
        <v>119</v>
      </c>
      <c r="B2261" t="s">
        <v>120</v>
      </c>
      <c r="C2261" t="s">
        <v>5193</v>
      </c>
      <c r="D2261">
        <v>2</v>
      </c>
      <c r="E2261" t="s">
        <v>197</v>
      </c>
      <c r="F2261" t="s">
        <v>198</v>
      </c>
      <c r="G2261" t="s">
        <v>124</v>
      </c>
      <c r="H2261" t="s">
        <v>125</v>
      </c>
      <c r="I2261">
        <v>0</v>
      </c>
      <c r="J2261" t="s">
        <v>126</v>
      </c>
      <c r="K2261" t="s">
        <v>125</v>
      </c>
      <c r="L2261" t="s">
        <v>5194</v>
      </c>
      <c r="U2261" t="s">
        <v>149</v>
      </c>
      <c r="W2261" t="s">
        <v>135</v>
      </c>
      <c r="X2261">
        <v>1</v>
      </c>
      <c r="AC2261" t="s">
        <v>136</v>
      </c>
      <c r="AE2261" t="s">
        <v>137</v>
      </c>
    </row>
    <row r="2262" spans="1:78" x14ac:dyDescent="0.2">
      <c r="A2262" t="s">
        <v>119</v>
      </c>
      <c r="B2262" t="s">
        <v>120</v>
      </c>
      <c r="C2262" t="s">
        <v>5193</v>
      </c>
      <c r="D2262">
        <v>6</v>
      </c>
      <c r="E2262" t="s">
        <v>204</v>
      </c>
      <c r="F2262" t="s">
        <v>205</v>
      </c>
      <c r="G2262" t="s">
        <v>124</v>
      </c>
      <c r="H2262" t="s">
        <v>125</v>
      </c>
      <c r="I2262">
        <v>2</v>
      </c>
      <c r="J2262" t="s">
        <v>268</v>
      </c>
      <c r="K2262" t="s">
        <v>125</v>
      </c>
      <c r="L2262" t="s">
        <v>5195</v>
      </c>
      <c r="U2262" t="s">
        <v>149</v>
      </c>
      <c r="W2262" t="s">
        <v>135</v>
      </c>
      <c r="X2262">
        <v>1</v>
      </c>
      <c r="AC2262" t="s">
        <v>136</v>
      </c>
      <c r="AE2262" t="s">
        <v>137</v>
      </c>
    </row>
    <row r="2263" spans="1:78" x14ac:dyDescent="0.2">
      <c r="A2263" t="s">
        <v>119</v>
      </c>
      <c r="B2263" t="s">
        <v>120</v>
      </c>
      <c r="C2263" t="s">
        <v>5196</v>
      </c>
      <c r="D2263">
        <v>3</v>
      </c>
      <c r="E2263" t="s">
        <v>204</v>
      </c>
      <c r="F2263" t="s">
        <v>205</v>
      </c>
      <c r="G2263" t="s">
        <v>124</v>
      </c>
      <c r="H2263" t="s">
        <v>125</v>
      </c>
      <c r="I2263">
        <v>0</v>
      </c>
      <c r="J2263" t="s">
        <v>126</v>
      </c>
      <c r="K2263" t="s">
        <v>125</v>
      </c>
      <c r="L2263" t="s">
        <v>5197</v>
      </c>
      <c r="U2263" t="s">
        <v>149</v>
      </c>
      <c r="W2263" t="s">
        <v>135</v>
      </c>
      <c r="X2263">
        <v>1</v>
      </c>
      <c r="AC2263" t="s">
        <v>136</v>
      </c>
      <c r="AE2263" t="s">
        <v>137</v>
      </c>
    </row>
    <row r="2264" spans="1:78" x14ac:dyDescent="0.2">
      <c r="A2264" t="s">
        <v>119</v>
      </c>
      <c r="B2264" t="s">
        <v>120</v>
      </c>
      <c r="C2264" t="s">
        <v>5198</v>
      </c>
      <c r="D2264">
        <v>1</v>
      </c>
      <c r="E2264" t="s">
        <v>3638</v>
      </c>
      <c r="F2264" t="s">
        <v>202</v>
      </c>
      <c r="G2264" t="s">
        <v>124</v>
      </c>
      <c r="H2264" t="s">
        <v>125</v>
      </c>
      <c r="I2264">
        <v>0</v>
      </c>
      <c r="J2264" t="s">
        <v>126</v>
      </c>
      <c r="K2264" t="s">
        <v>125</v>
      </c>
      <c r="L2264" t="s">
        <v>5199</v>
      </c>
      <c r="U2264" t="s">
        <v>209</v>
      </c>
      <c r="W2264" t="s">
        <v>155</v>
      </c>
      <c r="X2264">
        <v>2</v>
      </c>
      <c r="AC2264" t="s">
        <v>136</v>
      </c>
      <c r="AE2264" t="s">
        <v>137</v>
      </c>
    </row>
    <row r="2265" spans="1:78" x14ac:dyDescent="0.2">
      <c r="A2265" t="s">
        <v>119</v>
      </c>
      <c r="B2265" t="s">
        <v>120</v>
      </c>
      <c r="C2265" t="s">
        <v>5198</v>
      </c>
      <c r="D2265">
        <v>3</v>
      </c>
      <c r="E2265" t="s">
        <v>5200</v>
      </c>
      <c r="F2265" t="s">
        <v>5201</v>
      </c>
      <c r="G2265" t="s">
        <v>124</v>
      </c>
      <c r="H2265" t="s">
        <v>125</v>
      </c>
      <c r="I2265">
        <v>1</v>
      </c>
      <c r="J2265" t="s">
        <v>264</v>
      </c>
      <c r="K2265" t="s">
        <v>125</v>
      </c>
      <c r="L2265" t="s">
        <v>5202</v>
      </c>
      <c r="U2265" t="s">
        <v>149</v>
      </c>
      <c r="W2265" t="s">
        <v>135</v>
      </c>
      <c r="X2265">
        <v>3</v>
      </c>
      <c r="AC2265" t="s">
        <v>136</v>
      </c>
      <c r="AE2265" t="s">
        <v>137</v>
      </c>
    </row>
    <row r="2266" spans="1:78" x14ac:dyDescent="0.2">
      <c r="A2266" t="s">
        <v>119</v>
      </c>
      <c r="B2266" t="s">
        <v>120</v>
      </c>
      <c r="C2266" t="s">
        <v>5198</v>
      </c>
      <c r="D2266">
        <v>10</v>
      </c>
      <c r="E2266" t="s">
        <v>5200</v>
      </c>
      <c r="F2266" t="s">
        <v>5201</v>
      </c>
      <c r="G2266" t="s">
        <v>124</v>
      </c>
      <c r="H2266" t="s">
        <v>125</v>
      </c>
      <c r="I2266">
        <v>8</v>
      </c>
      <c r="J2266" t="s">
        <v>161</v>
      </c>
      <c r="K2266" t="s">
        <v>125</v>
      </c>
      <c r="L2266" t="s">
        <v>5203</v>
      </c>
      <c r="U2266" t="s">
        <v>209</v>
      </c>
      <c r="W2266" t="s">
        <v>135</v>
      </c>
      <c r="X2266">
        <v>2</v>
      </c>
      <c r="AC2266" t="s">
        <v>136</v>
      </c>
      <c r="AE2266" t="s">
        <v>137</v>
      </c>
    </row>
    <row r="2267" spans="1:78" x14ac:dyDescent="0.2">
      <c r="A2267" t="s">
        <v>119</v>
      </c>
      <c r="B2267" t="s">
        <v>120</v>
      </c>
      <c r="C2267" t="s">
        <v>5198</v>
      </c>
      <c r="D2267">
        <v>16</v>
      </c>
      <c r="E2267" t="s">
        <v>201</v>
      </c>
      <c r="F2267" t="s">
        <v>202</v>
      </c>
      <c r="G2267" t="s">
        <v>124</v>
      </c>
      <c r="H2267" t="s">
        <v>125</v>
      </c>
      <c r="I2267">
        <v>13</v>
      </c>
      <c r="J2267" t="s">
        <v>170</v>
      </c>
      <c r="K2267" t="s">
        <v>125</v>
      </c>
      <c r="L2267" t="s">
        <v>5204</v>
      </c>
      <c r="U2267" t="s">
        <v>149</v>
      </c>
      <c r="W2267" t="s">
        <v>135</v>
      </c>
      <c r="X2267">
        <v>1</v>
      </c>
      <c r="AC2267" t="s">
        <v>136</v>
      </c>
      <c r="AE2267" t="s">
        <v>137</v>
      </c>
      <c r="AG2267">
        <v>15</v>
      </c>
      <c r="AH2267" t="s">
        <v>232</v>
      </c>
      <c r="AI2267" t="s">
        <v>205</v>
      </c>
      <c r="AJ2267" t="s">
        <v>131</v>
      </c>
      <c r="AK2267" t="s">
        <v>125</v>
      </c>
      <c r="AL2267">
        <v>16</v>
      </c>
      <c r="AM2267" t="s">
        <v>132</v>
      </c>
      <c r="AN2267" t="s">
        <v>125</v>
      </c>
      <c r="AO2267" t="s">
        <v>5205</v>
      </c>
      <c r="BP2267" t="s">
        <v>149</v>
      </c>
      <c r="BR2267" t="s">
        <v>155</v>
      </c>
      <c r="BS2267">
        <v>1</v>
      </c>
      <c r="BX2267" t="s">
        <v>136</v>
      </c>
      <c r="BZ2267" t="s">
        <v>137</v>
      </c>
    </row>
    <row r="2268" spans="1:78" x14ac:dyDescent="0.2">
      <c r="A2268" t="s">
        <v>119</v>
      </c>
      <c r="B2268" t="s">
        <v>120</v>
      </c>
      <c r="C2268" t="s">
        <v>5206</v>
      </c>
      <c r="D2268">
        <v>3</v>
      </c>
      <c r="E2268" t="s">
        <v>204</v>
      </c>
      <c r="F2268" t="s">
        <v>205</v>
      </c>
      <c r="G2268" t="s">
        <v>124</v>
      </c>
      <c r="H2268" t="s">
        <v>125</v>
      </c>
      <c r="I2268">
        <v>0</v>
      </c>
      <c r="J2268" t="s">
        <v>126</v>
      </c>
      <c r="K2268" t="s">
        <v>125</v>
      </c>
      <c r="L2268" t="s">
        <v>5207</v>
      </c>
      <c r="U2268" t="s">
        <v>149</v>
      </c>
      <c r="W2268" t="s">
        <v>135</v>
      </c>
      <c r="X2268">
        <v>1</v>
      </c>
      <c r="AC2268" t="s">
        <v>136</v>
      </c>
      <c r="AE2268" t="s">
        <v>137</v>
      </c>
    </row>
    <row r="2269" spans="1:78" x14ac:dyDescent="0.2">
      <c r="A2269" t="s">
        <v>119</v>
      </c>
      <c r="B2269" t="s">
        <v>120</v>
      </c>
      <c r="C2269" t="s">
        <v>5206</v>
      </c>
      <c r="D2269">
        <v>11</v>
      </c>
      <c r="E2269" t="s">
        <v>145</v>
      </c>
      <c r="F2269" t="s">
        <v>146</v>
      </c>
      <c r="G2269" t="s">
        <v>124</v>
      </c>
      <c r="H2269" t="s">
        <v>125</v>
      </c>
      <c r="I2269">
        <v>3</v>
      </c>
      <c r="J2269" t="s">
        <v>161</v>
      </c>
      <c r="K2269" t="s">
        <v>125</v>
      </c>
      <c r="L2269" t="s">
        <v>5208</v>
      </c>
      <c r="U2269" t="s">
        <v>149</v>
      </c>
      <c r="W2269" t="s">
        <v>135</v>
      </c>
      <c r="X2269">
        <v>3</v>
      </c>
      <c r="AC2269" t="s">
        <v>136</v>
      </c>
      <c r="AE2269" t="s">
        <v>137</v>
      </c>
    </row>
    <row r="2270" spans="1:78" hidden="1" x14ac:dyDescent="0.2">
      <c r="A2270" t="s">
        <v>119</v>
      </c>
      <c r="B2270" t="s">
        <v>120</v>
      </c>
      <c r="C2270" t="s">
        <v>5206</v>
      </c>
      <c r="D2270">
        <v>17</v>
      </c>
      <c r="E2270" t="s">
        <v>508</v>
      </c>
      <c r="F2270" t="s">
        <v>186</v>
      </c>
      <c r="G2270" t="s">
        <v>124</v>
      </c>
      <c r="H2270" t="s">
        <v>125</v>
      </c>
      <c r="I2270">
        <v>11</v>
      </c>
      <c r="J2270" t="s">
        <v>170</v>
      </c>
      <c r="K2270" t="s">
        <v>125</v>
      </c>
      <c r="L2270" t="s">
        <v>5209</v>
      </c>
      <c r="T2270" t="s">
        <v>142</v>
      </c>
      <c r="W2270" t="s">
        <v>135</v>
      </c>
      <c r="AC2270" t="s">
        <v>143</v>
      </c>
      <c r="AE2270" t="s">
        <v>144</v>
      </c>
      <c r="AG2270">
        <v>15</v>
      </c>
      <c r="AH2270" t="s">
        <v>145</v>
      </c>
      <c r="AI2270" t="s">
        <v>146</v>
      </c>
      <c r="AJ2270" t="s">
        <v>131</v>
      </c>
      <c r="AK2270" t="s">
        <v>125</v>
      </c>
      <c r="AL2270">
        <v>17</v>
      </c>
      <c r="AM2270" t="s">
        <v>132</v>
      </c>
      <c r="AN2270" t="s">
        <v>125</v>
      </c>
      <c r="AO2270" t="s">
        <v>5210</v>
      </c>
      <c r="BP2270" t="s">
        <v>149</v>
      </c>
      <c r="BR2270" t="s">
        <v>135</v>
      </c>
      <c r="BS2270">
        <v>3</v>
      </c>
      <c r="BX2270" t="s">
        <v>136</v>
      </c>
      <c r="BZ2270" t="s">
        <v>137</v>
      </c>
    </row>
    <row r="2271" spans="1:78" x14ac:dyDescent="0.2">
      <c r="A2271" t="s">
        <v>119</v>
      </c>
      <c r="B2271" t="s">
        <v>120</v>
      </c>
      <c r="C2271" t="s">
        <v>5211</v>
      </c>
      <c r="D2271">
        <v>1</v>
      </c>
      <c r="E2271" t="s">
        <v>180</v>
      </c>
      <c r="F2271" t="s">
        <v>181</v>
      </c>
      <c r="G2271" t="s">
        <v>124</v>
      </c>
      <c r="H2271" t="s">
        <v>125</v>
      </c>
      <c r="I2271">
        <v>0</v>
      </c>
      <c r="J2271" t="s">
        <v>126</v>
      </c>
      <c r="K2271" t="s">
        <v>125</v>
      </c>
      <c r="L2271" t="s">
        <v>5212</v>
      </c>
      <c r="U2271" t="s">
        <v>149</v>
      </c>
      <c r="W2271" t="s">
        <v>135</v>
      </c>
      <c r="X2271">
        <v>1</v>
      </c>
      <c r="AC2271" t="s">
        <v>136</v>
      </c>
      <c r="AE2271" t="s">
        <v>137</v>
      </c>
    </row>
    <row r="2272" spans="1:78" x14ac:dyDescent="0.2">
      <c r="A2272" t="s">
        <v>119</v>
      </c>
      <c r="B2272" t="s">
        <v>120</v>
      </c>
      <c r="C2272" t="s">
        <v>5213</v>
      </c>
      <c r="D2272">
        <v>2</v>
      </c>
      <c r="E2272" t="s">
        <v>1148</v>
      </c>
      <c r="F2272" t="s">
        <v>1149</v>
      </c>
      <c r="G2272" t="s">
        <v>124</v>
      </c>
      <c r="H2272" t="s">
        <v>125</v>
      </c>
      <c r="I2272">
        <v>0</v>
      </c>
      <c r="J2272" t="s">
        <v>126</v>
      </c>
      <c r="K2272" t="s">
        <v>125</v>
      </c>
      <c r="L2272" t="s">
        <v>5214</v>
      </c>
      <c r="U2272" t="s">
        <v>149</v>
      </c>
      <c r="W2272" t="s">
        <v>135</v>
      </c>
      <c r="X2272">
        <v>3</v>
      </c>
      <c r="AC2272" t="s">
        <v>136</v>
      </c>
      <c r="AE2272" t="s">
        <v>137</v>
      </c>
    </row>
    <row r="2273" spans="1:78" x14ac:dyDescent="0.2">
      <c r="A2273" t="s">
        <v>119</v>
      </c>
      <c r="B2273" t="s">
        <v>120</v>
      </c>
      <c r="C2273" t="s">
        <v>5215</v>
      </c>
      <c r="D2273">
        <v>3</v>
      </c>
      <c r="E2273" t="s">
        <v>145</v>
      </c>
      <c r="F2273" t="s">
        <v>146</v>
      </c>
      <c r="G2273" t="s">
        <v>124</v>
      </c>
      <c r="H2273" t="s">
        <v>125</v>
      </c>
      <c r="I2273">
        <v>0</v>
      </c>
      <c r="J2273" t="s">
        <v>126</v>
      </c>
      <c r="K2273" t="s">
        <v>125</v>
      </c>
      <c r="L2273" t="s">
        <v>5216</v>
      </c>
      <c r="U2273" t="s">
        <v>149</v>
      </c>
      <c r="W2273" t="s">
        <v>135</v>
      </c>
      <c r="X2273">
        <v>3</v>
      </c>
      <c r="AC2273" t="s">
        <v>136</v>
      </c>
      <c r="AE2273" t="s">
        <v>137</v>
      </c>
    </row>
    <row r="2274" spans="1:78" hidden="1" x14ac:dyDescent="0.2">
      <c r="A2274" t="s">
        <v>119</v>
      </c>
      <c r="B2274" t="s">
        <v>120</v>
      </c>
      <c r="C2274" t="s">
        <v>5215</v>
      </c>
      <c r="D2274">
        <v>13</v>
      </c>
      <c r="E2274" t="s">
        <v>691</v>
      </c>
      <c r="F2274" t="s">
        <v>261</v>
      </c>
      <c r="G2274" t="s">
        <v>124</v>
      </c>
      <c r="H2274" t="s">
        <v>125</v>
      </c>
      <c r="I2274">
        <v>9</v>
      </c>
      <c r="J2274" t="s">
        <v>170</v>
      </c>
      <c r="K2274" t="s">
        <v>125</v>
      </c>
      <c r="L2274" t="s">
        <v>5217</v>
      </c>
      <c r="T2274" t="s">
        <v>154</v>
      </c>
      <c r="W2274" t="s">
        <v>135</v>
      </c>
      <c r="AC2274" t="s">
        <v>143</v>
      </c>
      <c r="AE2274" t="s">
        <v>144</v>
      </c>
      <c r="AG2274">
        <v>12</v>
      </c>
      <c r="AH2274" t="s">
        <v>232</v>
      </c>
      <c r="AI2274" t="s">
        <v>205</v>
      </c>
      <c r="AJ2274" t="s">
        <v>131</v>
      </c>
      <c r="AK2274" t="s">
        <v>125</v>
      </c>
      <c r="AL2274">
        <v>13</v>
      </c>
      <c r="AM2274" t="s">
        <v>132</v>
      </c>
      <c r="AN2274" t="s">
        <v>125</v>
      </c>
      <c r="AO2274" t="s">
        <v>5218</v>
      </c>
      <c r="BP2274" t="s">
        <v>209</v>
      </c>
      <c r="BR2274" t="s">
        <v>155</v>
      </c>
      <c r="BS2274">
        <v>1</v>
      </c>
      <c r="BX2274" t="s">
        <v>136</v>
      </c>
      <c r="BZ2274" t="s">
        <v>137</v>
      </c>
    </row>
    <row r="2275" spans="1:78" x14ac:dyDescent="0.2">
      <c r="A2275" t="s">
        <v>119</v>
      </c>
      <c r="B2275" t="s">
        <v>120</v>
      </c>
      <c r="C2275" t="s">
        <v>5219</v>
      </c>
      <c r="D2275">
        <v>1</v>
      </c>
      <c r="E2275" t="s">
        <v>1148</v>
      </c>
      <c r="F2275" t="s">
        <v>1149</v>
      </c>
      <c r="G2275" t="s">
        <v>124</v>
      </c>
      <c r="H2275" t="s">
        <v>125</v>
      </c>
      <c r="I2275">
        <v>0</v>
      </c>
      <c r="J2275" t="s">
        <v>126</v>
      </c>
      <c r="K2275" t="s">
        <v>125</v>
      </c>
      <c r="L2275" t="s">
        <v>5220</v>
      </c>
      <c r="U2275" t="s">
        <v>149</v>
      </c>
      <c r="W2275" t="s">
        <v>135</v>
      </c>
      <c r="X2275">
        <v>3</v>
      </c>
      <c r="AC2275" t="s">
        <v>136</v>
      </c>
      <c r="AE2275" t="s">
        <v>137</v>
      </c>
    </row>
    <row r="2276" spans="1:78" hidden="1" x14ac:dyDescent="0.2">
      <c r="A2276" t="s">
        <v>119</v>
      </c>
      <c r="B2276" t="s">
        <v>120</v>
      </c>
      <c r="C2276" t="s">
        <v>5219</v>
      </c>
      <c r="D2276">
        <v>5</v>
      </c>
      <c r="E2276" t="s">
        <v>4050</v>
      </c>
      <c r="F2276" t="s">
        <v>4051</v>
      </c>
      <c r="G2276" t="s">
        <v>124</v>
      </c>
      <c r="H2276" t="s">
        <v>125</v>
      </c>
      <c r="I2276">
        <v>1</v>
      </c>
      <c r="J2276" t="s">
        <v>264</v>
      </c>
      <c r="K2276" t="s">
        <v>125</v>
      </c>
      <c r="L2276" t="s">
        <v>5221</v>
      </c>
      <c r="T2276" t="s">
        <v>142</v>
      </c>
      <c r="W2276" t="s">
        <v>135</v>
      </c>
      <c r="AC2276" t="s">
        <v>143</v>
      </c>
      <c r="AE2276" t="s">
        <v>144</v>
      </c>
      <c r="AG2276">
        <v>3</v>
      </c>
      <c r="AH2276" t="s">
        <v>3314</v>
      </c>
      <c r="AI2276" t="s">
        <v>572</v>
      </c>
      <c r="AJ2276" t="s">
        <v>131</v>
      </c>
      <c r="AK2276" t="s">
        <v>125</v>
      </c>
      <c r="AL2276">
        <v>5</v>
      </c>
      <c r="AM2276" t="s">
        <v>132</v>
      </c>
      <c r="AN2276" t="s">
        <v>125</v>
      </c>
      <c r="AO2276" t="s">
        <v>5222</v>
      </c>
      <c r="BP2276" t="s">
        <v>134</v>
      </c>
      <c r="BR2276" t="s">
        <v>135</v>
      </c>
      <c r="BS2276">
        <v>3</v>
      </c>
      <c r="BX2276" t="s">
        <v>136</v>
      </c>
      <c r="BZ2276" t="s">
        <v>137</v>
      </c>
    </row>
    <row r="2277" spans="1:78" x14ac:dyDescent="0.2">
      <c r="A2277" t="s">
        <v>119</v>
      </c>
      <c r="B2277" t="s">
        <v>120</v>
      </c>
      <c r="C2277" t="s">
        <v>5223</v>
      </c>
      <c r="D2277">
        <v>3</v>
      </c>
      <c r="E2277" t="s">
        <v>3947</v>
      </c>
      <c r="F2277" t="s">
        <v>198</v>
      </c>
      <c r="G2277" t="s">
        <v>124</v>
      </c>
      <c r="H2277" t="s">
        <v>125</v>
      </c>
      <c r="I2277">
        <v>0</v>
      </c>
      <c r="J2277" t="s">
        <v>126</v>
      </c>
      <c r="K2277" t="s">
        <v>125</v>
      </c>
      <c r="L2277" t="s">
        <v>2684</v>
      </c>
      <c r="U2277" t="s">
        <v>149</v>
      </c>
      <c r="W2277" t="s">
        <v>155</v>
      </c>
      <c r="X2277">
        <v>1</v>
      </c>
      <c r="AC2277" t="s">
        <v>136</v>
      </c>
      <c r="AE2277" t="s">
        <v>137</v>
      </c>
    </row>
    <row r="2278" spans="1:78" x14ac:dyDescent="0.2">
      <c r="A2278" t="s">
        <v>119</v>
      </c>
      <c r="B2278" t="s">
        <v>120</v>
      </c>
      <c r="C2278" t="s">
        <v>5223</v>
      </c>
      <c r="D2278">
        <v>9</v>
      </c>
      <c r="E2278" t="s">
        <v>1368</v>
      </c>
      <c r="F2278" t="s">
        <v>123</v>
      </c>
      <c r="G2278" t="s">
        <v>124</v>
      </c>
      <c r="H2278" t="s">
        <v>125</v>
      </c>
      <c r="I2278">
        <v>3</v>
      </c>
      <c r="J2278" t="s">
        <v>268</v>
      </c>
      <c r="K2278" t="s">
        <v>125</v>
      </c>
      <c r="L2278" t="s">
        <v>5224</v>
      </c>
      <c r="U2278" t="s">
        <v>149</v>
      </c>
      <c r="W2278" t="s">
        <v>135</v>
      </c>
      <c r="X2278">
        <v>3</v>
      </c>
      <c r="AC2278" t="s">
        <v>136</v>
      </c>
      <c r="AE2278" t="s">
        <v>137</v>
      </c>
    </row>
    <row r="2279" spans="1:78" x14ac:dyDescent="0.2">
      <c r="A2279" t="s">
        <v>119</v>
      </c>
      <c r="B2279" t="s">
        <v>120</v>
      </c>
      <c r="C2279" t="s">
        <v>5225</v>
      </c>
      <c r="D2279">
        <v>2</v>
      </c>
      <c r="E2279" t="s">
        <v>5226</v>
      </c>
      <c r="F2279" t="s">
        <v>3855</v>
      </c>
      <c r="G2279" t="s">
        <v>124</v>
      </c>
      <c r="H2279" t="s">
        <v>125</v>
      </c>
      <c r="I2279">
        <v>0</v>
      </c>
      <c r="J2279" t="s">
        <v>126</v>
      </c>
      <c r="K2279" t="s">
        <v>125</v>
      </c>
      <c r="L2279" t="s">
        <v>5227</v>
      </c>
      <c r="U2279" t="s">
        <v>149</v>
      </c>
      <c r="W2279" t="s">
        <v>155</v>
      </c>
      <c r="X2279">
        <v>3</v>
      </c>
      <c r="AC2279" t="s">
        <v>136</v>
      </c>
      <c r="AE2279" t="s">
        <v>137</v>
      </c>
    </row>
    <row r="2280" spans="1:78" hidden="1" x14ac:dyDescent="0.2">
      <c r="A2280" t="s">
        <v>119</v>
      </c>
      <c r="B2280" t="s">
        <v>120</v>
      </c>
      <c r="C2280" t="s">
        <v>5225</v>
      </c>
      <c r="D2280">
        <v>12</v>
      </c>
      <c r="E2280" t="s">
        <v>146</v>
      </c>
      <c r="F2280" t="s">
        <v>146</v>
      </c>
      <c r="G2280" t="s">
        <v>124</v>
      </c>
      <c r="H2280" t="s">
        <v>125</v>
      </c>
      <c r="I2280">
        <v>2</v>
      </c>
      <c r="J2280" t="s">
        <v>161</v>
      </c>
      <c r="K2280" t="s">
        <v>125</v>
      </c>
      <c r="L2280" t="s">
        <v>5228</v>
      </c>
      <c r="AE2280" t="s">
        <v>128</v>
      </c>
      <c r="AG2280">
        <v>11</v>
      </c>
      <c r="AH2280" t="s">
        <v>1203</v>
      </c>
      <c r="AI2280" t="s">
        <v>130</v>
      </c>
      <c r="AJ2280" t="s">
        <v>131</v>
      </c>
      <c r="AK2280" t="s">
        <v>125</v>
      </c>
      <c r="AL2280">
        <v>12</v>
      </c>
      <c r="AM2280" t="s">
        <v>132</v>
      </c>
      <c r="AN2280" t="s">
        <v>125</v>
      </c>
      <c r="AO2280" t="s">
        <v>5229</v>
      </c>
      <c r="BP2280" t="s">
        <v>134</v>
      </c>
      <c r="BR2280" t="s">
        <v>135</v>
      </c>
      <c r="BS2280">
        <v>3</v>
      </c>
      <c r="BX2280" t="s">
        <v>136</v>
      </c>
      <c r="BZ2280" t="s">
        <v>137</v>
      </c>
    </row>
    <row r="2281" spans="1:78" hidden="1" x14ac:dyDescent="0.2">
      <c r="A2281" t="s">
        <v>119</v>
      </c>
      <c r="B2281" t="s">
        <v>120</v>
      </c>
      <c r="C2281" t="s">
        <v>5230</v>
      </c>
      <c r="D2281">
        <v>7</v>
      </c>
      <c r="E2281" t="s">
        <v>508</v>
      </c>
      <c r="F2281" t="s">
        <v>186</v>
      </c>
      <c r="G2281" t="s">
        <v>124</v>
      </c>
      <c r="H2281" t="s">
        <v>125</v>
      </c>
      <c r="I2281">
        <v>0</v>
      </c>
      <c r="J2281" t="s">
        <v>126</v>
      </c>
      <c r="K2281" t="s">
        <v>125</v>
      </c>
      <c r="L2281" t="s">
        <v>5231</v>
      </c>
      <c r="T2281" t="s">
        <v>142</v>
      </c>
      <c r="W2281" t="s">
        <v>135</v>
      </c>
      <c r="AC2281" t="s">
        <v>143</v>
      </c>
      <c r="AE2281" t="s">
        <v>144</v>
      </c>
      <c r="AG2281">
        <v>5</v>
      </c>
      <c r="AH2281" t="s">
        <v>145</v>
      </c>
      <c r="AI2281" t="s">
        <v>146</v>
      </c>
      <c r="AJ2281" t="s">
        <v>131</v>
      </c>
      <c r="AK2281" t="s">
        <v>125</v>
      </c>
      <c r="AL2281">
        <v>7</v>
      </c>
      <c r="AM2281" t="s">
        <v>132</v>
      </c>
      <c r="AN2281" t="s">
        <v>125</v>
      </c>
      <c r="AO2281" t="s">
        <v>5232</v>
      </c>
      <c r="BP2281" t="s">
        <v>149</v>
      </c>
      <c r="BR2281" t="s">
        <v>135</v>
      </c>
      <c r="BS2281">
        <v>3</v>
      </c>
      <c r="BX2281" t="s">
        <v>136</v>
      </c>
      <c r="BZ2281" t="s">
        <v>137</v>
      </c>
    </row>
    <row r="2282" spans="1:78" x14ac:dyDescent="0.2">
      <c r="A2282" t="s">
        <v>119</v>
      </c>
      <c r="B2282" t="s">
        <v>120</v>
      </c>
      <c r="C2282" t="s">
        <v>5233</v>
      </c>
      <c r="D2282">
        <v>1</v>
      </c>
      <c r="E2282" t="s">
        <v>180</v>
      </c>
      <c r="F2282" t="s">
        <v>181</v>
      </c>
      <c r="G2282" t="s">
        <v>124</v>
      </c>
      <c r="H2282" t="s">
        <v>125</v>
      </c>
      <c r="I2282">
        <v>0</v>
      </c>
      <c r="J2282" t="s">
        <v>126</v>
      </c>
      <c r="K2282" t="s">
        <v>125</v>
      </c>
      <c r="L2282" t="s">
        <v>5234</v>
      </c>
      <c r="U2282" t="s">
        <v>149</v>
      </c>
      <c r="W2282" t="s">
        <v>135</v>
      </c>
      <c r="X2282">
        <v>1</v>
      </c>
      <c r="AC2282" t="s">
        <v>136</v>
      </c>
      <c r="AE2282" t="s">
        <v>137</v>
      </c>
    </row>
    <row r="2283" spans="1:78" hidden="1" x14ac:dyDescent="0.2">
      <c r="A2283" t="s">
        <v>119</v>
      </c>
      <c r="B2283" t="s">
        <v>120</v>
      </c>
      <c r="C2283" t="s">
        <v>5233</v>
      </c>
      <c r="D2283">
        <v>8</v>
      </c>
      <c r="E2283" t="s">
        <v>146</v>
      </c>
      <c r="F2283" t="s">
        <v>146</v>
      </c>
      <c r="G2283" t="s">
        <v>124</v>
      </c>
      <c r="H2283" t="s">
        <v>125</v>
      </c>
      <c r="I2283">
        <v>1</v>
      </c>
      <c r="J2283" t="s">
        <v>161</v>
      </c>
      <c r="K2283" t="s">
        <v>125</v>
      </c>
      <c r="L2283" t="s">
        <v>5235</v>
      </c>
      <c r="AG2283">
        <v>7</v>
      </c>
      <c r="AH2283" t="s">
        <v>3314</v>
      </c>
      <c r="AI2283" t="s">
        <v>572</v>
      </c>
      <c r="AJ2283" t="s">
        <v>131</v>
      </c>
      <c r="AK2283" t="s">
        <v>125</v>
      </c>
      <c r="AL2283">
        <v>8</v>
      </c>
      <c r="AM2283" t="s">
        <v>132</v>
      </c>
      <c r="AN2283" t="s">
        <v>125</v>
      </c>
      <c r="AO2283" t="s">
        <v>5236</v>
      </c>
      <c r="BP2283" t="s">
        <v>134</v>
      </c>
      <c r="BR2283" t="s">
        <v>135</v>
      </c>
      <c r="BS2283">
        <v>3</v>
      </c>
      <c r="BX2283" t="s">
        <v>136</v>
      </c>
      <c r="BZ2283" t="s">
        <v>137</v>
      </c>
    </row>
    <row r="2284" spans="1:78" hidden="1" x14ac:dyDescent="0.2">
      <c r="A2284" t="s">
        <v>119</v>
      </c>
      <c r="B2284" t="s">
        <v>120</v>
      </c>
      <c r="C2284" t="s">
        <v>5237</v>
      </c>
      <c r="D2284">
        <v>6</v>
      </c>
      <c r="E2284" t="s">
        <v>508</v>
      </c>
      <c r="F2284" t="s">
        <v>186</v>
      </c>
      <c r="G2284" t="s">
        <v>124</v>
      </c>
      <c r="H2284" t="s">
        <v>125</v>
      </c>
      <c r="I2284">
        <v>2</v>
      </c>
      <c r="J2284" t="s">
        <v>170</v>
      </c>
      <c r="K2284" t="s">
        <v>125</v>
      </c>
      <c r="L2284" t="s">
        <v>5238</v>
      </c>
      <c r="T2284" t="s">
        <v>142</v>
      </c>
      <c r="W2284" t="s">
        <v>135</v>
      </c>
      <c r="AC2284" t="s">
        <v>143</v>
      </c>
      <c r="AE2284" t="s">
        <v>144</v>
      </c>
      <c r="AG2284">
        <v>4</v>
      </c>
      <c r="AH2284" t="s">
        <v>145</v>
      </c>
      <c r="AI2284" t="s">
        <v>146</v>
      </c>
      <c r="AJ2284" t="s">
        <v>131</v>
      </c>
      <c r="AK2284" t="s">
        <v>125</v>
      </c>
      <c r="AL2284">
        <v>6</v>
      </c>
      <c r="AM2284" t="s">
        <v>132</v>
      </c>
      <c r="AN2284" t="s">
        <v>125</v>
      </c>
      <c r="AO2284" t="s">
        <v>5239</v>
      </c>
      <c r="BP2284" t="s">
        <v>149</v>
      </c>
      <c r="BR2284" t="s">
        <v>135</v>
      </c>
      <c r="BS2284">
        <v>3</v>
      </c>
      <c r="BX2284" t="s">
        <v>136</v>
      </c>
      <c r="BZ2284" t="s">
        <v>137</v>
      </c>
    </row>
    <row r="2285" spans="1:78" hidden="1" x14ac:dyDescent="0.2">
      <c r="A2285" t="s">
        <v>119</v>
      </c>
      <c r="B2285" t="s">
        <v>120</v>
      </c>
      <c r="C2285" t="s">
        <v>5237</v>
      </c>
      <c r="D2285">
        <v>10</v>
      </c>
      <c r="E2285" t="s">
        <v>146</v>
      </c>
      <c r="F2285" t="s">
        <v>146</v>
      </c>
      <c r="G2285" t="s">
        <v>124</v>
      </c>
      <c r="H2285" t="s">
        <v>125</v>
      </c>
      <c r="I2285">
        <v>0</v>
      </c>
      <c r="J2285" t="s">
        <v>126</v>
      </c>
      <c r="K2285" t="s">
        <v>125</v>
      </c>
      <c r="L2285" t="s">
        <v>5240</v>
      </c>
      <c r="AE2285" t="s">
        <v>128</v>
      </c>
      <c r="AG2285">
        <v>9</v>
      </c>
      <c r="AH2285" t="s">
        <v>3314</v>
      </c>
      <c r="AI2285" t="s">
        <v>572</v>
      </c>
      <c r="AJ2285" t="s">
        <v>131</v>
      </c>
      <c r="AK2285" t="s">
        <v>125</v>
      </c>
      <c r="AL2285">
        <v>10</v>
      </c>
      <c r="AM2285" t="s">
        <v>132</v>
      </c>
      <c r="AN2285" t="s">
        <v>125</v>
      </c>
      <c r="AO2285" t="s">
        <v>5241</v>
      </c>
      <c r="BP2285" t="s">
        <v>134</v>
      </c>
      <c r="BR2285" t="s">
        <v>135</v>
      </c>
      <c r="BS2285">
        <v>3</v>
      </c>
      <c r="BX2285" t="s">
        <v>136</v>
      </c>
      <c r="BZ2285" t="s">
        <v>137</v>
      </c>
    </row>
    <row r="2286" spans="1:78" x14ac:dyDescent="0.2">
      <c r="A2286" t="s">
        <v>119</v>
      </c>
      <c r="B2286" t="s">
        <v>120</v>
      </c>
      <c r="C2286" t="s">
        <v>5237</v>
      </c>
      <c r="D2286">
        <v>20</v>
      </c>
      <c r="E2286" t="s">
        <v>1625</v>
      </c>
      <c r="F2286" t="s">
        <v>261</v>
      </c>
      <c r="G2286" t="s">
        <v>124</v>
      </c>
      <c r="H2286" t="s">
        <v>125</v>
      </c>
      <c r="I2286">
        <v>16</v>
      </c>
      <c r="J2286" t="s">
        <v>170</v>
      </c>
      <c r="K2286" t="s">
        <v>125</v>
      </c>
      <c r="L2286" t="s">
        <v>5242</v>
      </c>
      <c r="U2286" t="s">
        <v>149</v>
      </c>
      <c r="W2286" t="s">
        <v>155</v>
      </c>
      <c r="X2286">
        <v>3</v>
      </c>
      <c r="AC2286" t="s">
        <v>136</v>
      </c>
      <c r="AE2286" t="s">
        <v>137</v>
      </c>
    </row>
    <row r="2287" spans="1:78" x14ac:dyDescent="0.2">
      <c r="A2287" t="s">
        <v>119</v>
      </c>
      <c r="B2287" t="s">
        <v>120</v>
      </c>
      <c r="C2287" t="s">
        <v>5237</v>
      </c>
      <c r="D2287">
        <v>25</v>
      </c>
      <c r="E2287" t="s">
        <v>1625</v>
      </c>
      <c r="F2287" t="s">
        <v>261</v>
      </c>
      <c r="G2287" t="s">
        <v>124</v>
      </c>
      <c r="H2287" t="s">
        <v>125</v>
      </c>
      <c r="I2287">
        <v>22</v>
      </c>
      <c r="J2287" t="s">
        <v>161</v>
      </c>
      <c r="K2287" t="s">
        <v>125</v>
      </c>
      <c r="L2287" t="s">
        <v>5243</v>
      </c>
      <c r="U2287" t="s">
        <v>149</v>
      </c>
      <c r="W2287" t="s">
        <v>155</v>
      </c>
      <c r="X2287">
        <v>3</v>
      </c>
      <c r="AC2287" t="s">
        <v>136</v>
      </c>
      <c r="AE2287" t="s">
        <v>137</v>
      </c>
    </row>
    <row r="2288" spans="1:78" x14ac:dyDescent="0.2">
      <c r="A2288" t="s">
        <v>119</v>
      </c>
      <c r="B2288" t="s">
        <v>120</v>
      </c>
      <c r="C2288" t="s">
        <v>5237</v>
      </c>
      <c r="D2288">
        <v>27</v>
      </c>
      <c r="E2288" t="s">
        <v>380</v>
      </c>
      <c r="F2288" t="s">
        <v>146</v>
      </c>
      <c r="G2288" t="s">
        <v>124</v>
      </c>
      <c r="H2288" t="s">
        <v>125</v>
      </c>
      <c r="I2288">
        <v>25</v>
      </c>
      <c r="J2288" t="s">
        <v>170</v>
      </c>
      <c r="K2288" t="s">
        <v>125</v>
      </c>
      <c r="L2288" t="s">
        <v>5244</v>
      </c>
      <c r="U2288" t="s">
        <v>309</v>
      </c>
      <c r="W2288" t="s">
        <v>135</v>
      </c>
      <c r="X2288">
        <v>3</v>
      </c>
      <c r="AC2288" t="s">
        <v>136</v>
      </c>
      <c r="AE2288" t="s">
        <v>137</v>
      </c>
    </row>
    <row r="2289" spans="1:31" x14ac:dyDescent="0.2">
      <c r="A2289" t="s">
        <v>119</v>
      </c>
      <c r="B2289" t="s">
        <v>120</v>
      </c>
      <c r="C2289" t="s">
        <v>5237</v>
      </c>
      <c r="D2289">
        <v>35</v>
      </c>
      <c r="E2289" t="s">
        <v>232</v>
      </c>
      <c r="F2289" t="s">
        <v>205</v>
      </c>
      <c r="G2289" t="s">
        <v>124</v>
      </c>
      <c r="H2289" t="s">
        <v>125</v>
      </c>
      <c r="I2289">
        <v>32</v>
      </c>
      <c r="J2289" t="s">
        <v>170</v>
      </c>
      <c r="K2289" t="s">
        <v>125</v>
      </c>
      <c r="L2289" t="s">
        <v>5245</v>
      </c>
      <c r="U2289" t="s">
        <v>149</v>
      </c>
      <c r="W2289" t="s">
        <v>155</v>
      </c>
      <c r="X2289">
        <v>1</v>
      </c>
      <c r="AC2289" t="s">
        <v>136</v>
      </c>
      <c r="AE2289" t="s">
        <v>137</v>
      </c>
    </row>
    <row r="2290" spans="1:31" hidden="1" x14ac:dyDescent="0.2">
      <c r="A2290" t="s">
        <v>119</v>
      </c>
      <c r="B2290" t="s">
        <v>120</v>
      </c>
      <c r="C2290" t="s">
        <v>5246</v>
      </c>
      <c r="D2290">
        <v>12</v>
      </c>
      <c r="E2290" t="s">
        <v>5247</v>
      </c>
      <c r="F2290" t="s">
        <v>146</v>
      </c>
      <c r="G2290" t="s">
        <v>124</v>
      </c>
      <c r="H2290" t="s">
        <v>125</v>
      </c>
      <c r="I2290">
        <v>3</v>
      </c>
      <c r="J2290" t="s">
        <v>170</v>
      </c>
      <c r="K2290" t="s">
        <v>125</v>
      </c>
      <c r="L2290" t="s">
        <v>5248</v>
      </c>
      <c r="U2290" t="s">
        <v>309</v>
      </c>
      <c r="W2290" t="s">
        <v>155</v>
      </c>
      <c r="X2290">
        <v>3</v>
      </c>
      <c r="AC2290" t="s">
        <v>209</v>
      </c>
      <c r="AE2290" t="s">
        <v>137</v>
      </c>
    </row>
    <row r="2291" spans="1:31" hidden="1" x14ac:dyDescent="0.2">
      <c r="A2291" t="s">
        <v>119</v>
      </c>
      <c r="B2291" t="s">
        <v>120</v>
      </c>
      <c r="C2291" t="s">
        <v>5246</v>
      </c>
      <c r="D2291">
        <v>17</v>
      </c>
      <c r="E2291" t="s">
        <v>1237</v>
      </c>
      <c r="F2291" t="s">
        <v>123</v>
      </c>
      <c r="G2291" t="s">
        <v>124</v>
      </c>
      <c r="H2291" t="s">
        <v>125</v>
      </c>
      <c r="I2291">
        <v>15</v>
      </c>
      <c r="J2291" t="s">
        <v>170</v>
      </c>
      <c r="K2291" t="s">
        <v>125</v>
      </c>
      <c r="L2291" t="s">
        <v>5249</v>
      </c>
      <c r="U2291" t="s">
        <v>149</v>
      </c>
      <c r="W2291" t="s">
        <v>155</v>
      </c>
      <c r="X2291">
        <v>3</v>
      </c>
      <c r="AC2291" t="s">
        <v>209</v>
      </c>
      <c r="AE2291" t="s">
        <v>137</v>
      </c>
    </row>
    <row r="2292" spans="1:31" x14ac:dyDescent="0.2">
      <c r="A2292" t="s">
        <v>119</v>
      </c>
      <c r="B2292" t="s">
        <v>120</v>
      </c>
      <c r="C2292" t="s">
        <v>5250</v>
      </c>
      <c r="D2292">
        <v>4</v>
      </c>
      <c r="E2292" t="s">
        <v>1625</v>
      </c>
      <c r="F2292" t="s">
        <v>261</v>
      </c>
      <c r="G2292" t="s">
        <v>124</v>
      </c>
      <c r="H2292" t="s">
        <v>125</v>
      </c>
      <c r="I2292">
        <v>0</v>
      </c>
      <c r="J2292" t="s">
        <v>126</v>
      </c>
      <c r="K2292" t="s">
        <v>125</v>
      </c>
      <c r="L2292" t="s">
        <v>5251</v>
      </c>
      <c r="U2292" t="s">
        <v>149</v>
      </c>
      <c r="W2292" t="s">
        <v>155</v>
      </c>
      <c r="X2292">
        <v>3</v>
      </c>
      <c r="AC2292" t="s">
        <v>136</v>
      </c>
      <c r="AE2292" t="s">
        <v>137</v>
      </c>
    </row>
    <row r="2293" spans="1:31" x14ac:dyDescent="0.2">
      <c r="A2293" t="s">
        <v>119</v>
      </c>
      <c r="B2293" t="s">
        <v>120</v>
      </c>
      <c r="C2293" t="s">
        <v>5252</v>
      </c>
      <c r="D2293">
        <v>7</v>
      </c>
      <c r="E2293" t="s">
        <v>2512</v>
      </c>
      <c r="F2293" t="s">
        <v>1399</v>
      </c>
      <c r="G2293" t="s">
        <v>124</v>
      </c>
      <c r="H2293" t="s">
        <v>125</v>
      </c>
      <c r="I2293">
        <v>0</v>
      </c>
      <c r="J2293" t="s">
        <v>126</v>
      </c>
      <c r="K2293" t="s">
        <v>125</v>
      </c>
      <c r="L2293" t="s">
        <v>5253</v>
      </c>
      <c r="U2293" t="s">
        <v>149</v>
      </c>
      <c r="W2293" t="s">
        <v>135</v>
      </c>
      <c r="X2293">
        <v>3</v>
      </c>
      <c r="AC2293" t="s">
        <v>136</v>
      </c>
      <c r="AE2293" t="s">
        <v>137</v>
      </c>
    </row>
    <row r="2294" spans="1:31" hidden="1" x14ac:dyDescent="0.2">
      <c r="A2294" t="s">
        <v>119</v>
      </c>
      <c r="B2294" t="s">
        <v>120</v>
      </c>
      <c r="C2294" t="s">
        <v>5252</v>
      </c>
      <c r="D2294">
        <v>10</v>
      </c>
      <c r="E2294" t="s">
        <v>512</v>
      </c>
      <c r="F2294" t="s">
        <v>146</v>
      </c>
      <c r="G2294" t="s">
        <v>124</v>
      </c>
      <c r="H2294" t="s">
        <v>125</v>
      </c>
      <c r="I2294">
        <v>7</v>
      </c>
      <c r="J2294" t="s">
        <v>264</v>
      </c>
      <c r="K2294" t="s">
        <v>125</v>
      </c>
      <c r="L2294" t="s">
        <v>5254</v>
      </c>
      <c r="U2294" t="s">
        <v>149</v>
      </c>
      <c r="W2294" t="s">
        <v>155</v>
      </c>
      <c r="X2294">
        <v>3</v>
      </c>
      <c r="AC2294" t="s">
        <v>209</v>
      </c>
      <c r="AE2294" t="s">
        <v>137</v>
      </c>
    </row>
    <row r="2295" spans="1:31" x14ac:dyDescent="0.2">
      <c r="A2295" t="s">
        <v>119</v>
      </c>
      <c r="B2295" t="s">
        <v>120</v>
      </c>
      <c r="C2295" t="s">
        <v>5252</v>
      </c>
      <c r="D2295">
        <v>15</v>
      </c>
      <c r="E2295" t="s">
        <v>1764</v>
      </c>
      <c r="F2295" t="s">
        <v>261</v>
      </c>
      <c r="G2295" t="s">
        <v>124</v>
      </c>
      <c r="H2295" t="s">
        <v>125</v>
      </c>
      <c r="I2295">
        <v>10</v>
      </c>
      <c r="J2295" t="s">
        <v>161</v>
      </c>
      <c r="K2295" t="s">
        <v>125</v>
      </c>
      <c r="L2295" t="s">
        <v>5255</v>
      </c>
      <c r="U2295" t="s">
        <v>149</v>
      </c>
      <c r="W2295" t="s">
        <v>135</v>
      </c>
      <c r="X2295">
        <v>3</v>
      </c>
      <c r="AC2295" t="s">
        <v>136</v>
      </c>
      <c r="AE2295" t="s">
        <v>137</v>
      </c>
    </row>
    <row r="2296" spans="1:31" x14ac:dyDescent="0.2">
      <c r="A2296" t="s">
        <v>119</v>
      </c>
      <c r="B2296" t="s">
        <v>120</v>
      </c>
      <c r="C2296" t="s">
        <v>5256</v>
      </c>
      <c r="D2296">
        <v>3</v>
      </c>
      <c r="E2296" t="s">
        <v>3947</v>
      </c>
      <c r="F2296" t="s">
        <v>198</v>
      </c>
      <c r="G2296" t="s">
        <v>124</v>
      </c>
      <c r="H2296" t="s">
        <v>125</v>
      </c>
      <c r="I2296">
        <v>0</v>
      </c>
      <c r="J2296" t="s">
        <v>126</v>
      </c>
      <c r="K2296" t="s">
        <v>125</v>
      </c>
      <c r="L2296" t="s">
        <v>5257</v>
      </c>
      <c r="U2296" t="s">
        <v>149</v>
      </c>
      <c r="W2296" t="s">
        <v>155</v>
      </c>
      <c r="X2296">
        <v>1</v>
      </c>
      <c r="AC2296" t="s">
        <v>136</v>
      </c>
      <c r="AE2296" t="s">
        <v>137</v>
      </c>
    </row>
    <row r="2297" spans="1:31" hidden="1" x14ac:dyDescent="0.2">
      <c r="A2297" t="s">
        <v>119</v>
      </c>
      <c r="B2297" t="s">
        <v>120</v>
      </c>
      <c r="C2297" t="s">
        <v>5258</v>
      </c>
      <c r="D2297">
        <v>2</v>
      </c>
      <c r="E2297" t="s">
        <v>4938</v>
      </c>
      <c r="F2297" t="s">
        <v>283</v>
      </c>
      <c r="G2297" t="s">
        <v>124</v>
      </c>
      <c r="H2297" t="s">
        <v>125</v>
      </c>
      <c r="I2297">
        <v>0</v>
      </c>
      <c r="J2297" t="s">
        <v>126</v>
      </c>
      <c r="K2297" t="s">
        <v>125</v>
      </c>
      <c r="L2297" t="s">
        <v>5259</v>
      </c>
      <c r="U2297" t="s">
        <v>149</v>
      </c>
      <c r="W2297" t="s">
        <v>155</v>
      </c>
      <c r="X2297">
        <v>3</v>
      </c>
      <c r="AC2297" t="s">
        <v>209</v>
      </c>
      <c r="AE2297" t="s">
        <v>137</v>
      </c>
    </row>
    <row r="2298" spans="1:31" x14ac:dyDescent="0.2">
      <c r="A2298" t="s">
        <v>119</v>
      </c>
      <c r="B2298" t="s">
        <v>120</v>
      </c>
      <c r="C2298" t="s">
        <v>5260</v>
      </c>
      <c r="D2298">
        <v>3</v>
      </c>
      <c r="E2298" t="s">
        <v>145</v>
      </c>
      <c r="F2298" t="s">
        <v>146</v>
      </c>
      <c r="G2298" t="s">
        <v>124</v>
      </c>
      <c r="H2298" t="s">
        <v>125</v>
      </c>
      <c r="I2298">
        <v>1</v>
      </c>
      <c r="J2298" t="s">
        <v>170</v>
      </c>
      <c r="K2298" t="s">
        <v>125</v>
      </c>
      <c r="L2298" t="s">
        <v>5261</v>
      </c>
      <c r="U2298" t="s">
        <v>149</v>
      </c>
      <c r="W2298" t="s">
        <v>135</v>
      </c>
      <c r="X2298">
        <v>3</v>
      </c>
      <c r="AC2298" t="s">
        <v>136</v>
      </c>
      <c r="AE2298" t="s">
        <v>137</v>
      </c>
    </row>
    <row r="2299" spans="1:31" x14ac:dyDescent="0.2">
      <c r="A2299" t="s">
        <v>119</v>
      </c>
      <c r="B2299" t="s">
        <v>120</v>
      </c>
      <c r="C2299" t="s">
        <v>5262</v>
      </c>
      <c r="D2299">
        <v>2</v>
      </c>
      <c r="E2299" t="s">
        <v>5263</v>
      </c>
      <c r="F2299" t="s">
        <v>5264</v>
      </c>
      <c r="G2299" t="s">
        <v>124</v>
      </c>
      <c r="H2299" t="s">
        <v>125</v>
      </c>
      <c r="I2299">
        <v>0</v>
      </c>
      <c r="J2299" t="s">
        <v>126</v>
      </c>
      <c r="K2299" t="s">
        <v>125</v>
      </c>
      <c r="L2299" t="s">
        <v>5265</v>
      </c>
      <c r="U2299" t="s">
        <v>149</v>
      </c>
      <c r="W2299" t="s">
        <v>155</v>
      </c>
      <c r="X2299">
        <v>3</v>
      </c>
      <c r="AC2299" t="s">
        <v>136</v>
      </c>
      <c r="AE2299" t="s">
        <v>137</v>
      </c>
    </row>
    <row r="2300" spans="1:31" hidden="1" x14ac:dyDescent="0.2">
      <c r="A2300" t="s">
        <v>119</v>
      </c>
      <c r="B2300" t="s">
        <v>120</v>
      </c>
      <c r="C2300" t="s">
        <v>5266</v>
      </c>
      <c r="D2300">
        <v>3</v>
      </c>
      <c r="E2300" t="s">
        <v>4352</v>
      </c>
      <c r="F2300" t="s">
        <v>773</v>
      </c>
      <c r="G2300" t="s">
        <v>124</v>
      </c>
      <c r="H2300" t="s">
        <v>125</v>
      </c>
      <c r="I2300">
        <v>0</v>
      </c>
      <c r="J2300" t="s">
        <v>126</v>
      </c>
      <c r="K2300" t="s">
        <v>125</v>
      </c>
      <c r="L2300" t="s">
        <v>5267</v>
      </c>
      <c r="U2300" t="s">
        <v>149</v>
      </c>
      <c r="W2300" t="s">
        <v>135</v>
      </c>
      <c r="X2300">
        <v>3</v>
      </c>
      <c r="AC2300" t="s">
        <v>209</v>
      </c>
      <c r="AE2300" t="s">
        <v>137</v>
      </c>
    </row>
    <row r="2301" spans="1:31" x14ac:dyDescent="0.2">
      <c r="A2301" t="s">
        <v>119</v>
      </c>
      <c r="B2301" t="s">
        <v>120</v>
      </c>
      <c r="C2301" t="s">
        <v>5268</v>
      </c>
      <c r="D2301">
        <v>2</v>
      </c>
      <c r="E2301" t="s">
        <v>3588</v>
      </c>
      <c r="F2301" t="s">
        <v>3181</v>
      </c>
      <c r="G2301" t="s">
        <v>124</v>
      </c>
      <c r="H2301" t="s">
        <v>125</v>
      </c>
      <c r="I2301">
        <v>0</v>
      </c>
      <c r="J2301" t="s">
        <v>126</v>
      </c>
      <c r="K2301" t="s">
        <v>125</v>
      </c>
      <c r="L2301" t="s">
        <v>5269</v>
      </c>
      <c r="U2301" t="s">
        <v>149</v>
      </c>
      <c r="W2301" t="s">
        <v>135</v>
      </c>
      <c r="X2301">
        <v>3</v>
      </c>
      <c r="AC2301" t="s">
        <v>136</v>
      </c>
      <c r="AE2301" t="s">
        <v>137</v>
      </c>
    </row>
    <row r="2302" spans="1:31" x14ac:dyDescent="0.2">
      <c r="A2302" t="s">
        <v>119</v>
      </c>
      <c r="B2302" t="s">
        <v>120</v>
      </c>
      <c r="C2302" t="s">
        <v>5270</v>
      </c>
      <c r="D2302">
        <v>2</v>
      </c>
      <c r="E2302" t="s">
        <v>145</v>
      </c>
      <c r="F2302" t="s">
        <v>146</v>
      </c>
      <c r="G2302" t="s">
        <v>124</v>
      </c>
      <c r="H2302" t="s">
        <v>125</v>
      </c>
      <c r="I2302">
        <v>0</v>
      </c>
      <c r="J2302" t="s">
        <v>126</v>
      </c>
      <c r="K2302" t="s">
        <v>125</v>
      </c>
      <c r="L2302" t="s">
        <v>5271</v>
      </c>
      <c r="U2302" t="s">
        <v>149</v>
      </c>
      <c r="W2302" t="s">
        <v>135</v>
      </c>
      <c r="X2302">
        <v>3</v>
      </c>
      <c r="AC2302" t="s">
        <v>136</v>
      </c>
      <c r="AE2302" t="s">
        <v>137</v>
      </c>
    </row>
    <row r="2303" spans="1:31" x14ac:dyDescent="0.2">
      <c r="A2303" t="s">
        <v>119</v>
      </c>
      <c r="B2303" t="s">
        <v>120</v>
      </c>
      <c r="C2303" t="s">
        <v>5272</v>
      </c>
      <c r="D2303">
        <v>1</v>
      </c>
      <c r="E2303" t="s">
        <v>5273</v>
      </c>
      <c r="F2303" t="s">
        <v>1149</v>
      </c>
      <c r="G2303" t="s">
        <v>124</v>
      </c>
      <c r="H2303" t="s">
        <v>125</v>
      </c>
      <c r="I2303">
        <v>0</v>
      </c>
      <c r="J2303" t="s">
        <v>126</v>
      </c>
      <c r="K2303" t="s">
        <v>125</v>
      </c>
      <c r="L2303" t="s">
        <v>5274</v>
      </c>
      <c r="U2303" t="s">
        <v>134</v>
      </c>
      <c r="W2303" t="s">
        <v>135</v>
      </c>
      <c r="X2303">
        <v>3</v>
      </c>
      <c r="AC2303" t="s">
        <v>136</v>
      </c>
      <c r="AE2303" t="s">
        <v>137</v>
      </c>
    </row>
    <row r="2304" spans="1:31" hidden="1" x14ac:dyDescent="0.2">
      <c r="A2304" t="s">
        <v>119</v>
      </c>
      <c r="B2304" t="s">
        <v>120</v>
      </c>
      <c r="C2304" t="s">
        <v>5272</v>
      </c>
      <c r="D2304">
        <v>2</v>
      </c>
      <c r="E2304" t="s">
        <v>146</v>
      </c>
      <c r="F2304" t="s">
        <v>146</v>
      </c>
      <c r="G2304" t="s">
        <v>124</v>
      </c>
      <c r="H2304" t="s">
        <v>125</v>
      </c>
      <c r="I2304">
        <v>1</v>
      </c>
      <c r="J2304" t="s">
        <v>264</v>
      </c>
      <c r="K2304" t="s">
        <v>125</v>
      </c>
      <c r="L2304" t="s">
        <v>5275</v>
      </c>
      <c r="AE2304" t="s">
        <v>128</v>
      </c>
    </row>
    <row r="2305" spans="1:78" x14ac:dyDescent="0.2">
      <c r="A2305" t="s">
        <v>119</v>
      </c>
      <c r="B2305" t="s">
        <v>120</v>
      </c>
      <c r="C2305" t="s">
        <v>5276</v>
      </c>
      <c r="D2305">
        <v>1</v>
      </c>
      <c r="E2305" t="s">
        <v>3086</v>
      </c>
      <c r="F2305" t="s">
        <v>146</v>
      </c>
      <c r="G2305" t="s">
        <v>124</v>
      </c>
      <c r="H2305" t="s">
        <v>125</v>
      </c>
      <c r="I2305">
        <v>0</v>
      </c>
      <c r="J2305" t="s">
        <v>126</v>
      </c>
      <c r="K2305" t="s">
        <v>125</v>
      </c>
      <c r="L2305" t="s">
        <v>5277</v>
      </c>
      <c r="U2305" t="s">
        <v>134</v>
      </c>
      <c r="W2305" t="s">
        <v>135</v>
      </c>
      <c r="X2305">
        <v>3</v>
      </c>
      <c r="AC2305" t="s">
        <v>136</v>
      </c>
      <c r="AE2305" t="s">
        <v>137</v>
      </c>
    </row>
    <row r="2306" spans="1:78" x14ac:dyDescent="0.2">
      <c r="A2306" t="s">
        <v>119</v>
      </c>
      <c r="B2306" t="s">
        <v>120</v>
      </c>
      <c r="C2306" t="s">
        <v>5278</v>
      </c>
      <c r="D2306">
        <v>3</v>
      </c>
      <c r="E2306" t="s">
        <v>145</v>
      </c>
      <c r="F2306" t="s">
        <v>146</v>
      </c>
      <c r="G2306" t="s">
        <v>124</v>
      </c>
      <c r="H2306" t="s">
        <v>125</v>
      </c>
      <c r="I2306">
        <v>14</v>
      </c>
      <c r="J2306" t="s">
        <v>268</v>
      </c>
      <c r="K2306" t="s">
        <v>125</v>
      </c>
      <c r="L2306" t="s">
        <v>5279</v>
      </c>
      <c r="U2306" t="s">
        <v>149</v>
      </c>
      <c r="W2306" t="s">
        <v>135</v>
      </c>
      <c r="X2306">
        <v>3</v>
      </c>
      <c r="AC2306" t="s">
        <v>136</v>
      </c>
      <c r="AE2306" t="s">
        <v>137</v>
      </c>
    </row>
    <row r="2307" spans="1:78" x14ac:dyDescent="0.2">
      <c r="A2307" t="s">
        <v>119</v>
      </c>
      <c r="B2307" t="s">
        <v>120</v>
      </c>
      <c r="C2307" t="s">
        <v>5278</v>
      </c>
      <c r="D2307">
        <v>6</v>
      </c>
      <c r="E2307" t="s">
        <v>5280</v>
      </c>
      <c r="F2307" t="s">
        <v>311</v>
      </c>
      <c r="G2307" t="s">
        <v>124</v>
      </c>
      <c r="H2307" t="s">
        <v>125</v>
      </c>
      <c r="I2307">
        <v>4</v>
      </c>
      <c r="J2307" t="s">
        <v>170</v>
      </c>
      <c r="K2307" t="s">
        <v>125</v>
      </c>
      <c r="L2307" t="s">
        <v>5281</v>
      </c>
      <c r="U2307" t="s">
        <v>209</v>
      </c>
      <c r="W2307" t="s">
        <v>155</v>
      </c>
      <c r="X2307">
        <v>1</v>
      </c>
      <c r="AC2307" t="s">
        <v>136</v>
      </c>
      <c r="AE2307" t="s">
        <v>137</v>
      </c>
    </row>
    <row r="2308" spans="1:78" x14ac:dyDescent="0.2">
      <c r="A2308" t="s">
        <v>119</v>
      </c>
      <c r="B2308" t="s">
        <v>120</v>
      </c>
      <c r="C2308" t="s">
        <v>5278</v>
      </c>
      <c r="D2308">
        <v>8</v>
      </c>
      <c r="E2308" t="s">
        <v>145</v>
      </c>
      <c r="F2308" t="s">
        <v>146</v>
      </c>
      <c r="G2308" t="s">
        <v>124</v>
      </c>
      <c r="H2308" t="s">
        <v>125</v>
      </c>
      <c r="I2308">
        <v>11</v>
      </c>
      <c r="J2308" t="s">
        <v>210</v>
      </c>
      <c r="K2308" t="s">
        <v>125</v>
      </c>
      <c r="L2308" t="s">
        <v>5282</v>
      </c>
      <c r="U2308" t="s">
        <v>149</v>
      </c>
      <c r="W2308" t="s">
        <v>135</v>
      </c>
      <c r="X2308">
        <v>3</v>
      </c>
      <c r="AC2308" t="s">
        <v>136</v>
      </c>
      <c r="AE2308" t="s">
        <v>137</v>
      </c>
    </row>
    <row r="2309" spans="1:78" x14ac:dyDescent="0.2">
      <c r="A2309" t="s">
        <v>119</v>
      </c>
      <c r="B2309" t="s">
        <v>120</v>
      </c>
      <c r="C2309" t="s">
        <v>5278</v>
      </c>
      <c r="D2309">
        <v>16</v>
      </c>
      <c r="E2309" t="s">
        <v>5283</v>
      </c>
      <c r="F2309" t="s">
        <v>186</v>
      </c>
      <c r="G2309" t="s">
        <v>124</v>
      </c>
      <c r="H2309" t="s">
        <v>125</v>
      </c>
      <c r="I2309">
        <v>14</v>
      </c>
      <c r="J2309" t="s">
        <v>170</v>
      </c>
      <c r="K2309" t="s">
        <v>125</v>
      </c>
      <c r="L2309" t="s">
        <v>5284</v>
      </c>
      <c r="U2309" t="s">
        <v>149</v>
      </c>
      <c r="W2309" t="s">
        <v>155</v>
      </c>
      <c r="X2309">
        <v>1</v>
      </c>
      <c r="AC2309" t="s">
        <v>136</v>
      </c>
      <c r="AE2309" t="s">
        <v>137</v>
      </c>
    </row>
    <row r="2310" spans="1:78" hidden="1" x14ac:dyDescent="0.2">
      <c r="A2310" t="s">
        <v>119</v>
      </c>
      <c r="B2310" t="s">
        <v>120</v>
      </c>
      <c r="C2310" t="s">
        <v>5285</v>
      </c>
      <c r="D2310">
        <v>6</v>
      </c>
      <c r="E2310" t="s">
        <v>4805</v>
      </c>
      <c r="F2310" t="s">
        <v>1399</v>
      </c>
      <c r="G2310" t="s">
        <v>124</v>
      </c>
      <c r="H2310" t="s">
        <v>125</v>
      </c>
      <c r="I2310">
        <v>3</v>
      </c>
      <c r="J2310" t="s">
        <v>170</v>
      </c>
      <c r="K2310" t="s">
        <v>125</v>
      </c>
      <c r="L2310" t="s">
        <v>5286</v>
      </c>
      <c r="T2310" t="s">
        <v>142</v>
      </c>
      <c r="W2310" t="s">
        <v>155</v>
      </c>
      <c r="AG2310">
        <v>5</v>
      </c>
      <c r="AH2310" t="s">
        <v>4874</v>
      </c>
      <c r="AI2310" t="s">
        <v>1001</v>
      </c>
      <c r="AJ2310" t="s">
        <v>131</v>
      </c>
      <c r="AK2310" t="s">
        <v>125</v>
      </c>
      <c r="AL2310">
        <v>6</v>
      </c>
      <c r="AM2310" t="s">
        <v>132</v>
      </c>
      <c r="AN2310" t="s">
        <v>125</v>
      </c>
      <c r="AO2310" t="s">
        <v>5287</v>
      </c>
      <c r="BP2310" t="s">
        <v>149</v>
      </c>
      <c r="BR2310" t="s">
        <v>155</v>
      </c>
      <c r="BS2310">
        <v>3</v>
      </c>
      <c r="BX2310" t="s">
        <v>209</v>
      </c>
      <c r="BZ2310" t="s">
        <v>137</v>
      </c>
    </row>
    <row r="2311" spans="1:78" hidden="1" x14ac:dyDescent="0.2">
      <c r="A2311" t="s">
        <v>119</v>
      </c>
      <c r="B2311" t="s">
        <v>120</v>
      </c>
      <c r="C2311" t="s">
        <v>5285</v>
      </c>
      <c r="D2311">
        <v>7</v>
      </c>
      <c r="E2311" t="s">
        <v>706</v>
      </c>
      <c r="F2311" t="s">
        <v>205</v>
      </c>
      <c r="G2311" t="s">
        <v>124</v>
      </c>
      <c r="H2311" t="s">
        <v>125</v>
      </c>
      <c r="I2311">
        <v>0</v>
      </c>
      <c r="J2311" t="s">
        <v>126</v>
      </c>
      <c r="K2311" t="s">
        <v>125</v>
      </c>
      <c r="L2311" t="s">
        <v>5288</v>
      </c>
      <c r="U2311" t="s">
        <v>149</v>
      </c>
      <c r="W2311" t="s">
        <v>155</v>
      </c>
      <c r="X2311">
        <v>3</v>
      </c>
      <c r="AC2311" t="s">
        <v>209</v>
      </c>
      <c r="AE2311" t="s">
        <v>137</v>
      </c>
    </row>
    <row r="2312" spans="1:78" hidden="1" x14ac:dyDescent="0.2">
      <c r="A2312" t="s">
        <v>119</v>
      </c>
      <c r="B2312" t="s">
        <v>120</v>
      </c>
      <c r="C2312" t="s">
        <v>5289</v>
      </c>
      <c r="D2312">
        <v>8</v>
      </c>
      <c r="E2312" t="s">
        <v>706</v>
      </c>
      <c r="F2312" t="s">
        <v>205</v>
      </c>
      <c r="G2312" t="s">
        <v>124</v>
      </c>
      <c r="H2312" t="s">
        <v>125</v>
      </c>
      <c r="I2312">
        <v>0</v>
      </c>
      <c r="J2312" t="s">
        <v>126</v>
      </c>
      <c r="K2312" t="s">
        <v>125</v>
      </c>
      <c r="L2312" t="s">
        <v>5290</v>
      </c>
      <c r="U2312" t="s">
        <v>149</v>
      </c>
      <c r="W2312" t="s">
        <v>155</v>
      </c>
      <c r="X2312">
        <v>3</v>
      </c>
      <c r="AC2312" t="s">
        <v>209</v>
      </c>
      <c r="AE2312" t="s">
        <v>137</v>
      </c>
    </row>
    <row r="2313" spans="1:78" hidden="1" x14ac:dyDescent="0.2">
      <c r="A2313" t="s">
        <v>119</v>
      </c>
      <c r="B2313" t="s">
        <v>120</v>
      </c>
      <c r="C2313" t="s">
        <v>5291</v>
      </c>
      <c r="D2313">
        <v>1</v>
      </c>
      <c r="E2313" t="s">
        <v>706</v>
      </c>
      <c r="F2313" t="s">
        <v>205</v>
      </c>
      <c r="G2313" t="s">
        <v>124</v>
      </c>
      <c r="H2313" t="s">
        <v>125</v>
      </c>
      <c r="I2313">
        <v>0</v>
      </c>
      <c r="J2313" t="s">
        <v>126</v>
      </c>
      <c r="K2313" t="s">
        <v>125</v>
      </c>
      <c r="L2313" t="s">
        <v>5292</v>
      </c>
      <c r="U2313" t="s">
        <v>149</v>
      </c>
      <c r="W2313" t="s">
        <v>155</v>
      </c>
      <c r="X2313">
        <v>3</v>
      </c>
      <c r="AC2313" t="s">
        <v>209</v>
      </c>
      <c r="AE2313" t="s">
        <v>137</v>
      </c>
    </row>
    <row r="2314" spans="1:78" hidden="1" x14ac:dyDescent="0.2">
      <c r="A2314" t="s">
        <v>119</v>
      </c>
      <c r="B2314" t="s">
        <v>120</v>
      </c>
      <c r="C2314" t="s">
        <v>5293</v>
      </c>
      <c r="D2314">
        <v>2</v>
      </c>
      <c r="E2314" t="s">
        <v>706</v>
      </c>
      <c r="F2314" t="s">
        <v>205</v>
      </c>
      <c r="G2314" t="s">
        <v>124</v>
      </c>
      <c r="H2314" t="s">
        <v>125</v>
      </c>
      <c r="I2314">
        <v>0</v>
      </c>
      <c r="J2314" t="s">
        <v>126</v>
      </c>
      <c r="K2314" t="s">
        <v>125</v>
      </c>
      <c r="L2314" t="s">
        <v>5294</v>
      </c>
      <c r="U2314" t="s">
        <v>149</v>
      </c>
      <c r="W2314" t="s">
        <v>155</v>
      </c>
      <c r="X2314">
        <v>3</v>
      </c>
      <c r="AC2314" t="s">
        <v>209</v>
      </c>
      <c r="AE2314" t="s">
        <v>137</v>
      </c>
    </row>
    <row r="2315" spans="1:78" x14ac:dyDescent="0.2">
      <c r="A2315" t="s">
        <v>119</v>
      </c>
      <c r="B2315" t="s">
        <v>120</v>
      </c>
      <c r="C2315" t="s">
        <v>5295</v>
      </c>
      <c r="D2315">
        <v>7</v>
      </c>
      <c r="E2315" t="s">
        <v>145</v>
      </c>
      <c r="F2315" t="s">
        <v>146</v>
      </c>
      <c r="G2315" t="s">
        <v>124</v>
      </c>
      <c r="H2315" t="s">
        <v>125</v>
      </c>
      <c r="I2315">
        <v>4</v>
      </c>
      <c r="J2315" t="s">
        <v>170</v>
      </c>
      <c r="K2315" t="s">
        <v>125</v>
      </c>
      <c r="L2315" t="s">
        <v>5296</v>
      </c>
      <c r="U2315" t="s">
        <v>149</v>
      </c>
      <c r="W2315" t="s">
        <v>135</v>
      </c>
      <c r="X2315">
        <v>3</v>
      </c>
      <c r="AC2315" t="s">
        <v>136</v>
      </c>
      <c r="AE2315" t="s">
        <v>137</v>
      </c>
    </row>
    <row r="2316" spans="1:78" x14ac:dyDescent="0.2">
      <c r="A2316" t="s">
        <v>119</v>
      </c>
      <c r="B2316" t="s">
        <v>120</v>
      </c>
      <c r="C2316" t="s">
        <v>5297</v>
      </c>
      <c r="D2316">
        <v>2</v>
      </c>
      <c r="E2316" t="s">
        <v>1148</v>
      </c>
      <c r="F2316" t="s">
        <v>1149</v>
      </c>
      <c r="G2316" t="s">
        <v>124</v>
      </c>
      <c r="H2316" t="s">
        <v>125</v>
      </c>
      <c r="I2316">
        <v>0</v>
      </c>
      <c r="J2316" t="s">
        <v>126</v>
      </c>
      <c r="K2316" t="s">
        <v>125</v>
      </c>
      <c r="L2316" t="s">
        <v>5298</v>
      </c>
      <c r="U2316" t="s">
        <v>149</v>
      </c>
      <c r="W2316" t="s">
        <v>135</v>
      </c>
      <c r="X2316">
        <v>3</v>
      </c>
      <c r="AC2316" t="s">
        <v>136</v>
      </c>
      <c r="AE2316" t="s">
        <v>137</v>
      </c>
    </row>
    <row r="2317" spans="1:78" x14ac:dyDescent="0.2">
      <c r="A2317" t="s">
        <v>119</v>
      </c>
      <c r="B2317" t="s">
        <v>120</v>
      </c>
      <c r="C2317" t="s">
        <v>5299</v>
      </c>
      <c r="D2317">
        <v>2</v>
      </c>
      <c r="E2317" t="s">
        <v>145</v>
      </c>
      <c r="F2317" t="s">
        <v>146</v>
      </c>
      <c r="G2317" t="s">
        <v>124</v>
      </c>
      <c r="H2317" t="s">
        <v>125</v>
      </c>
      <c r="I2317">
        <v>0</v>
      </c>
      <c r="J2317" t="s">
        <v>126</v>
      </c>
      <c r="K2317" t="s">
        <v>125</v>
      </c>
      <c r="L2317" t="s">
        <v>5300</v>
      </c>
      <c r="U2317" t="s">
        <v>149</v>
      </c>
      <c r="W2317" t="s">
        <v>135</v>
      </c>
      <c r="X2317">
        <v>3</v>
      </c>
      <c r="AC2317" t="s">
        <v>136</v>
      </c>
      <c r="AE2317" t="s">
        <v>137</v>
      </c>
    </row>
    <row r="2318" spans="1:78" x14ac:dyDescent="0.2">
      <c r="A2318" t="s">
        <v>119</v>
      </c>
      <c r="B2318" t="s">
        <v>120</v>
      </c>
      <c r="C2318" t="s">
        <v>5299</v>
      </c>
      <c r="D2318">
        <v>8</v>
      </c>
      <c r="E2318" t="s">
        <v>145</v>
      </c>
      <c r="F2318" t="s">
        <v>146</v>
      </c>
      <c r="G2318" t="s">
        <v>124</v>
      </c>
      <c r="H2318" t="s">
        <v>125</v>
      </c>
      <c r="I2318">
        <v>2</v>
      </c>
      <c r="J2318" t="s">
        <v>161</v>
      </c>
      <c r="K2318" t="s">
        <v>125</v>
      </c>
      <c r="L2318" t="s">
        <v>5301</v>
      </c>
      <c r="U2318" t="s">
        <v>149</v>
      </c>
      <c r="W2318" t="s">
        <v>135</v>
      </c>
      <c r="X2318">
        <v>3</v>
      </c>
      <c r="AC2318" t="s">
        <v>136</v>
      </c>
      <c r="AE2318" t="s">
        <v>137</v>
      </c>
    </row>
    <row r="2319" spans="1:78" x14ac:dyDescent="0.2">
      <c r="A2319" t="s">
        <v>119</v>
      </c>
      <c r="B2319" t="s">
        <v>120</v>
      </c>
      <c r="C2319" t="s">
        <v>5299</v>
      </c>
      <c r="D2319">
        <v>12</v>
      </c>
      <c r="E2319" t="s">
        <v>5302</v>
      </c>
      <c r="F2319" t="s">
        <v>5303</v>
      </c>
      <c r="G2319" t="s">
        <v>124</v>
      </c>
      <c r="H2319" t="s">
        <v>125</v>
      </c>
      <c r="I2319">
        <v>10</v>
      </c>
      <c r="J2319" t="s">
        <v>170</v>
      </c>
      <c r="K2319" t="s">
        <v>125</v>
      </c>
      <c r="L2319" t="s">
        <v>5304</v>
      </c>
      <c r="U2319" t="s">
        <v>149</v>
      </c>
      <c r="W2319" t="s">
        <v>135</v>
      </c>
      <c r="X2319">
        <v>3</v>
      </c>
      <c r="AC2319" t="s">
        <v>136</v>
      </c>
      <c r="AE2319" t="s">
        <v>137</v>
      </c>
    </row>
    <row r="2320" spans="1:78" x14ac:dyDescent="0.2">
      <c r="A2320" t="s">
        <v>119</v>
      </c>
      <c r="B2320" t="s">
        <v>120</v>
      </c>
      <c r="C2320" t="s">
        <v>5305</v>
      </c>
      <c r="D2320">
        <v>3</v>
      </c>
      <c r="E2320" t="s">
        <v>145</v>
      </c>
      <c r="F2320" t="s">
        <v>146</v>
      </c>
      <c r="G2320" t="s">
        <v>124</v>
      </c>
      <c r="H2320" t="s">
        <v>125</v>
      </c>
      <c r="I2320">
        <v>0</v>
      </c>
      <c r="J2320" t="s">
        <v>126</v>
      </c>
      <c r="K2320" t="s">
        <v>125</v>
      </c>
      <c r="L2320" t="s">
        <v>5306</v>
      </c>
      <c r="U2320" t="s">
        <v>149</v>
      </c>
      <c r="W2320" t="s">
        <v>135</v>
      </c>
      <c r="X2320">
        <v>3</v>
      </c>
      <c r="AC2320" t="s">
        <v>136</v>
      </c>
      <c r="AE2320" t="s">
        <v>137</v>
      </c>
    </row>
    <row r="2321" spans="1:78" hidden="1" x14ac:dyDescent="0.2">
      <c r="A2321" t="s">
        <v>119</v>
      </c>
      <c r="B2321" t="s">
        <v>120</v>
      </c>
      <c r="C2321" t="s">
        <v>5305</v>
      </c>
      <c r="D2321">
        <v>10</v>
      </c>
      <c r="E2321" t="s">
        <v>261</v>
      </c>
      <c r="F2321" t="s">
        <v>261</v>
      </c>
      <c r="G2321" t="s">
        <v>124</v>
      </c>
      <c r="H2321" t="s">
        <v>125</v>
      </c>
      <c r="I2321">
        <v>8</v>
      </c>
      <c r="J2321" t="s">
        <v>268</v>
      </c>
      <c r="K2321" t="s">
        <v>125</v>
      </c>
      <c r="L2321" t="s">
        <v>5307</v>
      </c>
      <c r="AE2321" t="s">
        <v>128</v>
      </c>
    </row>
    <row r="2322" spans="1:78" x14ac:dyDescent="0.2">
      <c r="A2322" t="s">
        <v>119</v>
      </c>
      <c r="B2322" t="s">
        <v>120</v>
      </c>
      <c r="C2322" t="s">
        <v>5308</v>
      </c>
      <c r="D2322">
        <v>5</v>
      </c>
      <c r="E2322" t="s">
        <v>4075</v>
      </c>
      <c r="F2322" t="s">
        <v>1725</v>
      </c>
      <c r="G2322" t="s">
        <v>124</v>
      </c>
      <c r="H2322" t="s">
        <v>125</v>
      </c>
      <c r="I2322">
        <v>7</v>
      </c>
      <c r="J2322" t="s">
        <v>199</v>
      </c>
      <c r="K2322" t="s">
        <v>125</v>
      </c>
      <c r="L2322" t="s">
        <v>5309</v>
      </c>
      <c r="U2322" t="s">
        <v>209</v>
      </c>
      <c r="W2322" t="s">
        <v>155</v>
      </c>
      <c r="X2322">
        <v>2</v>
      </c>
      <c r="AC2322" t="s">
        <v>136</v>
      </c>
      <c r="AE2322" t="s">
        <v>137</v>
      </c>
    </row>
    <row r="2323" spans="1:78" hidden="1" x14ac:dyDescent="0.2">
      <c r="A2323" t="s">
        <v>119</v>
      </c>
      <c r="B2323" t="s">
        <v>120</v>
      </c>
      <c r="C2323" t="s">
        <v>5308</v>
      </c>
      <c r="D2323">
        <v>7</v>
      </c>
      <c r="E2323" t="s">
        <v>5310</v>
      </c>
      <c r="F2323" t="s">
        <v>5311</v>
      </c>
      <c r="G2323" t="s">
        <v>124</v>
      </c>
      <c r="H2323" t="s">
        <v>125</v>
      </c>
      <c r="I2323">
        <v>0</v>
      </c>
      <c r="J2323" t="s">
        <v>126</v>
      </c>
      <c r="K2323" t="s">
        <v>125</v>
      </c>
      <c r="L2323" t="s">
        <v>5312</v>
      </c>
      <c r="T2323" t="s">
        <v>154</v>
      </c>
      <c r="W2323" t="s">
        <v>135</v>
      </c>
      <c r="AC2323" t="s">
        <v>143</v>
      </c>
      <c r="AE2323" t="s">
        <v>144</v>
      </c>
      <c r="AG2323">
        <v>6</v>
      </c>
      <c r="AH2323" t="s">
        <v>204</v>
      </c>
      <c r="AI2323" t="s">
        <v>205</v>
      </c>
      <c r="AJ2323" t="s">
        <v>131</v>
      </c>
      <c r="AK2323" t="s">
        <v>125</v>
      </c>
      <c r="AL2323">
        <v>7</v>
      </c>
      <c r="AM2323" t="s">
        <v>132</v>
      </c>
      <c r="AN2323" t="s">
        <v>125</v>
      </c>
      <c r="AO2323" t="s">
        <v>5313</v>
      </c>
      <c r="BP2323" t="s">
        <v>149</v>
      </c>
      <c r="BR2323" t="s">
        <v>135</v>
      </c>
      <c r="BS2323">
        <v>1</v>
      </c>
      <c r="BX2323" t="s">
        <v>136</v>
      </c>
      <c r="BZ2323" t="s">
        <v>137</v>
      </c>
    </row>
    <row r="2324" spans="1:78" hidden="1" x14ac:dyDescent="0.2">
      <c r="A2324" t="s">
        <v>119</v>
      </c>
      <c r="B2324" t="s">
        <v>120</v>
      </c>
      <c r="C2324" t="s">
        <v>5308</v>
      </c>
      <c r="D2324">
        <v>15</v>
      </c>
      <c r="E2324" t="s">
        <v>5314</v>
      </c>
      <c r="F2324" t="s">
        <v>1555</v>
      </c>
      <c r="G2324" t="s">
        <v>124</v>
      </c>
      <c r="H2324" t="s">
        <v>125</v>
      </c>
      <c r="I2324">
        <v>9</v>
      </c>
      <c r="J2324" t="s">
        <v>170</v>
      </c>
      <c r="K2324" t="s">
        <v>125</v>
      </c>
      <c r="L2324" t="s">
        <v>5315</v>
      </c>
      <c r="U2324" t="s">
        <v>149</v>
      </c>
      <c r="W2324" t="s">
        <v>135</v>
      </c>
      <c r="X2324">
        <v>3</v>
      </c>
      <c r="AC2324" t="s">
        <v>209</v>
      </c>
      <c r="AE2324" t="s">
        <v>137</v>
      </c>
    </row>
    <row r="2325" spans="1:78" hidden="1" x14ac:dyDescent="0.2">
      <c r="A2325" t="s">
        <v>119</v>
      </c>
      <c r="B2325" t="s">
        <v>120</v>
      </c>
      <c r="C2325" t="s">
        <v>5316</v>
      </c>
      <c r="D2325">
        <v>4</v>
      </c>
      <c r="E2325" t="s">
        <v>146</v>
      </c>
      <c r="F2325" t="s">
        <v>146</v>
      </c>
      <c r="G2325" t="s">
        <v>124</v>
      </c>
      <c r="H2325" t="s">
        <v>125</v>
      </c>
      <c r="I2325">
        <v>0</v>
      </c>
      <c r="J2325" t="s">
        <v>126</v>
      </c>
      <c r="K2325" t="s">
        <v>125</v>
      </c>
      <c r="L2325" t="s">
        <v>5317</v>
      </c>
      <c r="AG2325">
        <v>3</v>
      </c>
      <c r="AH2325" t="s">
        <v>3314</v>
      </c>
      <c r="AI2325" t="s">
        <v>572</v>
      </c>
      <c r="AJ2325" t="s">
        <v>131</v>
      </c>
      <c r="AK2325" t="s">
        <v>125</v>
      </c>
      <c r="AL2325">
        <v>4</v>
      </c>
      <c r="AM2325" t="s">
        <v>132</v>
      </c>
      <c r="AN2325" t="s">
        <v>125</v>
      </c>
      <c r="AO2325" t="s">
        <v>5318</v>
      </c>
      <c r="BP2325" t="s">
        <v>134</v>
      </c>
      <c r="BR2325" t="s">
        <v>135</v>
      </c>
      <c r="BS2325">
        <v>3</v>
      </c>
      <c r="BX2325" t="s">
        <v>136</v>
      </c>
      <c r="BZ2325" t="s">
        <v>137</v>
      </c>
    </row>
    <row r="2326" spans="1:78" x14ac:dyDescent="0.2">
      <c r="A2326" t="s">
        <v>119</v>
      </c>
      <c r="B2326" t="s">
        <v>120</v>
      </c>
      <c r="C2326" t="s">
        <v>5319</v>
      </c>
      <c r="D2326">
        <v>3</v>
      </c>
      <c r="E2326" t="s">
        <v>1148</v>
      </c>
      <c r="F2326" t="s">
        <v>1149</v>
      </c>
      <c r="G2326" t="s">
        <v>124</v>
      </c>
      <c r="H2326" t="s">
        <v>125</v>
      </c>
      <c r="I2326">
        <v>0</v>
      </c>
      <c r="J2326" t="s">
        <v>126</v>
      </c>
      <c r="K2326" t="s">
        <v>125</v>
      </c>
      <c r="L2326" t="s">
        <v>5320</v>
      </c>
      <c r="U2326" t="s">
        <v>149</v>
      </c>
      <c r="W2326" t="s">
        <v>135</v>
      </c>
      <c r="X2326">
        <v>3</v>
      </c>
      <c r="AC2326" t="s">
        <v>136</v>
      </c>
      <c r="AE2326" t="s">
        <v>137</v>
      </c>
    </row>
    <row r="2327" spans="1:78" hidden="1" x14ac:dyDescent="0.2">
      <c r="A2327" t="s">
        <v>119</v>
      </c>
      <c r="B2327" t="s">
        <v>120</v>
      </c>
      <c r="C2327" t="s">
        <v>5319</v>
      </c>
      <c r="D2327">
        <v>4</v>
      </c>
      <c r="E2327" t="s">
        <v>5321</v>
      </c>
      <c r="F2327" t="s">
        <v>5321</v>
      </c>
      <c r="G2327" t="s">
        <v>124</v>
      </c>
      <c r="H2327" t="s">
        <v>125</v>
      </c>
      <c r="I2327">
        <v>3</v>
      </c>
      <c r="J2327" t="s">
        <v>294</v>
      </c>
      <c r="K2327" t="s">
        <v>125</v>
      </c>
      <c r="L2327" t="s">
        <v>5322</v>
      </c>
      <c r="AE2327" t="s">
        <v>128</v>
      </c>
    </row>
    <row r="2328" spans="1:78" hidden="1" x14ac:dyDescent="0.2">
      <c r="A2328" t="s">
        <v>119</v>
      </c>
      <c r="B2328" t="s">
        <v>120</v>
      </c>
      <c r="C2328" t="s">
        <v>5319</v>
      </c>
      <c r="D2328">
        <v>16</v>
      </c>
      <c r="E2328" t="s">
        <v>5247</v>
      </c>
      <c r="F2328" t="s">
        <v>146</v>
      </c>
      <c r="G2328" t="s">
        <v>124</v>
      </c>
      <c r="H2328" t="s">
        <v>125</v>
      </c>
      <c r="I2328">
        <v>6</v>
      </c>
      <c r="J2328" t="s">
        <v>170</v>
      </c>
      <c r="K2328" t="s">
        <v>125</v>
      </c>
      <c r="L2328" t="s">
        <v>5323</v>
      </c>
      <c r="U2328" t="s">
        <v>309</v>
      </c>
      <c r="W2328" t="s">
        <v>155</v>
      </c>
      <c r="X2328">
        <v>3</v>
      </c>
      <c r="AC2328" t="s">
        <v>209</v>
      </c>
      <c r="AE2328" t="s">
        <v>137</v>
      </c>
    </row>
    <row r="2329" spans="1:78" hidden="1" x14ac:dyDescent="0.2">
      <c r="A2329" t="s">
        <v>119</v>
      </c>
      <c r="B2329" t="s">
        <v>120</v>
      </c>
      <c r="C2329" t="s">
        <v>5319</v>
      </c>
      <c r="D2329">
        <v>22</v>
      </c>
      <c r="E2329" t="s">
        <v>1237</v>
      </c>
      <c r="F2329" t="s">
        <v>123</v>
      </c>
      <c r="G2329" t="s">
        <v>124</v>
      </c>
      <c r="H2329" t="s">
        <v>125</v>
      </c>
      <c r="I2329">
        <v>19</v>
      </c>
      <c r="J2329" t="s">
        <v>170</v>
      </c>
      <c r="K2329" t="s">
        <v>125</v>
      </c>
      <c r="L2329" t="s">
        <v>5324</v>
      </c>
      <c r="U2329" t="s">
        <v>149</v>
      </c>
      <c r="W2329" t="s">
        <v>155</v>
      </c>
      <c r="X2329">
        <v>3</v>
      </c>
      <c r="AC2329" t="s">
        <v>209</v>
      </c>
      <c r="AE2329" t="s">
        <v>137</v>
      </c>
    </row>
    <row r="2330" spans="1:78" x14ac:dyDescent="0.2">
      <c r="A2330" t="s">
        <v>119</v>
      </c>
      <c r="B2330" t="s">
        <v>120</v>
      </c>
      <c r="C2330" t="s">
        <v>5319</v>
      </c>
      <c r="D2330">
        <v>27</v>
      </c>
      <c r="E2330" t="s">
        <v>5283</v>
      </c>
      <c r="F2330" t="s">
        <v>186</v>
      </c>
      <c r="G2330" t="s">
        <v>124</v>
      </c>
      <c r="H2330" t="s">
        <v>125</v>
      </c>
      <c r="I2330">
        <v>16</v>
      </c>
      <c r="J2330" t="s">
        <v>268</v>
      </c>
      <c r="K2330" t="s">
        <v>125</v>
      </c>
      <c r="L2330" t="s">
        <v>5325</v>
      </c>
      <c r="U2330" t="s">
        <v>149</v>
      </c>
      <c r="W2330" t="s">
        <v>155</v>
      </c>
      <c r="X2330">
        <v>1</v>
      </c>
      <c r="AC2330" t="s">
        <v>136</v>
      </c>
      <c r="AE2330" t="s">
        <v>137</v>
      </c>
    </row>
    <row r="2331" spans="1:78" x14ac:dyDescent="0.2">
      <c r="A2331" t="s">
        <v>119</v>
      </c>
      <c r="B2331" t="s">
        <v>120</v>
      </c>
      <c r="C2331" t="s">
        <v>5319</v>
      </c>
      <c r="D2331">
        <v>30</v>
      </c>
      <c r="E2331" t="s">
        <v>201</v>
      </c>
      <c r="F2331" t="s">
        <v>202</v>
      </c>
      <c r="G2331" t="s">
        <v>124</v>
      </c>
      <c r="H2331" t="s">
        <v>125</v>
      </c>
      <c r="I2331">
        <v>27</v>
      </c>
      <c r="J2331" t="s">
        <v>268</v>
      </c>
      <c r="K2331" t="s">
        <v>125</v>
      </c>
      <c r="L2331" t="s">
        <v>5326</v>
      </c>
      <c r="U2331" t="s">
        <v>149</v>
      </c>
      <c r="W2331" t="s">
        <v>135</v>
      </c>
      <c r="X2331">
        <v>1</v>
      </c>
      <c r="AC2331" t="s">
        <v>136</v>
      </c>
      <c r="AE2331" t="s">
        <v>137</v>
      </c>
      <c r="AG2331">
        <v>29</v>
      </c>
      <c r="AH2331" t="s">
        <v>232</v>
      </c>
      <c r="AI2331" t="s">
        <v>205</v>
      </c>
      <c r="AJ2331" t="s">
        <v>131</v>
      </c>
      <c r="AK2331" t="s">
        <v>125</v>
      </c>
      <c r="AL2331">
        <v>30</v>
      </c>
      <c r="AM2331" t="s">
        <v>132</v>
      </c>
      <c r="AN2331" t="s">
        <v>125</v>
      </c>
      <c r="AO2331" t="s">
        <v>5327</v>
      </c>
      <c r="BO2331" t="s">
        <v>154</v>
      </c>
      <c r="BR2331" t="s">
        <v>135</v>
      </c>
    </row>
    <row r="2332" spans="1:78" hidden="1" x14ac:dyDescent="0.2">
      <c r="A2332" t="s">
        <v>119</v>
      </c>
      <c r="B2332" t="s">
        <v>120</v>
      </c>
      <c r="C2332" t="s">
        <v>5328</v>
      </c>
      <c r="D2332">
        <v>2</v>
      </c>
      <c r="E2332" t="s">
        <v>5329</v>
      </c>
      <c r="F2332" t="s">
        <v>5330</v>
      </c>
      <c r="G2332" t="s">
        <v>124</v>
      </c>
      <c r="H2332" t="s">
        <v>125</v>
      </c>
      <c r="I2332">
        <v>0</v>
      </c>
      <c r="J2332" t="s">
        <v>126</v>
      </c>
      <c r="K2332" t="s">
        <v>125</v>
      </c>
      <c r="L2332" t="s">
        <v>5331</v>
      </c>
      <c r="AE2332" t="s">
        <v>394</v>
      </c>
    </row>
    <row r="2333" spans="1:78" x14ac:dyDescent="0.2">
      <c r="A2333" t="s">
        <v>119</v>
      </c>
      <c r="B2333" t="s">
        <v>120</v>
      </c>
      <c r="C2333" t="s">
        <v>5332</v>
      </c>
      <c r="D2333">
        <v>3</v>
      </c>
      <c r="E2333" t="s">
        <v>145</v>
      </c>
      <c r="F2333" t="s">
        <v>146</v>
      </c>
      <c r="G2333" t="s">
        <v>124</v>
      </c>
      <c r="H2333" t="s">
        <v>125</v>
      </c>
      <c r="I2333">
        <v>0</v>
      </c>
      <c r="J2333" t="s">
        <v>126</v>
      </c>
      <c r="K2333" t="s">
        <v>125</v>
      </c>
      <c r="L2333" t="s">
        <v>5333</v>
      </c>
      <c r="U2333" t="s">
        <v>149</v>
      </c>
      <c r="W2333" t="s">
        <v>135</v>
      </c>
      <c r="X2333">
        <v>3</v>
      </c>
      <c r="AC2333" t="s">
        <v>136</v>
      </c>
      <c r="AE2333" t="s">
        <v>137</v>
      </c>
    </row>
    <row r="2334" spans="1:78" hidden="1" x14ac:dyDescent="0.2">
      <c r="A2334" t="s">
        <v>119</v>
      </c>
      <c r="B2334" t="s">
        <v>120</v>
      </c>
      <c r="C2334" t="s">
        <v>5334</v>
      </c>
      <c r="D2334">
        <v>3</v>
      </c>
      <c r="E2334" t="s">
        <v>5335</v>
      </c>
      <c r="F2334" t="s">
        <v>602</v>
      </c>
      <c r="G2334" t="s">
        <v>124</v>
      </c>
      <c r="H2334" t="s">
        <v>125</v>
      </c>
      <c r="I2334">
        <v>0</v>
      </c>
      <c r="J2334" t="s">
        <v>126</v>
      </c>
      <c r="K2334" t="s">
        <v>125</v>
      </c>
      <c r="L2334" t="s">
        <v>5336</v>
      </c>
      <c r="T2334" t="s">
        <v>154</v>
      </c>
      <c r="W2334" t="s">
        <v>135</v>
      </c>
      <c r="AC2334" t="s">
        <v>143</v>
      </c>
      <c r="AE2334" t="s">
        <v>144</v>
      </c>
      <c r="AG2334">
        <v>2</v>
      </c>
      <c r="AH2334" t="s">
        <v>229</v>
      </c>
      <c r="AI2334" t="s">
        <v>205</v>
      </c>
      <c r="AJ2334" t="s">
        <v>131</v>
      </c>
      <c r="AK2334" t="s">
        <v>125</v>
      </c>
      <c r="AL2334">
        <v>3</v>
      </c>
      <c r="AM2334" t="s">
        <v>132</v>
      </c>
      <c r="AN2334" t="s">
        <v>125</v>
      </c>
      <c r="AO2334" t="s">
        <v>5337</v>
      </c>
      <c r="BP2334" t="s">
        <v>149</v>
      </c>
      <c r="BR2334" t="s">
        <v>155</v>
      </c>
      <c r="BS2334">
        <v>2</v>
      </c>
      <c r="BX2334" t="s">
        <v>136</v>
      </c>
      <c r="BZ2334" t="s">
        <v>137</v>
      </c>
    </row>
    <row r="2335" spans="1:78" x14ac:dyDescent="0.2">
      <c r="A2335" t="s">
        <v>119</v>
      </c>
      <c r="B2335" t="s">
        <v>120</v>
      </c>
      <c r="C2335" t="s">
        <v>5334</v>
      </c>
      <c r="D2335">
        <v>11</v>
      </c>
      <c r="E2335" t="s">
        <v>180</v>
      </c>
      <c r="F2335" t="s">
        <v>181</v>
      </c>
      <c r="G2335" t="s">
        <v>124</v>
      </c>
      <c r="H2335" t="s">
        <v>125</v>
      </c>
      <c r="I2335">
        <v>3</v>
      </c>
      <c r="J2335" t="s">
        <v>161</v>
      </c>
      <c r="K2335" t="s">
        <v>125</v>
      </c>
      <c r="L2335" t="s">
        <v>5338</v>
      </c>
      <c r="U2335" t="s">
        <v>149</v>
      </c>
      <c r="W2335" t="s">
        <v>135</v>
      </c>
      <c r="X2335">
        <v>1</v>
      </c>
      <c r="AC2335" t="s">
        <v>136</v>
      </c>
      <c r="AE2335" t="s">
        <v>137</v>
      </c>
    </row>
    <row r="2336" spans="1:78" hidden="1" x14ac:dyDescent="0.2">
      <c r="A2336" t="s">
        <v>119</v>
      </c>
      <c r="B2336" t="s">
        <v>120</v>
      </c>
      <c r="C2336" t="s">
        <v>5339</v>
      </c>
      <c r="D2336">
        <v>2</v>
      </c>
      <c r="E2336" t="s">
        <v>512</v>
      </c>
      <c r="F2336" t="s">
        <v>146</v>
      </c>
      <c r="G2336" t="s">
        <v>124</v>
      </c>
      <c r="H2336" t="s">
        <v>125</v>
      </c>
      <c r="I2336">
        <v>0</v>
      </c>
      <c r="J2336" t="s">
        <v>126</v>
      </c>
      <c r="K2336" t="s">
        <v>125</v>
      </c>
      <c r="L2336" t="s">
        <v>5340</v>
      </c>
      <c r="U2336" t="s">
        <v>149</v>
      </c>
      <c r="W2336" t="s">
        <v>155</v>
      </c>
      <c r="X2336">
        <v>3</v>
      </c>
      <c r="AC2336" t="s">
        <v>209</v>
      </c>
      <c r="AE2336" t="s">
        <v>137</v>
      </c>
    </row>
    <row r="2337" spans="1:78" x14ac:dyDescent="0.2">
      <c r="A2337" t="s">
        <v>119</v>
      </c>
      <c r="B2337" t="s">
        <v>120</v>
      </c>
      <c r="C2337" t="s">
        <v>5341</v>
      </c>
      <c r="D2337">
        <v>3</v>
      </c>
      <c r="E2337" t="s">
        <v>3638</v>
      </c>
      <c r="F2337" t="s">
        <v>202</v>
      </c>
      <c r="G2337" t="s">
        <v>124</v>
      </c>
      <c r="H2337" t="s">
        <v>125</v>
      </c>
      <c r="I2337">
        <v>7</v>
      </c>
      <c r="J2337" t="s">
        <v>268</v>
      </c>
      <c r="K2337" t="s">
        <v>125</v>
      </c>
      <c r="L2337" t="s">
        <v>5342</v>
      </c>
      <c r="U2337" t="s">
        <v>149</v>
      </c>
      <c r="W2337" t="s">
        <v>155</v>
      </c>
      <c r="X2337">
        <v>2</v>
      </c>
      <c r="AC2337" t="s">
        <v>136</v>
      </c>
      <c r="AE2337" t="s">
        <v>137</v>
      </c>
    </row>
    <row r="2338" spans="1:78" hidden="1" x14ac:dyDescent="0.2">
      <c r="A2338" t="s">
        <v>119</v>
      </c>
      <c r="B2338" t="s">
        <v>120</v>
      </c>
      <c r="C2338" t="s">
        <v>5341</v>
      </c>
      <c r="D2338">
        <v>7</v>
      </c>
      <c r="E2338" t="s">
        <v>512</v>
      </c>
      <c r="F2338" t="s">
        <v>146</v>
      </c>
      <c r="G2338" t="s">
        <v>124</v>
      </c>
      <c r="H2338" t="s">
        <v>125</v>
      </c>
      <c r="I2338">
        <v>0</v>
      </c>
      <c r="J2338" t="s">
        <v>126</v>
      </c>
      <c r="K2338" t="s">
        <v>125</v>
      </c>
      <c r="L2338" t="s">
        <v>5343</v>
      </c>
      <c r="U2338" t="s">
        <v>149</v>
      </c>
      <c r="W2338" t="s">
        <v>155</v>
      </c>
      <c r="X2338">
        <v>3</v>
      </c>
      <c r="AC2338" t="s">
        <v>209</v>
      </c>
      <c r="AE2338" t="s">
        <v>137</v>
      </c>
    </row>
    <row r="2339" spans="1:78" hidden="1" x14ac:dyDescent="0.2">
      <c r="A2339" t="s">
        <v>119</v>
      </c>
      <c r="B2339" t="s">
        <v>120</v>
      </c>
      <c r="C2339" t="s">
        <v>5344</v>
      </c>
      <c r="D2339">
        <v>2</v>
      </c>
      <c r="E2339" t="s">
        <v>207</v>
      </c>
      <c r="F2339" t="s">
        <v>146</v>
      </c>
      <c r="G2339" t="s">
        <v>124</v>
      </c>
      <c r="H2339" t="s">
        <v>125</v>
      </c>
      <c r="I2339">
        <v>0</v>
      </c>
      <c r="J2339" t="s">
        <v>126</v>
      </c>
      <c r="K2339" t="s">
        <v>125</v>
      </c>
      <c r="L2339" t="s">
        <v>5345</v>
      </c>
      <c r="U2339" t="s">
        <v>149</v>
      </c>
      <c r="W2339" t="s">
        <v>135</v>
      </c>
      <c r="X2339">
        <v>3</v>
      </c>
      <c r="AC2339" t="s">
        <v>209</v>
      </c>
      <c r="AE2339" t="s">
        <v>137</v>
      </c>
    </row>
    <row r="2340" spans="1:78" hidden="1" x14ac:dyDescent="0.2">
      <c r="A2340" t="s">
        <v>119</v>
      </c>
      <c r="B2340" t="s">
        <v>120</v>
      </c>
      <c r="C2340" t="s">
        <v>5346</v>
      </c>
      <c r="D2340">
        <v>3</v>
      </c>
      <c r="E2340" t="s">
        <v>512</v>
      </c>
      <c r="F2340" t="s">
        <v>146</v>
      </c>
      <c r="G2340" t="s">
        <v>124</v>
      </c>
      <c r="H2340" t="s">
        <v>125</v>
      </c>
      <c r="I2340">
        <v>0</v>
      </c>
      <c r="J2340" t="s">
        <v>126</v>
      </c>
      <c r="K2340" t="s">
        <v>125</v>
      </c>
      <c r="L2340" t="s">
        <v>5347</v>
      </c>
      <c r="U2340" t="s">
        <v>149</v>
      </c>
      <c r="W2340" t="s">
        <v>155</v>
      </c>
      <c r="X2340">
        <v>3</v>
      </c>
      <c r="AC2340" t="s">
        <v>209</v>
      </c>
      <c r="AE2340" t="s">
        <v>137</v>
      </c>
    </row>
    <row r="2341" spans="1:78" hidden="1" x14ac:dyDescent="0.2">
      <c r="A2341" t="s">
        <v>119</v>
      </c>
      <c r="B2341" t="s">
        <v>120</v>
      </c>
      <c r="C2341" t="s">
        <v>5346</v>
      </c>
      <c r="D2341">
        <v>11</v>
      </c>
      <c r="E2341" t="s">
        <v>5348</v>
      </c>
      <c r="F2341" t="s">
        <v>361</v>
      </c>
      <c r="G2341" t="s">
        <v>124</v>
      </c>
      <c r="H2341" t="s">
        <v>125</v>
      </c>
      <c r="I2341">
        <v>6</v>
      </c>
      <c r="J2341" t="s">
        <v>170</v>
      </c>
      <c r="K2341" t="s">
        <v>125</v>
      </c>
      <c r="L2341" t="s">
        <v>5349</v>
      </c>
      <c r="U2341" t="s">
        <v>149</v>
      </c>
      <c r="W2341" t="s">
        <v>155</v>
      </c>
      <c r="X2341">
        <v>3</v>
      </c>
      <c r="AC2341" t="s">
        <v>209</v>
      </c>
      <c r="AE2341" t="s">
        <v>137</v>
      </c>
    </row>
    <row r="2342" spans="1:78" x14ac:dyDescent="0.2">
      <c r="A2342" t="s">
        <v>119</v>
      </c>
      <c r="B2342" t="s">
        <v>120</v>
      </c>
      <c r="C2342" t="s">
        <v>5350</v>
      </c>
      <c r="D2342">
        <v>4</v>
      </c>
      <c r="E2342" t="s">
        <v>201</v>
      </c>
      <c r="F2342" t="s">
        <v>202</v>
      </c>
      <c r="G2342" t="s">
        <v>124</v>
      </c>
      <c r="H2342" t="s">
        <v>125</v>
      </c>
      <c r="I2342">
        <v>5</v>
      </c>
      <c r="J2342" t="s">
        <v>268</v>
      </c>
      <c r="K2342" t="s">
        <v>125</v>
      </c>
      <c r="L2342" t="s">
        <v>5351</v>
      </c>
      <c r="U2342" t="s">
        <v>149</v>
      </c>
      <c r="W2342" t="s">
        <v>135</v>
      </c>
      <c r="X2342">
        <v>1</v>
      </c>
      <c r="AC2342" t="s">
        <v>136</v>
      </c>
      <c r="AE2342" t="s">
        <v>137</v>
      </c>
      <c r="AG2342">
        <v>3</v>
      </c>
      <c r="AH2342" t="s">
        <v>232</v>
      </c>
      <c r="AI2342" t="s">
        <v>205</v>
      </c>
      <c r="AJ2342" t="s">
        <v>131</v>
      </c>
      <c r="AK2342" t="s">
        <v>125</v>
      </c>
      <c r="AL2342">
        <v>4</v>
      </c>
      <c r="AM2342" t="s">
        <v>132</v>
      </c>
      <c r="AN2342" t="s">
        <v>125</v>
      </c>
      <c r="AO2342" t="s">
        <v>5352</v>
      </c>
      <c r="BP2342" t="s">
        <v>149</v>
      </c>
      <c r="BR2342" t="s">
        <v>155</v>
      </c>
      <c r="BS2342">
        <v>1</v>
      </c>
      <c r="BX2342" t="s">
        <v>136</v>
      </c>
      <c r="BZ2342" t="s">
        <v>137</v>
      </c>
    </row>
    <row r="2343" spans="1:78" hidden="1" x14ac:dyDescent="0.2">
      <c r="A2343" t="s">
        <v>119</v>
      </c>
      <c r="B2343" t="s">
        <v>120</v>
      </c>
      <c r="C2343" t="s">
        <v>5350</v>
      </c>
      <c r="D2343">
        <v>5</v>
      </c>
      <c r="E2343" t="s">
        <v>4559</v>
      </c>
      <c r="F2343" t="s">
        <v>1399</v>
      </c>
      <c r="G2343" t="s">
        <v>124</v>
      </c>
      <c r="H2343" t="s">
        <v>125</v>
      </c>
      <c r="I2343">
        <v>0</v>
      </c>
      <c r="J2343" t="s">
        <v>126</v>
      </c>
      <c r="K2343" t="s">
        <v>125</v>
      </c>
      <c r="L2343" t="s">
        <v>5353</v>
      </c>
      <c r="U2343" t="s">
        <v>149</v>
      </c>
      <c r="W2343" t="s">
        <v>155</v>
      </c>
      <c r="X2343">
        <v>3</v>
      </c>
      <c r="AC2343" t="s">
        <v>209</v>
      </c>
      <c r="AE2343" t="s">
        <v>137</v>
      </c>
    </row>
    <row r="2344" spans="1:78" x14ac:dyDescent="0.2">
      <c r="A2344" t="s">
        <v>119</v>
      </c>
      <c r="B2344" t="s">
        <v>120</v>
      </c>
      <c r="C2344" t="s">
        <v>5354</v>
      </c>
      <c r="D2344">
        <v>4</v>
      </c>
      <c r="E2344" t="s">
        <v>201</v>
      </c>
      <c r="F2344" t="s">
        <v>202</v>
      </c>
      <c r="G2344" t="s">
        <v>124</v>
      </c>
      <c r="H2344" t="s">
        <v>125</v>
      </c>
      <c r="I2344">
        <v>0</v>
      </c>
      <c r="J2344" t="s">
        <v>126</v>
      </c>
      <c r="K2344" t="s">
        <v>125</v>
      </c>
      <c r="L2344" t="s">
        <v>5355</v>
      </c>
      <c r="U2344" t="s">
        <v>149</v>
      </c>
      <c r="W2344" t="s">
        <v>135</v>
      </c>
      <c r="X2344">
        <v>1</v>
      </c>
      <c r="AC2344" t="s">
        <v>136</v>
      </c>
      <c r="AE2344" t="s">
        <v>137</v>
      </c>
      <c r="AG2344">
        <v>3</v>
      </c>
      <c r="AH2344" t="s">
        <v>232</v>
      </c>
      <c r="AI2344" t="s">
        <v>205</v>
      </c>
      <c r="AJ2344" t="s">
        <v>131</v>
      </c>
      <c r="AK2344" t="s">
        <v>125</v>
      </c>
      <c r="AL2344">
        <v>4</v>
      </c>
      <c r="AM2344" t="s">
        <v>132</v>
      </c>
      <c r="AN2344" t="s">
        <v>125</v>
      </c>
      <c r="AO2344" t="s">
        <v>5356</v>
      </c>
      <c r="BP2344" t="s">
        <v>209</v>
      </c>
      <c r="BR2344" t="s">
        <v>155</v>
      </c>
      <c r="BS2344">
        <v>1</v>
      </c>
      <c r="BX2344" t="s">
        <v>136</v>
      </c>
      <c r="BZ2344" t="s">
        <v>137</v>
      </c>
    </row>
    <row r="2345" spans="1:78" x14ac:dyDescent="0.2">
      <c r="A2345" t="s">
        <v>119</v>
      </c>
      <c r="B2345" t="s">
        <v>120</v>
      </c>
      <c r="C2345" t="s">
        <v>5354</v>
      </c>
      <c r="D2345">
        <v>7</v>
      </c>
      <c r="E2345" t="s">
        <v>5283</v>
      </c>
      <c r="F2345" t="s">
        <v>186</v>
      </c>
      <c r="G2345" t="s">
        <v>124</v>
      </c>
      <c r="H2345" t="s">
        <v>125</v>
      </c>
      <c r="I2345">
        <v>4</v>
      </c>
      <c r="J2345" t="s">
        <v>170</v>
      </c>
      <c r="K2345" t="s">
        <v>125</v>
      </c>
      <c r="L2345" t="s">
        <v>5357</v>
      </c>
      <c r="U2345" t="s">
        <v>149</v>
      </c>
      <c r="W2345" t="s">
        <v>155</v>
      </c>
      <c r="X2345">
        <v>1</v>
      </c>
      <c r="AC2345" t="s">
        <v>136</v>
      </c>
      <c r="AE2345" t="s">
        <v>137</v>
      </c>
    </row>
    <row r="2346" spans="1:78" x14ac:dyDescent="0.2">
      <c r="A2346" t="s">
        <v>119</v>
      </c>
      <c r="B2346" t="s">
        <v>120</v>
      </c>
      <c r="C2346" t="s">
        <v>5358</v>
      </c>
      <c r="D2346">
        <v>2</v>
      </c>
      <c r="E2346" t="s">
        <v>5283</v>
      </c>
      <c r="F2346" t="s">
        <v>186</v>
      </c>
      <c r="G2346" t="s">
        <v>124</v>
      </c>
      <c r="H2346" t="s">
        <v>125</v>
      </c>
      <c r="I2346">
        <v>0</v>
      </c>
      <c r="J2346" t="s">
        <v>126</v>
      </c>
      <c r="K2346" t="s">
        <v>125</v>
      </c>
      <c r="L2346" t="s">
        <v>5359</v>
      </c>
      <c r="U2346" t="s">
        <v>149</v>
      </c>
      <c r="W2346" t="s">
        <v>155</v>
      </c>
      <c r="X2346">
        <v>1</v>
      </c>
      <c r="AC2346" t="s">
        <v>136</v>
      </c>
      <c r="AE2346" t="s">
        <v>137</v>
      </c>
    </row>
    <row r="2347" spans="1:78" x14ac:dyDescent="0.2">
      <c r="A2347" t="s">
        <v>119</v>
      </c>
      <c r="B2347" t="s">
        <v>120</v>
      </c>
      <c r="C2347" t="s">
        <v>5358</v>
      </c>
      <c r="D2347">
        <v>5</v>
      </c>
      <c r="E2347" t="s">
        <v>4805</v>
      </c>
      <c r="F2347" t="s">
        <v>1399</v>
      </c>
      <c r="G2347" t="s">
        <v>124</v>
      </c>
      <c r="H2347" t="s">
        <v>125</v>
      </c>
      <c r="I2347">
        <v>4</v>
      </c>
      <c r="J2347" t="s">
        <v>386</v>
      </c>
      <c r="K2347" t="s">
        <v>125</v>
      </c>
      <c r="L2347" t="s">
        <v>5360</v>
      </c>
      <c r="U2347" t="s">
        <v>149</v>
      </c>
      <c r="W2347" t="s">
        <v>135</v>
      </c>
      <c r="X2347">
        <v>3</v>
      </c>
      <c r="AC2347" t="s">
        <v>136</v>
      </c>
      <c r="AE2347" t="s">
        <v>137</v>
      </c>
    </row>
    <row r="2348" spans="1:78" hidden="1" x14ac:dyDescent="0.2">
      <c r="A2348" t="s">
        <v>119</v>
      </c>
      <c r="B2348" t="s">
        <v>120</v>
      </c>
      <c r="C2348" t="s">
        <v>5358</v>
      </c>
      <c r="D2348">
        <v>11</v>
      </c>
      <c r="E2348" t="s">
        <v>4866</v>
      </c>
      <c r="F2348" t="s">
        <v>773</v>
      </c>
      <c r="G2348" t="s">
        <v>124</v>
      </c>
      <c r="H2348" t="s">
        <v>125</v>
      </c>
      <c r="I2348">
        <v>8</v>
      </c>
      <c r="J2348" t="s">
        <v>170</v>
      </c>
      <c r="K2348" t="s">
        <v>125</v>
      </c>
      <c r="L2348" t="s">
        <v>5361</v>
      </c>
      <c r="U2348" t="s">
        <v>149</v>
      </c>
      <c r="W2348" t="s">
        <v>155</v>
      </c>
      <c r="X2348">
        <v>3</v>
      </c>
      <c r="AC2348" t="s">
        <v>209</v>
      </c>
      <c r="AE2348" t="s">
        <v>137</v>
      </c>
    </row>
    <row r="2349" spans="1:78" hidden="1" x14ac:dyDescent="0.2">
      <c r="A2349" t="s">
        <v>119</v>
      </c>
      <c r="B2349" t="s">
        <v>120</v>
      </c>
      <c r="C2349" t="s">
        <v>5362</v>
      </c>
      <c r="D2349">
        <v>4</v>
      </c>
      <c r="E2349" t="s">
        <v>4866</v>
      </c>
      <c r="F2349" t="s">
        <v>773</v>
      </c>
      <c r="G2349" t="s">
        <v>124</v>
      </c>
      <c r="H2349" t="s">
        <v>125</v>
      </c>
      <c r="I2349">
        <v>0</v>
      </c>
      <c r="J2349" t="s">
        <v>126</v>
      </c>
      <c r="K2349" t="s">
        <v>125</v>
      </c>
      <c r="L2349" t="s">
        <v>5363</v>
      </c>
      <c r="U2349" t="s">
        <v>149</v>
      </c>
      <c r="W2349" t="s">
        <v>155</v>
      </c>
      <c r="X2349">
        <v>3</v>
      </c>
      <c r="AC2349" t="s">
        <v>209</v>
      </c>
      <c r="AE2349" t="s">
        <v>137</v>
      </c>
    </row>
    <row r="2350" spans="1:78" hidden="1" x14ac:dyDescent="0.2">
      <c r="A2350" t="s">
        <v>119</v>
      </c>
      <c r="B2350" t="s">
        <v>120</v>
      </c>
      <c r="C2350" t="s">
        <v>5362</v>
      </c>
      <c r="D2350">
        <v>9</v>
      </c>
      <c r="E2350" t="s">
        <v>4866</v>
      </c>
      <c r="F2350" t="s">
        <v>773</v>
      </c>
      <c r="G2350" t="s">
        <v>124</v>
      </c>
      <c r="H2350" t="s">
        <v>125</v>
      </c>
      <c r="I2350">
        <v>4</v>
      </c>
      <c r="J2350" t="s">
        <v>161</v>
      </c>
      <c r="K2350" t="s">
        <v>125</v>
      </c>
      <c r="L2350" t="s">
        <v>5364</v>
      </c>
      <c r="U2350" t="s">
        <v>149</v>
      </c>
      <c r="W2350" t="s">
        <v>155</v>
      </c>
      <c r="X2350">
        <v>3</v>
      </c>
      <c r="AC2350" t="s">
        <v>209</v>
      </c>
      <c r="AE2350" t="s">
        <v>137</v>
      </c>
    </row>
    <row r="2351" spans="1:78" hidden="1" x14ac:dyDescent="0.2">
      <c r="A2351" t="s">
        <v>119</v>
      </c>
      <c r="B2351" t="s">
        <v>120</v>
      </c>
      <c r="C2351" t="s">
        <v>5362</v>
      </c>
      <c r="D2351">
        <v>14</v>
      </c>
      <c r="E2351" t="s">
        <v>4866</v>
      </c>
      <c r="F2351" t="s">
        <v>773</v>
      </c>
      <c r="G2351" t="s">
        <v>124</v>
      </c>
      <c r="H2351" t="s">
        <v>125</v>
      </c>
      <c r="I2351">
        <v>4</v>
      </c>
      <c r="J2351" t="s">
        <v>161</v>
      </c>
      <c r="K2351" t="s">
        <v>125</v>
      </c>
      <c r="L2351" t="s">
        <v>5365</v>
      </c>
      <c r="U2351" t="s">
        <v>149</v>
      </c>
      <c r="W2351" t="s">
        <v>155</v>
      </c>
      <c r="X2351">
        <v>3</v>
      </c>
      <c r="AC2351" t="s">
        <v>209</v>
      </c>
      <c r="AE2351" t="s">
        <v>137</v>
      </c>
    </row>
    <row r="2352" spans="1:78" hidden="1" x14ac:dyDescent="0.2">
      <c r="A2352" t="s">
        <v>119</v>
      </c>
      <c r="B2352" t="s">
        <v>120</v>
      </c>
      <c r="C2352" t="s">
        <v>5366</v>
      </c>
      <c r="D2352">
        <v>7</v>
      </c>
      <c r="E2352" t="s">
        <v>2594</v>
      </c>
      <c r="F2352" t="s">
        <v>773</v>
      </c>
      <c r="G2352" t="s">
        <v>124</v>
      </c>
      <c r="H2352" t="s">
        <v>125</v>
      </c>
      <c r="I2352">
        <v>12</v>
      </c>
      <c r="J2352" t="s">
        <v>268</v>
      </c>
      <c r="K2352" t="s">
        <v>125</v>
      </c>
      <c r="L2352" t="s">
        <v>5367</v>
      </c>
      <c r="T2352" t="s">
        <v>154</v>
      </c>
      <c r="W2352" t="s">
        <v>135</v>
      </c>
      <c r="AC2352" t="s">
        <v>143</v>
      </c>
      <c r="AE2352" t="s">
        <v>144</v>
      </c>
      <c r="AG2352">
        <v>6</v>
      </c>
      <c r="AH2352" t="s">
        <v>5368</v>
      </c>
      <c r="AI2352" t="s">
        <v>205</v>
      </c>
      <c r="AJ2352" t="s">
        <v>131</v>
      </c>
      <c r="AK2352" t="s">
        <v>125</v>
      </c>
      <c r="AL2352">
        <v>7</v>
      </c>
      <c r="AM2352" t="s">
        <v>132</v>
      </c>
      <c r="AN2352" t="s">
        <v>125</v>
      </c>
      <c r="AO2352" t="s">
        <v>5369</v>
      </c>
      <c r="BP2352" t="s">
        <v>309</v>
      </c>
      <c r="BR2352" t="s">
        <v>155</v>
      </c>
      <c r="BS2352">
        <v>3</v>
      </c>
      <c r="BX2352" t="s">
        <v>209</v>
      </c>
      <c r="BZ2352" t="s">
        <v>137</v>
      </c>
    </row>
    <row r="2353" spans="1:78" x14ac:dyDescent="0.2">
      <c r="A2353" t="s">
        <v>119</v>
      </c>
      <c r="B2353" t="s">
        <v>120</v>
      </c>
      <c r="C2353" t="s">
        <v>5366</v>
      </c>
      <c r="D2353">
        <v>12</v>
      </c>
      <c r="E2353" t="s">
        <v>5370</v>
      </c>
      <c r="F2353" t="s">
        <v>205</v>
      </c>
      <c r="G2353" t="s">
        <v>124</v>
      </c>
      <c r="H2353" t="s">
        <v>125</v>
      </c>
      <c r="I2353">
        <v>0</v>
      </c>
      <c r="J2353" t="s">
        <v>126</v>
      </c>
      <c r="K2353" t="s">
        <v>125</v>
      </c>
      <c r="L2353" t="s">
        <v>5371</v>
      </c>
      <c r="U2353" t="s">
        <v>134</v>
      </c>
      <c r="W2353" t="s">
        <v>155</v>
      </c>
      <c r="X2353">
        <v>1</v>
      </c>
      <c r="AC2353" t="s">
        <v>136</v>
      </c>
      <c r="AE2353" t="s">
        <v>137</v>
      </c>
    </row>
    <row r="2354" spans="1:78" hidden="1" x14ac:dyDescent="0.2">
      <c r="A2354" t="s">
        <v>119</v>
      </c>
      <c r="B2354" t="s">
        <v>120</v>
      </c>
      <c r="C2354" t="s">
        <v>5372</v>
      </c>
      <c r="D2354">
        <v>4</v>
      </c>
      <c r="E2354" t="s">
        <v>5373</v>
      </c>
      <c r="F2354" t="s">
        <v>205</v>
      </c>
      <c r="G2354" t="s">
        <v>124</v>
      </c>
      <c r="H2354" t="s">
        <v>125</v>
      </c>
      <c r="I2354">
        <v>0</v>
      </c>
      <c r="J2354" t="s">
        <v>126</v>
      </c>
      <c r="K2354" t="s">
        <v>125</v>
      </c>
      <c r="L2354" t="s">
        <v>5374</v>
      </c>
      <c r="T2354" t="s">
        <v>154</v>
      </c>
      <c r="W2354" t="s">
        <v>135</v>
      </c>
      <c r="AC2354" t="s">
        <v>143</v>
      </c>
      <c r="AE2354" t="s">
        <v>144</v>
      </c>
      <c r="AG2354">
        <v>3</v>
      </c>
      <c r="AH2354" t="s">
        <v>5375</v>
      </c>
      <c r="AI2354" t="s">
        <v>205</v>
      </c>
      <c r="AJ2354" t="s">
        <v>131</v>
      </c>
      <c r="AK2354" t="s">
        <v>125</v>
      </c>
      <c r="AL2354">
        <v>4</v>
      </c>
      <c r="AM2354" t="s">
        <v>132</v>
      </c>
      <c r="AN2354" t="s">
        <v>125</v>
      </c>
      <c r="AO2354" t="s">
        <v>2802</v>
      </c>
      <c r="BP2354" t="s">
        <v>134</v>
      </c>
      <c r="BR2354" t="s">
        <v>155</v>
      </c>
      <c r="BS2354">
        <v>3</v>
      </c>
      <c r="BX2354" t="s">
        <v>136</v>
      </c>
      <c r="BZ2354" t="s">
        <v>137</v>
      </c>
    </row>
    <row r="2355" spans="1:78" x14ac:dyDescent="0.2">
      <c r="A2355" t="s">
        <v>119</v>
      </c>
      <c r="B2355" t="s">
        <v>120</v>
      </c>
      <c r="C2355" t="s">
        <v>5376</v>
      </c>
      <c r="D2355">
        <v>5</v>
      </c>
      <c r="E2355" t="s">
        <v>4341</v>
      </c>
      <c r="F2355" t="s">
        <v>773</v>
      </c>
      <c r="G2355" t="s">
        <v>124</v>
      </c>
      <c r="H2355" t="s">
        <v>125</v>
      </c>
      <c r="I2355">
        <v>8</v>
      </c>
      <c r="J2355" t="s">
        <v>268</v>
      </c>
      <c r="K2355" t="s">
        <v>125</v>
      </c>
      <c r="L2355" t="s">
        <v>5377</v>
      </c>
      <c r="U2355" t="s">
        <v>149</v>
      </c>
      <c r="W2355" t="s">
        <v>155</v>
      </c>
      <c r="X2355">
        <v>3</v>
      </c>
      <c r="AC2355" t="s">
        <v>136</v>
      </c>
      <c r="AE2355" t="s">
        <v>137</v>
      </c>
    </row>
    <row r="2356" spans="1:78" hidden="1" x14ac:dyDescent="0.2">
      <c r="A2356" t="s">
        <v>119</v>
      </c>
      <c r="B2356" t="s">
        <v>120</v>
      </c>
      <c r="C2356" t="s">
        <v>5376</v>
      </c>
      <c r="D2356">
        <v>12</v>
      </c>
      <c r="E2356" t="s">
        <v>5378</v>
      </c>
      <c r="F2356" t="s">
        <v>5379</v>
      </c>
      <c r="G2356" t="s">
        <v>124</v>
      </c>
      <c r="H2356" t="s">
        <v>125</v>
      </c>
      <c r="I2356">
        <v>8</v>
      </c>
      <c r="J2356" t="s">
        <v>264</v>
      </c>
      <c r="K2356" t="s">
        <v>125</v>
      </c>
      <c r="L2356" t="s">
        <v>5380</v>
      </c>
      <c r="U2356" t="s">
        <v>309</v>
      </c>
      <c r="W2356" t="s">
        <v>155</v>
      </c>
      <c r="X2356">
        <v>3</v>
      </c>
      <c r="AC2356" t="s">
        <v>209</v>
      </c>
      <c r="AE2356" t="s">
        <v>137</v>
      </c>
    </row>
    <row r="2357" spans="1:78" x14ac:dyDescent="0.2">
      <c r="A2357" t="s">
        <v>119</v>
      </c>
      <c r="B2357" t="s">
        <v>120</v>
      </c>
      <c r="C2357" t="s">
        <v>5381</v>
      </c>
      <c r="D2357">
        <v>8</v>
      </c>
      <c r="E2357" t="s">
        <v>232</v>
      </c>
      <c r="F2357" t="s">
        <v>205</v>
      </c>
      <c r="G2357" t="s">
        <v>124</v>
      </c>
      <c r="H2357" t="s">
        <v>125</v>
      </c>
      <c r="I2357">
        <v>6</v>
      </c>
      <c r="J2357" t="s">
        <v>170</v>
      </c>
      <c r="K2357" t="s">
        <v>125</v>
      </c>
      <c r="L2357" t="s">
        <v>5382</v>
      </c>
      <c r="U2357" t="s">
        <v>149</v>
      </c>
      <c r="W2357" t="s">
        <v>155</v>
      </c>
      <c r="X2357">
        <v>1</v>
      </c>
      <c r="AC2357" t="s">
        <v>136</v>
      </c>
      <c r="AE2357" t="s">
        <v>137</v>
      </c>
    </row>
    <row r="2358" spans="1:78" hidden="1" x14ac:dyDescent="0.2">
      <c r="A2358" t="s">
        <v>119</v>
      </c>
      <c r="B2358" t="s">
        <v>120</v>
      </c>
      <c r="C2358" t="s">
        <v>5381</v>
      </c>
      <c r="D2358">
        <v>9</v>
      </c>
      <c r="E2358" t="s">
        <v>1148</v>
      </c>
      <c r="F2358" t="s">
        <v>1149</v>
      </c>
      <c r="G2358" t="s">
        <v>124</v>
      </c>
      <c r="H2358" t="s">
        <v>125</v>
      </c>
      <c r="I2358">
        <v>0</v>
      </c>
      <c r="J2358" t="s">
        <v>126</v>
      </c>
      <c r="K2358" t="s">
        <v>125</v>
      </c>
      <c r="L2358" t="s">
        <v>5383</v>
      </c>
    </row>
    <row r="2359" spans="1:78" hidden="1" x14ac:dyDescent="0.2">
      <c r="A2359" t="s">
        <v>119</v>
      </c>
      <c r="B2359" t="s">
        <v>120</v>
      </c>
      <c r="C2359" t="s">
        <v>5381</v>
      </c>
      <c r="D2359">
        <v>11</v>
      </c>
      <c r="E2359" t="s">
        <v>5384</v>
      </c>
      <c r="F2359" t="s">
        <v>123</v>
      </c>
      <c r="G2359" t="s">
        <v>124</v>
      </c>
      <c r="H2359" t="s">
        <v>125</v>
      </c>
      <c r="I2359">
        <v>9</v>
      </c>
      <c r="J2359" t="s">
        <v>264</v>
      </c>
      <c r="K2359" t="s">
        <v>125</v>
      </c>
      <c r="L2359" t="s">
        <v>5385</v>
      </c>
      <c r="U2359" t="s">
        <v>309</v>
      </c>
      <c r="W2359" t="s">
        <v>155</v>
      </c>
      <c r="X2359">
        <v>3</v>
      </c>
      <c r="AC2359" t="s">
        <v>209</v>
      </c>
      <c r="AE2359" t="s">
        <v>137</v>
      </c>
    </row>
    <row r="2360" spans="1:78" x14ac:dyDescent="0.2">
      <c r="A2360" t="s">
        <v>119</v>
      </c>
      <c r="B2360" t="s">
        <v>120</v>
      </c>
      <c r="C2360" t="s">
        <v>5386</v>
      </c>
      <c r="D2360">
        <v>1</v>
      </c>
      <c r="E2360" t="s">
        <v>232</v>
      </c>
      <c r="F2360" t="s">
        <v>205</v>
      </c>
      <c r="G2360" t="s">
        <v>124</v>
      </c>
      <c r="H2360" t="s">
        <v>125</v>
      </c>
      <c r="I2360">
        <v>0</v>
      </c>
      <c r="J2360" t="s">
        <v>126</v>
      </c>
      <c r="K2360" t="s">
        <v>125</v>
      </c>
      <c r="L2360" t="s">
        <v>5387</v>
      </c>
      <c r="U2360" t="s">
        <v>149</v>
      </c>
      <c r="W2360" t="s">
        <v>155</v>
      </c>
      <c r="X2360">
        <v>1</v>
      </c>
      <c r="AC2360" t="s">
        <v>136</v>
      </c>
      <c r="AE2360" t="s">
        <v>137</v>
      </c>
    </row>
    <row r="2361" spans="1:78" x14ac:dyDescent="0.2">
      <c r="A2361" t="s">
        <v>119</v>
      </c>
      <c r="B2361" t="s">
        <v>120</v>
      </c>
      <c r="C2361" t="s">
        <v>5386</v>
      </c>
      <c r="D2361">
        <v>6</v>
      </c>
      <c r="E2361" t="s">
        <v>232</v>
      </c>
      <c r="F2361" t="s">
        <v>205</v>
      </c>
      <c r="G2361" t="s">
        <v>124</v>
      </c>
      <c r="H2361" t="s">
        <v>125</v>
      </c>
      <c r="I2361">
        <v>1</v>
      </c>
      <c r="J2361" t="s">
        <v>161</v>
      </c>
      <c r="K2361" t="s">
        <v>125</v>
      </c>
      <c r="L2361" t="s">
        <v>5388</v>
      </c>
      <c r="U2361" t="s">
        <v>149</v>
      </c>
      <c r="W2361" t="s">
        <v>155</v>
      </c>
      <c r="X2361">
        <v>1</v>
      </c>
      <c r="AC2361" t="s">
        <v>136</v>
      </c>
      <c r="AE2361" t="s">
        <v>137</v>
      </c>
    </row>
    <row r="2362" spans="1:78" hidden="1" x14ac:dyDescent="0.2">
      <c r="A2362" t="s">
        <v>119</v>
      </c>
      <c r="B2362" t="s">
        <v>120</v>
      </c>
      <c r="C2362" t="s">
        <v>5389</v>
      </c>
      <c r="D2362">
        <v>5</v>
      </c>
      <c r="E2362" t="s">
        <v>261</v>
      </c>
      <c r="F2362" t="s">
        <v>261</v>
      </c>
      <c r="G2362" t="s">
        <v>124</v>
      </c>
      <c r="H2362" t="s">
        <v>125</v>
      </c>
      <c r="I2362">
        <v>3</v>
      </c>
      <c r="J2362" t="s">
        <v>268</v>
      </c>
      <c r="K2362" t="s">
        <v>125</v>
      </c>
      <c r="L2362" t="s">
        <v>2815</v>
      </c>
      <c r="AE2362" t="s">
        <v>128</v>
      </c>
    </row>
    <row r="2363" spans="1:78" hidden="1" x14ac:dyDescent="0.2">
      <c r="A2363" t="s">
        <v>119</v>
      </c>
      <c r="B2363" t="s">
        <v>120</v>
      </c>
      <c r="C2363" t="s">
        <v>5390</v>
      </c>
      <c r="D2363">
        <v>7</v>
      </c>
      <c r="E2363" t="s">
        <v>261</v>
      </c>
      <c r="F2363" t="s">
        <v>261</v>
      </c>
      <c r="G2363" t="s">
        <v>124</v>
      </c>
      <c r="H2363" t="s">
        <v>125</v>
      </c>
      <c r="I2363">
        <v>4</v>
      </c>
      <c r="J2363" t="s">
        <v>268</v>
      </c>
      <c r="K2363" t="s">
        <v>125</v>
      </c>
      <c r="L2363" t="s">
        <v>5391</v>
      </c>
      <c r="AE2363" t="s">
        <v>128</v>
      </c>
    </row>
    <row r="2364" spans="1:78" x14ac:dyDescent="0.2">
      <c r="A2364" t="s">
        <v>119</v>
      </c>
      <c r="B2364" t="s">
        <v>120</v>
      </c>
      <c r="C2364" t="s">
        <v>5390</v>
      </c>
      <c r="D2364">
        <v>11</v>
      </c>
      <c r="E2364" t="s">
        <v>1449</v>
      </c>
      <c r="F2364" t="s">
        <v>1450</v>
      </c>
      <c r="G2364" t="s">
        <v>124</v>
      </c>
      <c r="H2364" t="s">
        <v>125</v>
      </c>
      <c r="I2364">
        <v>7</v>
      </c>
      <c r="J2364" t="s">
        <v>264</v>
      </c>
      <c r="K2364" t="s">
        <v>125</v>
      </c>
      <c r="L2364" t="s">
        <v>5392</v>
      </c>
      <c r="U2364" t="s">
        <v>149</v>
      </c>
      <c r="W2364" t="s">
        <v>135</v>
      </c>
      <c r="X2364">
        <v>3</v>
      </c>
      <c r="AC2364" t="s">
        <v>136</v>
      </c>
      <c r="AE2364" t="s">
        <v>137</v>
      </c>
    </row>
    <row r="2365" spans="1:78" x14ac:dyDescent="0.2">
      <c r="A2365" t="s">
        <v>119</v>
      </c>
      <c r="B2365" t="s">
        <v>120</v>
      </c>
      <c r="C2365" t="s">
        <v>5390</v>
      </c>
      <c r="D2365">
        <v>15</v>
      </c>
      <c r="E2365" t="s">
        <v>5393</v>
      </c>
      <c r="F2365" t="s">
        <v>4498</v>
      </c>
      <c r="G2365" t="s">
        <v>124</v>
      </c>
      <c r="H2365" t="s">
        <v>125</v>
      </c>
      <c r="I2365">
        <v>11</v>
      </c>
      <c r="J2365" t="s">
        <v>268</v>
      </c>
      <c r="K2365" t="s">
        <v>125</v>
      </c>
      <c r="L2365" t="s">
        <v>5394</v>
      </c>
      <c r="U2365" t="s">
        <v>149</v>
      </c>
      <c r="W2365" t="s">
        <v>155</v>
      </c>
      <c r="X2365">
        <v>1</v>
      </c>
      <c r="AC2365" t="s">
        <v>136</v>
      </c>
      <c r="AE2365" t="s">
        <v>137</v>
      </c>
    </row>
    <row r="2366" spans="1:78" x14ac:dyDescent="0.2">
      <c r="A2366" t="s">
        <v>119</v>
      </c>
      <c r="B2366" t="s">
        <v>120</v>
      </c>
      <c r="C2366" t="s">
        <v>5390</v>
      </c>
      <c r="D2366">
        <v>19</v>
      </c>
      <c r="E2366" t="s">
        <v>5283</v>
      </c>
      <c r="F2366" t="s">
        <v>186</v>
      </c>
      <c r="G2366" t="s">
        <v>124</v>
      </c>
      <c r="H2366" t="s">
        <v>125</v>
      </c>
      <c r="I2366">
        <v>17</v>
      </c>
      <c r="J2366" t="s">
        <v>170</v>
      </c>
      <c r="K2366" t="s">
        <v>125</v>
      </c>
      <c r="L2366" t="s">
        <v>5395</v>
      </c>
      <c r="U2366" t="s">
        <v>149</v>
      </c>
      <c r="W2366" t="s">
        <v>155</v>
      </c>
      <c r="X2366">
        <v>1</v>
      </c>
      <c r="AC2366" t="s">
        <v>136</v>
      </c>
      <c r="AE2366" t="s">
        <v>137</v>
      </c>
    </row>
    <row r="2367" spans="1:78" x14ac:dyDescent="0.2">
      <c r="A2367" t="s">
        <v>119</v>
      </c>
      <c r="B2367" t="s">
        <v>120</v>
      </c>
      <c r="C2367" t="s">
        <v>5396</v>
      </c>
      <c r="D2367">
        <v>1</v>
      </c>
      <c r="E2367" t="s">
        <v>1148</v>
      </c>
      <c r="F2367" t="s">
        <v>1149</v>
      </c>
      <c r="G2367" t="s">
        <v>124</v>
      </c>
      <c r="H2367" t="s">
        <v>125</v>
      </c>
      <c r="I2367">
        <v>0</v>
      </c>
      <c r="J2367" t="s">
        <v>126</v>
      </c>
      <c r="K2367" t="s">
        <v>125</v>
      </c>
      <c r="L2367" t="s">
        <v>5397</v>
      </c>
      <c r="U2367" t="s">
        <v>149</v>
      </c>
      <c r="W2367" t="s">
        <v>135</v>
      </c>
      <c r="X2367">
        <v>3</v>
      </c>
      <c r="AC2367" t="s">
        <v>136</v>
      </c>
      <c r="AE2367" t="s">
        <v>137</v>
      </c>
    </row>
    <row r="2368" spans="1:78" x14ac:dyDescent="0.2">
      <c r="A2368" t="s">
        <v>119</v>
      </c>
      <c r="B2368" t="s">
        <v>120</v>
      </c>
      <c r="C2368" t="s">
        <v>5396</v>
      </c>
      <c r="D2368">
        <v>4</v>
      </c>
      <c r="E2368" t="s">
        <v>380</v>
      </c>
      <c r="F2368" t="s">
        <v>146</v>
      </c>
      <c r="G2368" t="s">
        <v>124</v>
      </c>
      <c r="H2368" t="s">
        <v>125</v>
      </c>
      <c r="I2368">
        <v>1</v>
      </c>
      <c r="J2368" t="s">
        <v>264</v>
      </c>
      <c r="K2368" t="s">
        <v>125</v>
      </c>
      <c r="L2368" t="s">
        <v>5398</v>
      </c>
      <c r="U2368" t="s">
        <v>309</v>
      </c>
      <c r="W2368" t="s">
        <v>135</v>
      </c>
      <c r="X2368">
        <v>3</v>
      </c>
      <c r="AC2368" t="s">
        <v>136</v>
      </c>
      <c r="AE2368" t="s">
        <v>137</v>
      </c>
    </row>
    <row r="2369" spans="1:78" x14ac:dyDescent="0.2">
      <c r="A2369" t="s">
        <v>119</v>
      </c>
      <c r="B2369" t="s">
        <v>120</v>
      </c>
      <c r="C2369" t="s">
        <v>5399</v>
      </c>
      <c r="D2369">
        <v>4</v>
      </c>
      <c r="E2369" t="s">
        <v>160</v>
      </c>
      <c r="F2369" t="s">
        <v>146</v>
      </c>
      <c r="G2369" t="s">
        <v>124</v>
      </c>
      <c r="H2369" t="s">
        <v>125</v>
      </c>
      <c r="I2369">
        <v>1</v>
      </c>
      <c r="J2369" t="s">
        <v>170</v>
      </c>
      <c r="K2369" t="s">
        <v>125</v>
      </c>
      <c r="L2369" t="s">
        <v>5400</v>
      </c>
      <c r="U2369" t="s">
        <v>149</v>
      </c>
      <c r="W2369" t="s">
        <v>135</v>
      </c>
      <c r="X2369">
        <v>1</v>
      </c>
      <c r="AC2369" t="s">
        <v>136</v>
      </c>
      <c r="AE2369" t="s">
        <v>137</v>
      </c>
    </row>
    <row r="2370" spans="1:78" hidden="1" x14ac:dyDescent="0.2">
      <c r="A2370" t="s">
        <v>119</v>
      </c>
      <c r="B2370" t="s">
        <v>120</v>
      </c>
      <c r="C2370" t="s">
        <v>5401</v>
      </c>
      <c r="D2370">
        <v>4</v>
      </c>
      <c r="E2370" t="s">
        <v>5402</v>
      </c>
      <c r="F2370" t="s">
        <v>4956</v>
      </c>
      <c r="G2370" t="s">
        <v>124</v>
      </c>
      <c r="H2370" t="s">
        <v>125</v>
      </c>
      <c r="I2370">
        <v>0</v>
      </c>
      <c r="J2370" t="s">
        <v>126</v>
      </c>
      <c r="K2370" t="s">
        <v>125</v>
      </c>
      <c r="L2370" t="s">
        <v>5403</v>
      </c>
      <c r="U2370" t="s">
        <v>149</v>
      </c>
      <c r="W2370" t="s">
        <v>155</v>
      </c>
      <c r="X2370">
        <v>3</v>
      </c>
      <c r="AC2370" t="s">
        <v>209</v>
      </c>
      <c r="AE2370" t="s">
        <v>137</v>
      </c>
    </row>
    <row r="2371" spans="1:78" hidden="1" x14ac:dyDescent="0.2">
      <c r="A2371" t="s">
        <v>119</v>
      </c>
      <c r="B2371" t="s">
        <v>120</v>
      </c>
      <c r="C2371" t="s">
        <v>5404</v>
      </c>
      <c r="D2371">
        <v>3</v>
      </c>
      <c r="E2371" t="s">
        <v>1237</v>
      </c>
      <c r="F2371" t="s">
        <v>123</v>
      </c>
      <c r="G2371" t="s">
        <v>124</v>
      </c>
      <c r="H2371" t="s">
        <v>125</v>
      </c>
      <c r="I2371">
        <v>0</v>
      </c>
      <c r="J2371" t="s">
        <v>126</v>
      </c>
      <c r="K2371" t="s">
        <v>125</v>
      </c>
      <c r="L2371" t="s">
        <v>5405</v>
      </c>
      <c r="U2371" t="s">
        <v>149</v>
      </c>
      <c r="W2371" t="s">
        <v>155</v>
      </c>
      <c r="X2371">
        <v>3</v>
      </c>
      <c r="AC2371" t="s">
        <v>209</v>
      </c>
      <c r="AE2371" t="s">
        <v>137</v>
      </c>
    </row>
    <row r="2372" spans="1:78" hidden="1" x14ac:dyDescent="0.2">
      <c r="A2372" t="s">
        <v>119</v>
      </c>
      <c r="B2372" t="s">
        <v>120</v>
      </c>
      <c r="C2372" t="s">
        <v>5406</v>
      </c>
      <c r="D2372">
        <v>2</v>
      </c>
      <c r="E2372" t="s">
        <v>3222</v>
      </c>
      <c r="F2372" t="s">
        <v>1651</v>
      </c>
      <c r="G2372" t="s">
        <v>124</v>
      </c>
      <c r="H2372" t="s">
        <v>125</v>
      </c>
      <c r="I2372">
        <v>0</v>
      </c>
      <c r="J2372" t="s">
        <v>126</v>
      </c>
      <c r="K2372" t="s">
        <v>125</v>
      </c>
      <c r="L2372" t="s">
        <v>5407</v>
      </c>
      <c r="T2372" t="s">
        <v>154</v>
      </c>
      <c r="W2372" t="s">
        <v>135</v>
      </c>
      <c r="AC2372" t="s">
        <v>143</v>
      </c>
      <c r="AE2372" t="s">
        <v>144</v>
      </c>
      <c r="AG2372">
        <v>1</v>
      </c>
      <c r="AH2372" t="s">
        <v>232</v>
      </c>
      <c r="AI2372" t="s">
        <v>205</v>
      </c>
      <c r="AJ2372" t="s">
        <v>131</v>
      </c>
      <c r="AK2372" t="s">
        <v>125</v>
      </c>
      <c r="AL2372">
        <v>2</v>
      </c>
      <c r="AM2372" t="s">
        <v>132</v>
      </c>
      <c r="AN2372" t="s">
        <v>125</v>
      </c>
      <c r="AO2372" t="s">
        <v>5408</v>
      </c>
      <c r="BP2372" t="s">
        <v>209</v>
      </c>
      <c r="BR2372" t="s">
        <v>155</v>
      </c>
      <c r="BS2372">
        <v>1</v>
      </c>
      <c r="BX2372" t="s">
        <v>136</v>
      </c>
      <c r="BZ2372" t="s">
        <v>137</v>
      </c>
    </row>
    <row r="2373" spans="1:78" hidden="1" x14ac:dyDescent="0.2">
      <c r="A2373" t="s">
        <v>119</v>
      </c>
      <c r="B2373" t="s">
        <v>120</v>
      </c>
      <c r="C2373" t="s">
        <v>5409</v>
      </c>
      <c r="D2373">
        <v>3</v>
      </c>
      <c r="E2373" t="s">
        <v>5410</v>
      </c>
      <c r="F2373" t="s">
        <v>5410</v>
      </c>
      <c r="G2373" t="s">
        <v>124</v>
      </c>
      <c r="H2373" t="s">
        <v>125</v>
      </c>
      <c r="I2373">
        <v>0</v>
      </c>
      <c r="J2373" t="s">
        <v>126</v>
      </c>
      <c r="K2373" t="s">
        <v>125</v>
      </c>
      <c r="L2373" t="s">
        <v>5411</v>
      </c>
      <c r="AE2373" t="s">
        <v>128</v>
      </c>
      <c r="AG2373">
        <v>2</v>
      </c>
      <c r="AH2373" t="s">
        <v>3461</v>
      </c>
      <c r="AI2373" t="s">
        <v>572</v>
      </c>
      <c r="AJ2373" t="s">
        <v>131</v>
      </c>
      <c r="AK2373" t="s">
        <v>125</v>
      </c>
      <c r="AL2373">
        <v>3</v>
      </c>
      <c r="AM2373" t="s">
        <v>132</v>
      </c>
      <c r="AN2373" t="s">
        <v>125</v>
      </c>
      <c r="AO2373" t="s">
        <v>2835</v>
      </c>
      <c r="BP2373" t="s">
        <v>149</v>
      </c>
      <c r="BR2373" t="s">
        <v>155</v>
      </c>
      <c r="BS2373">
        <v>1</v>
      </c>
      <c r="BX2373" t="s">
        <v>136</v>
      </c>
      <c r="BZ2373" t="s">
        <v>137</v>
      </c>
    </row>
    <row r="2374" spans="1:78" x14ac:dyDescent="0.2">
      <c r="A2374" t="s">
        <v>119</v>
      </c>
      <c r="B2374" t="s">
        <v>120</v>
      </c>
      <c r="C2374" t="s">
        <v>5409</v>
      </c>
      <c r="D2374">
        <v>8</v>
      </c>
      <c r="E2374" t="s">
        <v>5412</v>
      </c>
      <c r="F2374" t="s">
        <v>5413</v>
      </c>
      <c r="G2374" t="s">
        <v>124</v>
      </c>
      <c r="H2374" t="s">
        <v>125</v>
      </c>
      <c r="I2374">
        <v>3</v>
      </c>
      <c r="J2374" t="s">
        <v>161</v>
      </c>
      <c r="K2374" t="s">
        <v>125</v>
      </c>
      <c r="L2374" t="s">
        <v>5414</v>
      </c>
      <c r="U2374" t="s">
        <v>149</v>
      </c>
      <c r="W2374" t="s">
        <v>135</v>
      </c>
      <c r="X2374">
        <v>1</v>
      </c>
      <c r="AC2374" t="s">
        <v>136</v>
      </c>
      <c r="AE2374" t="s">
        <v>137</v>
      </c>
      <c r="AG2374">
        <v>7</v>
      </c>
      <c r="AH2374" t="s">
        <v>232</v>
      </c>
      <c r="AI2374" t="s">
        <v>205</v>
      </c>
      <c r="AJ2374" t="s">
        <v>131</v>
      </c>
      <c r="AK2374" t="s">
        <v>125</v>
      </c>
      <c r="AL2374">
        <v>8</v>
      </c>
      <c r="AM2374" t="s">
        <v>132</v>
      </c>
      <c r="AN2374" t="s">
        <v>125</v>
      </c>
      <c r="AO2374" t="s">
        <v>5415</v>
      </c>
      <c r="BP2374" t="s">
        <v>209</v>
      </c>
      <c r="BR2374" t="s">
        <v>155</v>
      </c>
      <c r="BS2374">
        <v>1</v>
      </c>
      <c r="BX2374" t="s">
        <v>136</v>
      </c>
      <c r="BZ2374" t="s">
        <v>137</v>
      </c>
    </row>
    <row r="2375" spans="1:78" x14ac:dyDescent="0.2">
      <c r="A2375" t="s">
        <v>119</v>
      </c>
      <c r="B2375" t="s">
        <v>120</v>
      </c>
      <c r="C2375" t="s">
        <v>5416</v>
      </c>
      <c r="D2375">
        <v>1</v>
      </c>
      <c r="E2375" t="s">
        <v>3758</v>
      </c>
      <c r="F2375" t="s">
        <v>811</v>
      </c>
      <c r="G2375" t="s">
        <v>124</v>
      </c>
      <c r="H2375" t="s">
        <v>125</v>
      </c>
      <c r="I2375">
        <v>0</v>
      </c>
      <c r="J2375" t="s">
        <v>126</v>
      </c>
      <c r="K2375" t="s">
        <v>125</v>
      </c>
      <c r="L2375" t="s">
        <v>5417</v>
      </c>
      <c r="U2375" t="s">
        <v>209</v>
      </c>
      <c r="W2375" t="s">
        <v>135</v>
      </c>
      <c r="X2375">
        <v>2</v>
      </c>
      <c r="AC2375" t="s">
        <v>136</v>
      </c>
      <c r="AE2375" t="s">
        <v>137</v>
      </c>
    </row>
    <row r="2376" spans="1:78" hidden="1" x14ac:dyDescent="0.2">
      <c r="A2376" t="s">
        <v>119</v>
      </c>
      <c r="B2376" t="s">
        <v>120</v>
      </c>
      <c r="C2376" t="s">
        <v>5416</v>
      </c>
      <c r="D2376">
        <v>9</v>
      </c>
      <c r="E2376" t="s">
        <v>5418</v>
      </c>
      <c r="F2376" t="s">
        <v>2918</v>
      </c>
      <c r="G2376" t="s">
        <v>124</v>
      </c>
      <c r="H2376" t="s">
        <v>125</v>
      </c>
      <c r="I2376">
        <v>5</v>
      </c>
      <c r="J2376" t="s">
        <v>170</v>
      </c>
      <c r="K2376" t="s">
        <v>125</v>
      </c>
      <c r="L2376" t="s">
        <v>5419</v>
      </c>
      <c r="U2376" t="s">
        <v>149</v>
      </c>
      <c r="W2376" t="s">
        <v>155</v>
      </c>
      <c r="X2376">
        <v>1</v>
      </c>
      <c r="AC2376" t="s">
        <v>903</v>
      </c>
      <c r="AE2376" t="s">
        <v>137</v>
      </c>
    </row>
    <row r="2377" spans="1:78" x14ac:dyDescent="0.2">
      <c r="A2377" t="s">
        <v>119</v>
      </c>
      <c r="B2377" t="s">
        <v>120</v>
      </c>
      <c r="C2377" t="s">
        <v>5420</v>
      </c>
      <c r="D2377">
        <v>5</v>
      </c>
      <c r="E2377" t="s">
        <v>3898</v>
      </c>
      <c r="F2377" t="s">
        <v>2774</v>
      </c>
      <c r="G2377" t="s">
        <v>124</v>
      </c>
      <c r="H2377" t="s">
        <v>125</v>
      </c>
      <c r="I2377">
        <v>12</v>
      </c>
      <c r="J2377" t="s">
        <v>268</v>
      </c>
      <c r="K2377" t="s">
        <v>125</v>
      </c>
      <c r="L2377" t="s">
        <v>5421</v>
      </c>
      <c r="U2377" t="s">
        <v>149</v>
      </c>
      <c r="W2377" t="s">
        <v>135</v>
      </c>
      <c r="X2377">
        <v>3</v>
      </c>
      <c r="AC2377" t="s">
        <v>136</v>
      </c>
      <c r="AE2377" t="s">
        <v>137</v>
      </c>
    </row>
    <row r="2378" spans="1:78" x14ac:dyDescent="0.2">
      <c r="A2378" t="s">
        <v>119</v>
      </c>
      <c r="B2378" t="s">
        <v>120</v>
      </c>
      <c r="C2378" t="s">
        <v>5422</v>
      </c>
      <c r="D2378">
        <v>13</v>
      </c>
      <c r="E2378" t="s">
        <v>5283</v>
      </c>
      <c r="F2378" t="s">
        <v>186</v>
      </c>
      <c r="G2378" t="s">
        <v>124</v>
      </c>
      <c r="H2378" t="s">
        <v>125</v>
      </c>
      <c r="I2378">
        <v>0</v>
      </c>
      <c r="J2378" t="s">
        <v>126</v>
      </c>
      <c r="K2378" t="s">
        <v>125</v>
      </c>
      <c r="L2378" t="s">
        <v>5423</v>
      </c>
      <c r="U2378" t="s">
        <v>149</v>
      </c>
      <c r="W2378" t="s">
        <v>155</v>
      </c>
      <c r="X2378">
        <v>1</v>
      </c>
      <c r="AC2378" t="s">
        <v>136</v>
      </c>
      <c r="AE2378" t="s">
        <v>137</v>
      </c>
    </row>
    <row r="2379" spans="1:78" x14ac:dyDescent="0.2">
      <c r="A2379" t="s">
        <v>119</v>
      </c>
      <c r="B2379" t="s">
        <v>120</v>
      </c>
      <c r="C2379" t="s">
        <v>5422</v>
      </c>
      <c r="D2379">
        <v>22</v>
      </c>
      <c r="E2379" t="s">
        <v>914</v>
      </c>
      <c r="F2379" t="s">
        <v>915</v>
      </c>
      <c r="G2379" t="s">
        <v>124</v>
      </c>
      <c r="H2379" t="s">
        <v>125</v>
      </c>
      <c r="I2379">
        <v>18</v>
      </c>
      <c r="J2379" t="s">
        <v>161</v>
      </c>
      <c r="K2379" t="s">
        <v>125</v>
      </c>
      <c r="L2379" t="s">
        <v>5424</v>
      </c>
      <c r="U2379" t="s">
        <v>149</v>
      </c>
      <c r="W2379" t="s">
        <v>135</v>
      </c>
      <c r="X2379">
        <v>3</v>
      </c>
      <c r="AC2379" t="s">
        <v>136</v>
      </c>
      <c r="AE2379" t="s">
        <v>137</v>
      </c>
    </row>
    <row r="2380" spans="1:78" hidden="1" x14ac:dyDescent="0.2">
      <c r="A2380" t="s">
        <v>119</v>
      </c>
      <c r="B2380" t="s">
        <v>120</v>
      </c>
      <c r="C2380" t="s">
        <v>5425</v>
      </c>
      <c r="D2380">
        <v>4</v>
      </c>
      <c r="E2380" t="s">
        <v>512</v>
      </c>
      <c r="F2380" t="s">
        <v>146</v>
      </c>
      <c r="G2380" t="s">
        <v>124</v>
      </c>
      <c r="H2380" t="s">
        <v>125</v>
      </c>
      <c r="I2380">
        <v>0</v>
      </c>
      <c r="J2380" t="s">
        <v>126</v>
      </c>
      <c r="K2380" t="s">
        <v>125</v>
      </c>
      <c r="L2380" t="s">
        <v>5426</v>
      </c>
      <c r="U2380" t="s">
        <v>149</v>
      </c>
      <c r="W2380" t="s">
        <v>155</v>
      </c>
      <c r="X2380">
        <v>3</v>
      </c>
      <c r="AC2380" t="s">
        <v>209</v>
      </c>
      <c r="AE2380" t="s">
        <v>137</v>
      </c>
    </row>
    <row r="2381" spans="1:78" hidden="1" x14ac:dyDescent="0.2">
      <c r="A2381" t="s">
        <v>119</v>
      </c>
      <c r="B2381" t="s">
        <v>120</v>
      </c>
      <c r="C2381" t="s">
        <v>5427</v>
      </c>
      <c r="D2381">
        <v>4</v>
      </c>
      <c r="E2381" t="s">
        <v>512</v>
      </c>
      <c r="F2381" t="s">
        <v>146</v>
      </c>
      <c r="G2381" t="s">
        <v>124</v>
      </c>
      <c r="H2381" t="s">
        <v>125</v>
      </c>
      <c r="I2381">
        <v>0</v>
      </c>
      <c r="J2381" t="s">
        <v>126</v>
      </c>
      <c r="K2381" t="s">
        <v>125</v>
      </c>
      <c r="L2381" t="s">
        <v>5428</v>
      </c>
      <c r="U2381" t="s">
        <v>149</v>
      </c>
      <c r="W2381" t="s">
        <v>155</v>
      </c>
      <c r="X2381">
        <v>3</v>
      </c>
      <c r="AC2381" t="s">
        <v>209</v>
      </c>
      <c r="AE2381" t="s">
        <v>137</v>
      </c>
    </row>
    <row r="2382" spans="1:78" hidden="1" x14ac:dyDescent="0.2">
      <c r="A2382" t="s">
        <v>119</v>
      </c>
      <c r="B2382" t="s">
        <v>120</v>
      </c>
      <c r="C2382" t="s">
        <v>5427</v>
      </c>
      <c r="D2382">
        <v>9</v>
      </c>
      <c r="E2382" t="s">
        <v>1399</v>
      </c>
      <c r="F2382" t="s">
        <v>1399</v>
      </c>
      <c r="G2382" t="s">
        <v>124</v>
      </c>
      <c r="H2382" t="s">
        <v>125</v>
      </c>
      <c r="I2382">
        <v>6</v>
      </c>
      <c r="J2382" t="s">
        <v>170</v>
      </c>
      <c r="K2382" t="s">
        <v>125</v>
      </c>
      <c r="L2382" t="s">
        <v>5429</v>
      </c>
      <c r="AE2382" t="s">
        <v>128</v>
      </c>
    </row>
    <row r="2383" spans="1:78" hidden="1" x14ac:dyDescent="0.2">
      <c r="A2383" t="s">
        <v>119</v>
      </c>
      <c r="B2383" t="s">
        <v>120</v>
      </c>
      <c r="C2383" t="s">
        <v>5427</v>
      </c>
      <c r="D2383">
        <v>12</v>
      </c>
      <c r="E2383" t="s">
        <v>1444</v>
      </c>
      <c r="F2383" t="s">
        <v>350</v>
      </c>
      <c r="G2383" t="s">
        <v>124</v>
      </c>
      <c r="H2383" t="s">
        <v>125</v>
      </c>
      <c r="I2383">
        <v>9</v>
      </c>
      <c r="J2383" t="s">
        <v>161</v>
      </c>
      <c r="K2383" t="s">
        <v>125</v>
      </c>
      <c r="L2383" t="s">
        <v>5430</v>
      </c>
      <c r="T2383" t="s">
        <v>142</v>
      </c>
      <c r="W2383" t="s">
        <v>135</v>
      </c>
      <c r="AC2383" t="s">
        <v>143</v>
      </c>
      <c r="AE2383" t="s">
        <v>144</v>
      </c>
      <c r="AG2383">
        <v>11</v>
      </c>
      <c r="AH2383" t="s">
        <v>160</v>
      </c>
      <c r="AI2383" t="s">
        <v>146</v>
      </c>
      <c r="AJ2383" t="s">
        <v>131</v>
      </c>
      <c r="AK2383" t="s">
        <v>125</v>
      </c>
      <c r="AL2383">
        <v>12</v>
      </c>
      <c r="AM2383" t="s">
        <v>132</v>
      </c>
      <c r="AN2383" t="s">
        <v>125</v>
      </c>
      <c r="AO2383" t="s">
        <v>5431</v>
      </c>
      <c r="BP2383" t="s">
        <v>149</v>
      </c>
      <c r="BR2383" t="s">
        <v>135</v>
      </c>
      <c r="BS2383">
        <v>1</v>
      </c>
      <c r="BX2383" t="s">
        <v>136</v>
      </c>
      <c r="BZ2383" t="s">
        <v>137</v>
      </c>
    </row>
    <row r="2384" spans="1:78" x14ac:dyDescent="0.2">
      <c r="A2384" t="s">
        <v>119</v>
      </c>
      <c r="B2384" t="s">
        <v>120</v>
      </c>
      <c r="C2384" t="s">
        <v>5432</v>
      </c>
      <c r="D2384">
        <v>2</v>
      </c>
      <c r="E2384" t="s">
        <v>3913</v>
      </c>
      <c r="F2384" t="s">
        <v>202</v>
      </c>
      <c r="G2384" t="s">
        <v>124</v>
      </c>
      <c r="H2384" t="s">
        <v>125</v>
      </c>
      <c r="I2384">
        <v>0</v>
      </c>
      <c r="J2384" t="s">
        <v>126</v>
      </c>
      <c r="K2384" t="s">
        <v>125</v>
      </c>
      <c r="L2384" t="s">
        <v>5433</v>
      </c>
      <c r="U2384" t="s">
        <v>149</v>
      </c>
      <c r="W2384" t="s">
        <v>155</v>
      </c>
      <c r="X2384">
        <v>1</v>
      </c>
      <c r="AC2384" t="s">
        <v>136</v>
      </c>
      <c r="AE2384" t="s">
        <v>137</v>
      </c>
    </row>
    <row r="2385" spans="1:78" hidden="1" x14ac:dyDescent="0.2">
      <c r="A2385" t="s">
        <v>119</v>
      </c>
      <c r="B2385" t="s">
        <v>120</v>
      </c>
      <c r="C2385" t="s">
        <v>5434</v>
      </c>
      <c r="D2385">
        <v>2</v>
      </c>
      <c r="E2385" t="s">
        <v>407</v>
      </c>
      <c r="F2385" t="s">
        <v>140</v>
      </c>
      <c r="G2385" t="s">
        <v>124</v>
      </c>
      <c r="H2385" t="s">
        <v>125</v>
      </c>
      <c r="I2385">
        <v>0</v>
      </c>
      <c r="J2385" t="s">
        <v>126</v>
      </c>
      <c r="K2385" t="s">
        <v>125</v>
      </c>
      <c r="L2385" t="s">
        <v>5435</v>
      </c>
      <c r="T2385" t="s">
        <v>154</v>
      </c>
      <c r="W2385" t="s">
        <v>135</v>
      </c>
      <c r="AC2385" t="s">
        <v>143</v>
      </c>
      <c r="AE2385" t="s">
        <v>144</v>
      </c>
      <c r="AG2385">
        <v>1</v>
      </c>
      <c r="AH2385" t="s">
        <v>614</v>
      </c>
      <c r="AI2385" t="s">
        <v>205</v>
      </c>
      <c r="AJ2385" t="s">
        <v>131</v>
      </c>
      <c r="AK2385" t="s">
        <v>125</v>
      </c>
      <c r="AL2385">
        <v>2</v>
      </c>
      <c r="AM2385" t="s">
        <v>132</v>
      </c>
      <c r="AN2385" t="s">
        <v>125</v>
      </c>
      <c r="AO2385" t="s">
        <v>5436</v>
      </c>
      <c r="BP2385" t="s">
        <v>149</v>
      </c>
      <c r="BR2385" t="s">
        <v>135</v>
      </c>
      <c r="BS2385">
        <v>3</v>
      </c>
      <c r="BX2385" t="s">
        <v>136</v>
      </c>
      <c r="BZ2385" t="s">
        <v>137</v>
      </c>
    </row>
  </sheetData>
  <autoFilter ref="A1:DO2385" xr:uid="{CF0EDDAA-53B1-9545-A5B1-DC834C25804A}">
    <filterColumn colId="28">
      <filters>
        <filter val="Pr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2F0E-E437-714F-AE22-34A7A3730500}">
  <dimension ref="A38:H48"/>
  <sheetViews>
    <sheetView topLeftCell="A41" zoomScale="119" workbookViewId="0">
      <selection activeCell="A44" sqref="A44:A48"/>
    </sheetView>
  </sheetViews>
  <sheetFormatPr baseColWidth="10" defaultRowHeight="16" x14ac:dyDescent="0.2"/>
  <sheetData>
    <row r="38" spans="1:8" x14ac:dyDescent="0.2">
      <c r="E38">
        <v>2384</v>
      </c>
    </row>
    <row r="40" spans="1:8" x14ac:dyDescent="0.2">
      <c r="B40" t="s">
        <v>5449</v>
      </c>
      <c r="C40" t="s">
        <v>5450</v>
      </c>
      <c r="D40" t="s">
        <v>5451</v>
      </c>
      <c r="E40" t="s">
        <v>5452</v>
      </c>
      <c r="F40" t="s">
        <v>5453</v>
      </c>
      <c r="G40" t="s">
        <v>5454</v>
      </c>
    </row>
    <row r="41" spans="1:8" x14ac:dyDescent="0.2">
      <c r="B41">
        <v>275</v>
      </c>
      <c r="C41">
        <v>149</v>
      </c>
      <c r="D41">
        <v>132</v>
      </c>
      <c r="E41">
        <v>60</v>
      </c>
      <c r="F41">
        <v>651</v>
      </c>
      <c r="G41">
        <v>241</v>
      </c>
      <c r="H41">
        <f>SUM(B41:G41)</f>
        <v>1508</v>
      </c>
    </row>
    <row r="42" spans="1:8" x14ac:dyDescent="0.2">
      <c r="A42" t="s">
        <v>5443</v>
      </c>
      <c r="B42">
        <f>B41/1508*100</f>
        <v>18.23607427055703</v>
      </c>
      <c r="C42">
        <f t="shared" ref="C42:G42" si="0">C41/1508*100</f>
        <v>9.8806366047745353</v>
      </c>
      <c r="D42">
        <f t="shared" si="0"/>
        <v>8.7533156498673748</v>
      </c>
      <c r="E42">
        <f t="shared" si="0"/>
        <v>3.978779840848806</v>
      </c>
      <c r="F42">
        <f t="shared" si="0"/>
        <v>43.169761273209552</v>
      </c>
      <c r="G42">
        <f t="shared" si="0"/>
        <v>15.981432360742707</v>
      </c>
    </row>
    <row r="44" spans="1:8" x14ac:dyDescent="0.2">
      <c r="A44" t="s">
        <v>5443</v>
      </c>
      <c r="B44">
        <v>18.239999999999998</v>
      </c>
      <c r="C44">
        <v>9.8800000000000008</v>
      </c>
      <c r="D44">
        <v>8.75</v>
      </c>
      <c r="E44">
        <v>3.98</v>
      </c>
      <c r="F44">
        <v>43.17</v>
      </c>
      <c r="G44">
        <v>15.98</v>
      </c>
    </row>
    <row r="45" spans="1:8" x14ac:dyDescent="0.2">
      <c r="A45" t="s">
        <v>5444</v>
      </c>
      <c r="B45">
        <v>30.77</v>
      </c>
      <c r="C45">
        <v>3.11</v>
      </c>
      <c r="D45">
        <v>6.41</v>
      </c>
      <c r="E45">
        <v>2.2000000000000002</v>
      </c>
      <c r="F45">
        <v>46.89</v>
      </c>
      <c r="G45">
        <v>10.62</v>
      </c>
    </row>
    <row r="46" spans="1:8" x14ac:dyDescent="0.2">
      <c r="A46" t="s">
        <v>5446</v>
      </c>
      <c r="B46">
        <v>9.6199999999999992</v>
      </c>
      <c r="C46">
        <v>8.4499999999999993</v>
      </c>
      <c r="D46">
        <v>2.62</v>
      </c>
      <c r="E46">
        <v>7.29</v>
      </c>
      <c r="F46">
        <v>46.06</v>
      </c>
      <c r="G46">
        <v>25.95</v>
      </c>
    </row>
    <row r="47" spans="1:8" x14ac:dyDescent="0.2">
      <c r="A47" t="s">
        <v>5447</v>
      </c>
      <c r="B47">
        <v>11.83</v>
      </c>
      <c r="C47">
        <v>10.130000000000001</v>
      </c>
      <c r="D47">
        <v>0.55000000000000004</v>
      </c>
      <c r="E47">
        <v>0.49</v>
      </c>
      <c r="F47">
        <v>55.4</v>
      </c>
      <c r="G47">
        <v>21.6</v>
      </c>
    </row>
    <row r="48" spans="1:8" x14ac:dyDescent="0.2">
      <c r="A48" t="s">
        <v>5448</v>
      </c>
      <c r="B48">
        <v>5.45</v>
      </c>
      <c r="C48">
        <v>2.71</v>
      </c>
      <c r="D48">
        <v>2.66</v>
      </c>
      <c r="E48">
        <v>0.67</v>
      </c>
      <c r="F48">
        <v>65.88</v>
      </c>
      <c r="G48">
        <v>22.62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ABF7-D54A-3C4A-B326-04CCD72656E0}">
  <dimension ref="A15:M96"/>
  <sheetViews>
    <sheetView topLeftCell="A11" workbookViewId="0">
      <selection activeCell="M15" sqref="M15"/>
    </sheetView>
  </sheetViews>
  <sheetFormatPr baseColWidth="10" defaultRowHeight="16" x14ac:dyDescent="0.2"/>
  <sheetData>
    <row r="15" spans="12:13" x14ac:dyDescent="0.2">
      <c r="L15" t="s">
        <v>903</v>
      </c>
    </row>
    <row r="16" spans="12:13" x14ac:dyDescent="0.2">
      <c r="L16">
        <v>27</v>
      </c>
      <c r="M16">
        <v>202</v>
      </c>
    </row>
    <row r="18" spans="1:9" x14ac:dyDescent="0.2">
      <c r="A18" t="s">
        <v>5455</v>
      </c>
      <c r="B18" t="s">
        <v>5456</v>
      </c>
      <c r="C18" t="s">
        <v>5457</v>
      </c>
      <c r="D18" t="s">
        <v>5458</v>
      </c>
      <c r="E18" t="s">
        <v>5459</v>
      </c>
      <c r="F18" t="s">
        <v>5460</v>
      </c>
      <c r="G18" t="s">
        <v>5461</v>
      </c>
      <c r="H18" t="s">
        <v>5521</v>
      </c>
    </row>
    <row r="19" spans="1:9" x14ac:dyDescent="0.2">
      <c r="A19">
        <v>55</v>
      </c>
      <c r="B19">
        <f>1336+291+146</f>
        <v>1773</v>
      </c>
      <c r="C19">
        <v>94</v>
      </c>
      <c r="D19">
        <v>51</v>
      </c>
      <c r="E19">
        <v>24</v>
      </c>
      <c r="F19">
        <f>364+195</f>
        <v>559</v>
      </c>
      <c r="G19">
        <v>38</v>
      </c>
      <c r="H19">
        <v>22</v>
      </c>
    </row>
    <row r="20" spans="1:9" x14ac:dyDescent="0.2">
      <c r="A20">
        <f>A19/2616*100</f>
        <v>2.1024464831804281</v>
      </c>
      <c r="B20">
        <f t="shared" ref="B20:H20" si="0">B19/2616*100</f>
        <v>67.775229357798167</v>
      </c>
      <c r="C20">
        <f t="shared" si="0"/>
        <v>3.5932721712538225</v>
      </c>
      <c r="D20">
        <f t="shared" si="0"/>
        <v>1.9495412844036699</v>
      </c>
      <c r="E20">
        <f t="shared" si="0"/>
        <v>0.91743119266055051</v>
      </c>
      <c r="F20">
        <f t="shared" si="0"/>
        <v>21.368501529051986</v>
      </c>
      <c r="G20">
        <f t="shared" si="0"/>
        <v>1.452599388379205</v>
      </c>
      <c r="H20">
        <f t="shared" si="0"/>
        <v>0.84097859327217117</v>
      </c>
    </row>
    <row r="23" spans="1:9" x14ac:dyDescent="0.2">
      <c r="B23" t="s">
        <v>5456</v>
      </c>
      <c r="C23" t="s">
        <v>5455</v>
      </c>
      <c r="D23" t="s">
        <v>5458</v>
      </c>
      <c r="E23" t="s">
        <v>5457</v>
      </c>
      <c r="F23" t="s">
        <v>5498</v>
      </c>
      <c r="G23" t="s">
        <v>5459</v>
      </c>
      <c r="H23" t="s">
        <v>5460</v>
      </c>
      <c r="I23" t="s">
        <v>5461</v>
      </c>
    </row>
    <row r="24" spans="1:9" x14ac:dyDescent="0.2">
      <c r="A24" t="s">
        <v>5447</v>
      </c>
      <c r="B24">
        <v>47.99</v>
      </c>
      <c r="C24">
        <v>5.98</v>
      </c>
      <c r="D24">
        <v>2.79</v>
      </c>
      <c r="E24">
        <v>0.39</v>
      </c>
      <c r="F24">
        <v>1.18</v>
      </c>
      <c r="G24">
        <v>2.5499999999999998</v>
      </c>
      <c r="H24">
        <v>21.32</v>
      </c>
      <c r="I24">
        <v>12.75</v>
      </c>
    </row>
    <row r="25" spans="1:9" x14ac:dyDescent="0.2">
      <c r="A25" t="s">
        <v>5448</v>
      </c>
      <c r="B25">
        <v>59.5</v>
      </c>
      <c r="C25">
        <v>2.99</v>
      </c>
      <c r="D25">
        <v>1.77</v>
      </c>
      <c r="E25">
        <v>1.51</v>
      </c>
      <c r="F25">
        <v>0.62</v>
      </c>
      <c r="G25">
        <v>2.48</v>
      </c>
      <c r="H25">
        <v>18.53</v>
      </c>
      <c r="I25">
        <v>10.87</v>
      </c>
    </row>
    <row r="26" spans="1:9" x14ac:dyDescent="0.2">
      <c r="A26" t="s">
        <v>5446</v>
      </c>
      <c r="B26">
        <v>62.46</v>
      </c>
      <c r="C26">
        <v>3.34</v>
      </c>
      <c r="D26">
        <v>2.52</v>
      </c>
      <c r="E26">
        <v>1.85</v>
      </c>
      <c r="F26">
        <v>2.15</v>
      </c>
      <c r="G26">
        <v>2.08</v>
      </c>
      <c r="H26">
        <v>19.07</v>
      </c>
      <c r="I26">
        <v>3.19</v>
      </c>
    </row>
    <row r="27" spans="1:9" x14ac:dyDescent="0.2">
      <c r="A27" t="s">
        <v>5444</v>
      </c>
      <c r="B27">
        <v>63.97</v>
      </c>
      <c r="C27">
        <v>1.35</v>
      </c>
      <c r="D27">
        <v>1.85</v>
      </c>
      <c r="E27">
        <v>1.01</v>
      </c>
      <c r="F27">
        <v>2.19</v>
      </c>
      <c r="G27">
        <v>1.68</v>
      </c>
      <c r="H27">
        <v>20.71</v>
      </c>
      <c r="I27">
        <v>2.86</v>
      </c>
    </row>
    <row r="28" spans="1:9" x14ac:dyDescent="0.2">
      <c r="A28" t="s">
        <v>5443</v>
      </c>
      <c r="B28">
        <v>67.78</v>
      </c>
      <c r="C28">
        <v>2.1</v>
      </c>
      <c r="D28">
        <v>1.95</v>
      </c>
      <c r="E28">
        <v>3.59</v>
      </c>
      <c r="F28">
        <v>0.84</v>
      </c>
      <c r="G28">
        <v>0.92</v>
      </c>
      <c r="H28">
        <v>21.37</v>
      </c>
      <c r="I28">
        <v>1.45</v>
      </c>
    </row>
    <row r="59" spans="1:9" x14ac:dyDescent="0.2">
      <c r="B59" t="s">
        <v>5456</v>
      </c>
      <c r="C59" t="s">
        <v>5455</v>
      </c>
      <c r="D59" t="s">
        <v>5458</v>
      </c>
      <c r="E59" t="s">
        <v>5457</v>
      </c>
      <c r="F59" t="s">
        <v>5498</v>
      </c>
      <c r="G59" t="s">
        <v>5459</v>
      </c>
      <c r="H59" t="s">
        <v>5460</v>
      </c>
      <c r="I59" t="s">
        <v>5461</v>
      </c>
    </row>
    <row r="60" spans="1:9" x14ac:dyDescent="0.2">
      <c r="A60" t="s">
        <v>5447</v>
      </c>
      <c r="B60">
        <v>47.99</v>
      </c>
      <c r="C60">
        <v>5.98</v>
      </c>
      <c r="D60">
        <v>2.79</v>
      </c>
      <c r="E60">
        <v>0.39</v>
      </c>
      <c r="F60">
        <v>1.18</v>
      </c>
      <c r="G60">
        <v>2.5499999999999998</v>
      </c>
      <c r="H60">
        <v>21.32</v>
      </c>
      <c r="I60">
        <v>12.75</v>
      </c>
    </row>
    <row r="61" spans="1:9" x14ac:dyDescent="0.2">
      <c r="A61" t="s">
        <v>5448</v>
      </c>
      <c r="B61">
        <v>59.5</v>
      </c>
      <c r="C61">
        <v>2.99</v>
      </c>
      <c r="D61">
        <v>1.77</v>
      </c>
      <c r="E61">
        <v>1.51</v>
      </c>
      <c r="F61">
        <v>0.62</v>
      </c>
      <c r="G61">
        <v>2.48</v>
      </c>
      <c r="H61">
        <v>18.53</v>
      </c>
      <c r="I61">
        <v>10.87</v>
      </c>
    </row>
    <row r="62" spans="1:9" x14ac:dyDescent="0.2">
      <c r="A62" t="s">
        <v>5446</v>
      </c>
      <c r="B62">
        <v>62.46</v>
      </c>
      <c r="C62">
        <v>3.34</v>
      </c>
      <c r="D62">
        <v>2.52</v>
      </c>
      <c r="E62">
        <v>1.85</v>
      </c>
      <c r="F62">
        <v>2.15</v>
      </c>
      <c r="G62">
        <v>2.08</v>
      </c>
      <c r="H62">
        <v>19.07</v>
      </c>
      <c r="I62">
        <v>3.19</v>
      </c>
    </row>
    <row r="63" spans="1:9" x14ac:dyDescent="0.2">
      <c r="A63" t="s">
        <v>5444</v>
      </c>
      <c r="B63">
        <v>63.97</v>
      </c>
      <c r="C63">
        <v>1.35</v>
      </c>
      <c r="D63">
        <v>1.85</v>
      </c>
      <c r="E63">
        <v>1.01</v>
      </c>
      <c r="F63">
        <v>2.19</v>
      </c>
      <c r="G63">
        <v>1.68</v>
      </c>
      <c r="H63">
        <v>20.71</v>
      </c>
      <c r="I63">
        <v>2.86</v>
      </c>
    </row>
    <row r="64" spans="1:9" x14ac:dyDescent="0.2">
      <c r="A64" t="s">
        <v>5443</v>
      </c>
      <c r="B64">
        <v>67.78</v>
      </c>
      <c r="C64">
        <v>2.1</v>
      </c>
      <c r="D64">
        <v>1.95</v>
      </c>
      <c r="E64">
        <v>3.59</v>
      </c>
      <c r="F64">
        <v>0.84</v>
      </c>
      <c r="G64">
        <v>0.92</v>
      </c>
      <c r="H64">
        <v>21.37</v>
      </c>
      <c r="I64">
        <v>1.45</v>
      </c>
    </row>
    <row r="67" spans="1:3" x14ac:dyDescent="0.2">
      <c r="B67" t="s">
        <v>5522</v>
      </c>
      <c r="C67" t="s">
        <v>5523</v>
      </c>
    </row>
    <row r="68" spans="1:3" x14ac:dyDescent="0.2">
      <c r="A68" t="s">
        <v>5447</v>
      </c>
      <c r="B68">
        <f>B60+C60+D60+E60+F60</f>
        <v>58.33</v>
      </c>
      <c r="C68">
        <f>100-B68</f>
        <v>41.67</v>
      </c>
    </row>
    <row r="69" spans="1:3" x14ac:dyDescent="0.2">
      <c r="A69" t="s">
        <v>5448</v>
      </c>
      <c r="B69">
        <f t="shared" ref="B69:B72" si="1">B61+C61+D61+E61+F61</f>
        <v>66.390000000000015</v>
      </c>
      <c r="C69">
        <f t="shared" ref="C69:C72" si="2">100-B69</f>
        <v>33.609999999999985</v>
      </c>
    </row>
    <row r="70" spans="1:3" x14ac:dyDescent="0.2">
      <c r="A70" t="s">
        <v>5446</v>
      </c>
      <c r="B70">
        <f t="shared" si="1"/>
        <v>72.319999999999993</v>
      </c>
      <c r="C70">
        <f t="shared" si="2"/>
        <v>27.680000000000007</v>
      </c>
    </row>
    <row r="71" spans="1:3" x14ac:dyDescent="0.2">
      <c r="A71" t="s">
        <v>5444</v>
      </c>
      <c r="B71">
        <f t="shared" si="1"/>
        <v>70.36999999999999</v>
      </c>
      <c r="C71">
        <f t="shared" si="2"/>
        <v>29.63000000000001</v>
      </c>
    </row>
    <row r="72" spans="1:3" x14ac:dyDescent="0.2">
      <c r="A72" t="s">
        <v>5443</v>
      </c>
      <c r="B72">
        <f t="shared" si="1"/>
        <v>76.260000000000005</v>
      </c>
      <c r="C72">
        <f t="shared" si="2"/>
        <v>23.739999999999995</v>
      </c>
    </row>
    <row r="75" spans="1:3" x14ac:dyDescent="0.2">
      <c r="B75" t="s">
        <v>5522</v>
      </c>
      <c r="C75" t="s">
        <v>5523</v>
      </c>
    </row>
    <row r="76" spans="1:3" x14ac:dyDescent="0.2">
      <c r="A76" t="s">
        <v>5447</v>
      </c>
      <c r="B76">
        <v>58.33</v>
      </c>
      <c r="C76">
        <v>41.67</v>
      </c>
    </row>
    <row r="77" spans="1:3" x14ac:dyDescent="0.2">
      <c r="A77" t="s">
        <v>5448</v>
      </c>
      <c r="B77">
        <v>66.390000000000015</v>
      </c>
      <c r="C77">
        <v>33.609999999999985</v>
      </c>
    </row>
    <row r="78" spans="1:3" x14ac:dyDescent="0.2">
      <c r="A78" t="s">
        <v>5446</v>
      </c>
      <c r="B78">
        <v>72.319999999999993</v>
      </c>
      <c r="C78">
        <v>27.680000000000007</v>
      </c>
    </row>
    <row r="79" spans="1:3" x14ac:dyDescent="0.2">
      <c r="A79" t="s">
        <v>5444</v>
      </c>
      <c r="B79">
        <v>70.36999999999999</v>
      </c>
      <c r="C79">
        <v>29.63000000000001</v>
      </c>
    </row>
    <row r="80" spans="1:3" x14ac:dyDescent="0.2">
      <c r="A80" t="s">
        <v>5443</v>
      </c>
      <c r="B80">
        <v>76.260000000000005</v>
      </c>
      <c r="C80">
        <v>23.739999999999995</v>
      </c>
    </row>
    <row r="84" spans="1:6" x14ac:dyDescent="0.2">
      <c r="B84" t="s">
        <v>5447</v>
      </c>
      <c r="C84" t="s">
        <v>5448</v>
      </c>
      <c r="D84" t="s">
        <v>5446</v>
      </c>
      <c r="E84" t="s">
        <v>5444</v>
      </c>
      <c r="F84" t="s">
        <v>5443</v>
      </c>
    </row>
    <row r="85" spans="1:6" x14ac:dyDescent="0.2">
      <c r="A85" t="s">
        <v>5522</v>
      </c>
      <c r="B85">
        <v>58.33</v>
      </c>
      <c r="C85">
        <v>66.390000000000015</v>
      </c>
      <c r="D85">
        <v>72.319999999999993</v>
      </c>
      <c r="E85">
        <v>70.36999999999999</v>
      </c>
      <c r="F85">
        <v>76.260000000000005</v>
      </c>
    </row>
    <row r="86" spans="1:6" x14ac:dyDescent="0.2">
      <c r="A86" t="s">
        <v>5523</v>
      </c>
      <c r="B86">
        <v>41.67</v>
      </c>
      <c r="C86">
        <v>33.609999999999985</v>
      </c>
      <c r="D86">
        <v>27.680000000000007</v>
      </c>
      <c r="E86">
        <v>29.63000000000001</v>
      </c>
      <c r="F86">
        <v>23.739999999999995</v>
      </c>
    </row>
    <row r="91" spans="1:6" x14ac:dyDescent="0.2">
      <c r="B91" t="s">
        <v>5459</v>
      </c>
      <c r="C91" t="s">
        <v>5460</v>
      </c>
      <c r="D91" t="s">
        <v>5461</v>
      </c>
    </row>
    <row r="92" spans="1:6" x14ac:dyDescent="0.2">
      <c r="A92" t="s">
        <v>5447</v>
      </c>
      <c r="B92">
        <v>2.5499999999999998</v>
      </c>
      <c r="C92">
        <v>21.32</v>
      </c>
      <c r="D92">
        <v>12.75</v>
      </c>
    </row>
    <row r="93" spans="1:6" x14ac:dyDescent="0.2">
      <c r="A93" t="s">
        <v>5448</v>
      </c>
      <c r="B93">
        <v>2.48</v>
      </c>
      <c r="C93">
        <v>18.53</v>
      </c>
      <c r="D93">
        <v>10.87</v>
      </c>
    </row>
    <row r="94" spans="1:6" x14ac:dyDescent="0.2">
      <c r="A94" t="s">
        <v>5446</v>
      </c>
      <c r="B94">
        <v>2.08</v>
      </c>
      <c r="C94">
        <v>19.07</v>
      </c>
      <c r="D94">
        <v>3.19</v>
      </c>
    </row>
    <row r="95" spans="1:6" x14ac:dyDescent="0.2">
      <c r="A95" t="s">
        <v>5444</v>
      </c>
      <c r="B95">
        <v>1.68</v>
      </c>
      <c r="C95">
        <v>20.71</v>
      </c>
      <c r="D95">
        <v>2.86</v>
      </c>
    </row>
    <row r="96" spans="1:6" x14ac:dyDescent="0.2">
      <c r="A96" t="s">
        <v>5443</v>
      </c>
      <c r="B96">
        <v>0.92</v>
      </c>
      <c r="C96">
        <v>21.37</v>
      </c>
      <c r="D96">
        <v>1.45</v>
      </c>
    </row>
  </sheetData>
  <sortState xmlns:xlrd2="http://schemas.microsoft.com/office/spreadsheetml/2017/richdata2" ref="A24:J28">
    <sortCondition ref="D24:D2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9CB3-DFBC-2F4E-9686-33426E1654E6}">
  <dimension ref="A3:I12"/>
  <sheetViews>
    <sheetView workbookViewId="0">
      <selection activeCell="I12" sqref="I12"/>
    </sheetView>
  </sheetViews>
  <sheetFormatPr baseColWidth="10" defaultRowHeight="16" x14ac:dyDescent="0.2"/>
  <cols>
    <col min="1" max="1" width="17.1640625" bestFit="1" customWidth="1"/>
    <col min="2" max="2" width="20" bestFit="1" customWidth="1"/>
    <col min="3" max="3" width="4.1640625" bestFit="1" customWidth="1"/>
    <col min="4" max="4" width="5.1640625" bestFit="1" customWidth="1"/>
    <col min="5" max="5" width="6.1640625" bestFit="1" customWidth="1"/>
    <col min="6" max="7" width="5.1640625" bestFit="1" customWidth="1"/>
    <col min="8" max="8" width="4.1640625" bestFit="1" customWidth="1"/>
    <col min="9" max="9" width="17.1640625" bestFit="1" customWidth="1"/>
    <col min="10" max="10" width="5.1640625" bestFit="1" customWidth="1"/>
    <col min="11" max="12" width="4.1640625" bestFit="1" customWidth="1"/>
    <col min="13" max="13" width="5.1640625" bestFit="1" customWidth="1"/>
    <col min="14" max="14" width="6.1640625" bestFit="1" customWidth="1"/>
    <col min="15" max="15" width="5.1640625" bestFit="1" customWidth="1"/>
    <col min="16" max="16" width="3.5" bestFit="1" customWidth="1"/>
    <col min="17" max="17" width="5.6640625" bestFit="1" customWidth="1"/>
    <col min="18" max="18" width="5.1640625" bestFit="1" customWidth="1"/>
    <col min="19" max="19" width="5.33203125" bestFit="1" customWidth="1"/>
    <col min="20" max="22" width="5.1640625" bestFit="1" customWidth="1"/>
    <col min="23" max="24" width="4" bestFit="1" customWidth="1"/>
    <col min="25" max="25" width="6.1640625" bestFit="1" customWidth="1"/>
    <col min="26" max="27" width="4.1640625" bestFit="1" customWidth="1"/>
    <col min="28" max="28" width="17.1640625" bestFit="1" customWidth="1"/>
  </cols>
  <sheetData>
    <row r="3" spans="1:9" x14ac:dyDescent="0.2">
      <c r="A3" s="1" t="s">
        <v>5495</v>
      </c>
      <c r="B3" s="1" t="s">
        <v>5496</v>
      </c>
    </row>
    <row r="4" spans="1:9" x14ac:dyDescent="0.2">
      <c r="A4" s="1" t="s">
        <v>5493</v>
      </c>
      <c r="B4" t="s">
        <v>134</v>
      </c>
      <c r="C4" t="s">
        <v>394</v>
      </c>
      <c r="D4" t="s">
        <v>209</v>
      </c>
      <c r="E4" t="s">
        <v>149</v>
      </c>
      <c r="F4" t="s">
        <v>128</v>
      </c>
      <c r="G4" t="s">
        <v>144</v>
      </c>
      <c r="H4" t="s">
        <v>309</v>
      </c>
      <c r="I4" t="s">
        <v>5494</v>
      </c>
    </row>
    <row r="5" spans="1:9" x14ac:dyDescent="0.2">
      <c r="A5" s="2" t="s">
        <v>5466</v>
      </c>
      <c r="B5" s="3">
        <v>133</v>
      </c>
      <c r="C5" s="3">
        <v>221</v>
      </c>
      <c r="D5" s="3">
        <v>654</v>
      </c>
      <c r="E5" s="3">
        <v>4375</v>
      </c>
      <c r="F5" s="3">
        <v>1572</v>
      </c>
      <c r="G5" s="3">
        <v>2262</v>
      </c>
      <c r="H5" s="3">
        <v>229</v>
      </c>
      <c r="I5" s="3">
        <v>9446</v>
      </c>
    </row>
    <row r="6" spans="1:9" x14ac:dyDescent="0.2">
      <c r="A6" s="2" t="s">
        <v>5475</v>
      </c>
      <c r="B6" s="3">
        <v>21</v>
      </c>
      <c r="C6" s="3">
        <v>26</v>
      </c>
      <c r="D6" s="3">
        <v>158</v>
      </c>
      <c r="E6" s="3">
        <v>907</v>
      </c>
      <c r="F6" s="3">
        <v>182</v>
      </c>
      <c r="G6" s="3">
        <v>174</v>
      </c>
      <c r="H6" s="3">
        <v>31</v>
      </c>
      <c r="I6" s="3">
        <v>1499</v>
      </c>
    </row>
    <row r="7" spans="1:9" x14ac:dyDescent="0.2">
      <c r="A7" s="2" t="s">
        <v>119</v>
      </c>
      <c r="B7" s="3">
        <v>55</v>
      </c>
      <c r="C7" s="3">
        <v>45</v>
      </c>
      <c r="D7" s="3">
        <v>370</v>
      </c>
      <c r="E7" s="3">
        <v>1841</v>
      </c>
      <c r="F7" s="3">
        <v>365</v>
      </c>
      <c r="G7" s="3">
        <v>336</v>
      </c>
      <c r="H7" s="3">
        <v>58</v>
      </c>
      <c r="I7" s="3">
        <v>3070</v>
      </c>
    </row>
    <row r="8" spans="1:9" x14ac:dyDescent="0.2">
      <c r="A8" s="2" t="s">
        <v>5477</v>
      </c>
      <c r="B8" s="3">
        <v>66</v>
      </c>
      <c r="C8" s="3">
        <v>79</v>
      </c>
      <c r="D8" s="3">
        <v>86</v>
      </c>
      <c r="E8" s="3">
        <v>1189</v>
      </c>
      <c r="F8" s="3">
        <v>633</v>
      </c>
      <c r="G8" s="3">
        <v>550</v>
      </c>
      <c r="H8" s="3">
        <v>130</v>
      </c>
      <c r="I8" s="3">
        <v>2733</v>
      </c>
    </row>
    <row r="9" spans="1:9" x14ac:dyDescent="0.2">
      <c r="A9" s="2" t="s">
        <v>5478</v>
      </c>
      <c r="B9" s="3">
        <v>32</v>
      </c>
      <c r="C9" s="3">
        <v>56</v>
      </c>
      <c r="D9" s="3">
        <v>112</v>
      </c>
      <c r="E9" s="3">
        <v>854</v>
      </c>
      <c r="F9" s="3">
        <v>334</v>
      </c>
      <c r="G9" s="3">
        <v>211</v>
      </c>
      <c r="H9" s="3">
        <v>52</v>
      </c>
      <c r="I9" s="3">
        <v>1651</v>
      </c>
    </row>
    <row r="10" spans="1:9" x14ac:dyDescent="0.2">
      <c r="A10" s="2" t="s">
        <v>5491</v>
      </c>
      <c r="B10" s="3">
        <v>9</v>
      </c>
      <c r="C10" s="3">
        <v>22</v>
      </c>
      <c r="D10" s="3">
        <v>66</v>
      </c>
      <c r="E10" s="3">
        <v>395</v>
      </c>
      <c r="F10" s="3">
        <v>155</v>
      </c>
      <c r="G10" s="3">
        <v>120</v>
      </c>
      <c r="H10" s="3">
        <v>11</v>
      </c>
      <c r="I10" s="3">
        <v>778</v>
      </c>
    </row>
    <row r="11" spans="1:9" x14ac:dyDescent="0.2">
      <c r="A11" s="2" t="s">
        <v>5492</v>
      </c>
      <c r="B11" s="3">
        <v>23</v>
      </c>
      <c r="C11" s="3">
        <v>34</v>
      </c>
      <c r="D11" s="3">
        <v>46</v>
      </c>
      <c r="E11" s="3">
        <v>459</v>
      </c>
      <c r="F11" s="3">
        <v>179</v>
      </c>
      <c r="G11" s="3">
        <v>91</v>
      </c>
      <c r="H11" s="3">
        <v>41</v>
      </c>
      <c r="I11" s="3">
        <v>873</v>
      </c>
    </row>
    <row r="12" spans="1:9" x14ac:dyDescent="0.2">
      <c r="A12" s="2" t="s">
        <v>5494</v>
      </c>
      <c r="B12" s="3">
        <v>339</v>
      </c>
      <c r="C12" s="3">
        <v>483</v>
      </c>
      <c r="D12" s="3">
        <v>1492</v>
      </c>
      <c r="E12" s="3">
        <v>10020</v>
      </c>
      <c r="F12" s="3">
        <v>3420</v>
      </c>
      <c r="G12" s="3">
        <v>3744</v>
      </c>
      <c r="H12" s="3">
        <v>552</v>
      </c>
      <c r="I12" s="3">
        <v>20050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C867-F05C-AA4D-A8F3-63F2853D1FC0}">
  <dimension ref="A1:E277"/>
  <sheetViews>
    <sheetView topLeftCell="A2" workbookViewId="0">
      <selection activeCell="M9" sqref="M9"/>
    </sheetView>
  </sheetViews>
  <sheetFormatPr baseColWidth="10" defaultRowHeight="16" x14ac:dyDescent="0.2"/>
  <sheetData>
    <row r="1" spans="1:5" x14ac:dyDescent="0.2">
      <c r="A1" t="s">
        <v>0</v>
      </c>
      <c r="B1" t="s">
        <v>5462</v>
      </c>
      <c r="C1" t="s">
        <v>5463</v>
      </c>
      <c r="D1" t="s">
        <v>5464</v>
      </c>
      <c r="E1" t="s">
        <v>5465</v>
      </c>
    </row>
    <row r="2" spans="1:5" x14ac:dyDescent="0.2">
      <c r="A2" t="s">
        <v>5466</v>
      </c>
      <c r="B2" t="s">
        <v>131</v>
      </c>
      <c r="C2" t="s">
        <v>5467</v>
      </c>
      <c r="D2" t="s">
        <v>134</v>
      </c>
      <c r="E2">
        <v>92</v>
      </c>
    </row>
    <row r="3" spans="1:5" x14ac:dyDescent="0.2">
      <c r="A3" t="s">
        <v>5466</v>
      </c>
      <c r="B3" t="s">
        <v>131</v>
      </c>
      <c r="C3" t="s">
        <v>5467</v>
      </c>
      <c r="D3" t="s">
        <v>209</v>
      </c>
      <c r="E3">
        <v>2</v>
      </c>
    </row>
    <row r="4" spans="1:5" x14ac:dyDescent="0.2">
      <c r="A4" t="s">
        <v>5466</v>
      </c>
      <c r="B4" t="s">
        <v>131</v>
      </c>
      <c r="C4" t="s">
        <v>5467</v>
      </c>
      <c r="D4" t="s">
        <v>149</v>
      </c>
      <c r="E4">
        <v>1574</v>
      </c>
    </row>
    <row r="5" spans="1:5" x14ac:dyDescent="0.2">
      <c r="A5" t="s">
        <v>5466</v>
      </c>
      <c r="B5" t="s">
        <v>131</v>
      </c>
      <c r="C5" t="s">
        <v>5467</v>
      </c>
      <c r="D5" t="s">
        <v>309</v>
      </c>
      <c r="E5">
        <v>91</v>
      </c>
    </row>
    <row r="6" spans="1:5" x14ac:dyDescent="0.2">
      <c r="A6" t="s">
        <v>5466</v>
      </c>
      <c r="B6" t="s">
        <v>131</v>
      </c>
      <c r="C6" t="s">
        <v>5468</v>
      </c>
      <c r="D6" t="s">
        <v>155</v>
      </c>
      <c r="E6">
        <v>500</v>
      </c>
    </row>
    <row r="7" spans="1:5" x14ac:dyDescent="0.2">
      <c r="A7" t="s">
        <v>5466</v>
      </c>
      <c r="B7" t="s">
        <v>131</v>
      </c>
      <c r="C7" t="s">
        <v>5468</v>
      </c>
      <c r="D7" t="s">
        <v>135</v>
      </c>
      <c r="E7">
        <v>1259</v>
      </c>
    </row>
    <row r="8" spans="1:5" x14ac:dyDescent="0.2">
      <c r="A8" t="s">
        <v>5466</v>
      </c>
      <c r="B8" t="s">
        <v>131</v>
      </c>
      <c r="C8" t="s">
        <v>5469</v>
      </c>
      <c r="D8">
        <v>1</v>
      </c>
      <c r="E8">
        <v>158</v>
      </c>
    </row>
    <row r="9" spans="1:5" x14ac:dyDescent="0.2">
      <c r="A9" t="s">
        <v>5466</v>
      </c>
      <c r="B9" t="s">
        <v>131</v>
      </c>
      <c r="C9" t="s">
        <v>5469</v>
      </c>
      <c r="D9">
        <v>2</v>
      </c>
      <c r="E9">
        <v>19</v>
      </c>
    </row>
    <row r="10" spans="1:5" x14ac:dyDescent="0.2">
      <c r="A10" t="s">
        <v>5466</v>
      </c>
      <c r="B10" t="s">
        <v>131</v>
      </c>
      <c r="C10" t="s">
        <v>5469</v>
      </c>
      <c r="D10">
        <v>3</v>
      </c>
      <c r="E10">
        <v>1582</v>
      </c>
    </row>
    <row r="11" spans="1:5" x14ac:dyDescent="0.2">
      <c r="A11" t="s">
        <v>5466</v>
      </c>
      <c r="B11" t="s">
        <v>131</v>
      </c>
      <c r="C11" t="s">
        <v>5470</v>
      </c>
      <c r="D11" t="s">
        <v>903</v>
      </c>
      <c r="E11">
        <v>32</v>
      </c>
    </row>
    <row r="12" spans="1:5" x14ac:dyDescent="0.2">
      <c r="A12" t="s">
        <v>5466</v>
      </c>
      <c r="B12" t="s">
        <v>131</v>
      </c>
      <c r="C12" t="s">
        <v>5470</v>
      </c>
      <c r="D12" t="s">
        <v>209</v>
      </c>
      <c r="E12">
        <v>234</v>
      </c>
    </row>
    <row r="13" spans="1:5" x14ac:dyDescent="0.2">
      <c r="A13" t="s">
        <v>5466</v>
      </c>
      <c r="B13" t="s">
        <v>131</v>
      </c>
      <c r="C13" t="s">
        <v>5470</v>
      </c>
      <c r="D13" t="s">
        <v>143</v>
      </c>
      <c r="E13">
        <v>32</v>
      </c>
    </row>
    <row r="14" spans="1:5" x14ac:dyDescent="0.2">
      <c r="A14" t="s">
        <v>5466</v>
      </c>
      <c r="B14" t="s">
        <v>131</v>
      </c>
      <c r="C14" t="s">
        <v>5470</v>
      </c>
      <c r="D14" t="s">
        <v>136</v>
      </c>
      <c r="E14">
        <v>1461</v>
      </c>
    </row>
    <row r="15" spans="1:5" x14ac:dyDescent="0.2">
      <c r="A15" t="s">
        <v>5466</v>
      </c>
      <c r="B15" t="s">
        <v>131</v>
      </c>
      <c r="C15" t="s">
        <v>5471</v>
      </c>
      <c r="D15" t="s">
        <v>137</v>
      </c>
      <c r="E15">
        <v>1759</v>
      </c>
    </row>
    <row r="16" spans="1:5" x14ac:dyDescent="0.2">
      <c r="A16" t="s">
        <v>5466</v>
      </c>
      <c r="B16" t="s">
        <v>131</v>
      </c>
      <c r="C16" t="s">
        <v>5471</v>
      </c>
      <c r="D16" t="s">
        <v>394</v>
      </c>
      <c r="E16">
        <v>2</v>
      </c>
    </row>
    <row r="17" spans="1:5" x14ac:dyDescent="0.2">
      <c r="A17" t="s">
        <v>5466</v>
      </c>
      <c r="B17" t="s">
        <v>131</v>
      </c>
      <c r="C17" t="s">
        <v>5471</v>
      </c>
      <c r="D17" t="s">
        <v>128</v>
      </c>
      <c r="E17">
        <v>72</v>
      </c>
    </row>
    <row r="18" spans="1:5" x14ac:dyDescent="0.2">
      <c r="A18" t="s">
        <v>5466</v>
      </c>
      <c r="B18" t="s">
        <v>124</v>
      </c>
      <c r="C18" t="s">
        <v>5472</v>
      </c>
      <c r="D18" t="s">
        <v>5473</v>
      </c>
      <c r="E18">
        <v>1</v>
      </c>
    </row>
    <row r="19" spans="1:5" x14ac:dyDescent="0.2">
      <c r="A19" t="s">
        <v>5466</v>
      </c>
      <c r="B19" t="s">
        <v>124</v>
      </c>
      <c r="C19" t="s">
        <v>5474</v>
      </c>
      <c r="D19" t="s">
        <v>142</v>
      </c>
      <c r="E19">
        <v>560</v>
      </c>
    </row>
    <row r="20" spans="1:5" x14ac:dyDescent="0.2">
      <c r="A20" t="s">
        <v>5466</v>
      </c>
      <c r="B20" t="s">
        <v>124</v>
      </c>
      <c r="C20" t="s">
        <v>5474</v>
      </c>
      <c r="D20" t="s">
        <v>154</v>
      </c>
      <c r="E20">
        <v>1688</v>
      </c>
    </row>
    <row r="21" spans="1:5" x14ac:dyDescent="0.2">
      <c r="A21" t="s">
        <v>5466</v>
      </c>
      <c r="B21" t="s">
        <v>124</v>
      </c>
      <c r="C21" t="s">
        <v>5467</v>
      </c>
      <c r="D21" t="s">
        <v>134</v>
      </c>
      <c r="E21">
        <v>41</v>
      </c>
    </row>
    <row r="22" spans="1:5" x14ac:dyDescent="0.2">
      <c r="A22" t="s">
        <v>5466</v>
      </c>
      <c r="B22" t="s">
        <v>124</v>
      </c>
      <c r="C22" t="s">
        <v>5467</v>
      </c>
      <c r="D22" t="s">
        <v>209</v>
      </c>
      <c r="E22">
        <v>105</v>
      </c>
    </row>
    <row r="23" spans="1:5" x14ac:dyDescent="0.2">
      <c r="A23" t="s">
        <v>5466</v>
      </c>
      <c r="B23" t="s">
        <v>124</v>
      </c>
      <c r="C23" t="s">
        <v>5467</v>
      </c>
      <c r="D23" t="s">
        <v>149</v>
      </c>
      <c r="E23">
        <v>2801</v>
      </c>
    </row>
    <row r="24" spans="1:5" x14ac:dyDescent="0.2">
      <c r="A24" t="s">
        <v>5466</v>
      </c>
      <c r="B24" t="s">
        <v>124</v>
      </c>
      <c r="C24" t="s">
        <v>5467</v>
      </c>
      <c r="D24" t="s">
        <v>309</v>
      </c>
      <c r="E24">
        <v>138</v>
      </c>
    </row>
    <row r="25" spans="1:5" x14ac:dyDescent="0.2">
      <c r="A25" t="s">
        <v>5466</v>
      </c>
      <c r="B25" t="s">
        <v>124</v>
      </c>
      <c r="C25" t="s">
        <v>5468</v>
      </c>
      <c r="D25" t="s">
        <v>155</v>
      </c>
      <c r="E25">
        <v>1307</v>
      </c>
    </row>
    <row r="26" spans="1:5" x14ac:dyDescent="0.2">
      <c r="A26" t="s">
        <v>5466</v>
      </c>
      <c r="B26" t="s">
        <v>124</v>
      </c>
      <c r="C26" t="s">
        <v>5468</v>
      </c>
      <c r="D26" t="s">
        <v>135</v>
      </c>
      <c r="E26">
        <v>4038</v>
      </c>
    </row>
    <row r="27" spans="1:5" x14ac:dyDescent="0.2">
      <c r="A27" t="s">
        <v>5466</v>
      </c>
      <c r="B27" t="s">
        <v>124</v>
      </c>
      <c r="C27" t="s">
        <v>5469</v>
      </c>
      <c r="D27">
        <v>1</v>
      </c>
      <c r="E27">
        <v>277</v>
      </c>
    </row>
    <row r="28" spans="1:5" x14ac:dyDescent="0.2">
      <c r="A28" t="s">
        <v>5466</v>
      </c>
      <c r="B28" t="s">
        <v>124</v>
      </c>
      <c r="C28" t="s">
        <v>5469</v>
      </c>
      <c r="D28">
        <v>2</v>
      </c>
      <c r="E28">
        <v>167</v>
      </c>
    </row>
    <row r="29" spans="1:5" x14ac:dyDescent="0.2">
      <c r="A29" t="s">
        <v>5466</v>
      </c>
      <c r="B29" t="s">
        <v>124</v>
      </c>
      <c r="C29" t="s">
        <v>5469</v>
      </c>
      <c r="D29">
        <v>3</v>
      </c>
      <c r="E29">
        <v>2641</v>
      </c>
    </row>
    <row r="30" spans="1:5" x14ac:dyDescent="0.2">
      <c r="A30" t="s">
        <v>5466</v>
      </c>
      <c r="B30" t="s">
        <v>124</v>
      </c>
      <c r="C30" t="s">
        <v>5470</v>
      </c>
      <c r="D30" t="s">
        <v>903</v>
      </c>
      <c r="E30">
        <v>132</v>
      </c>
    </row>
    <row r="31" spans="1:5" x14ac:dyDescent="0.2">
      <c r="A31" t="s">
        <v>5466</v>
      </c>
      <c r="B31" t="s">
        <v>124</v>
      </c>
      <c r="C31" t="s">
        <v>5470</v>
      </c>
      <c r="D31" t="s">
        <v>209</v>
      </c>
      <c r="E31">
        <v>313</v>
      </c>
    </row>
    <row r="32" spans="1:5" x14ac:dyDescent="0.2">
      <c r="A32" t="s">
        <v>5466</v>
      </c>
      <c r="B32" t="s">
        <v>124</v>
      </c>
      <c r="C32" t="s">
        <v>5470</v>
      </c>
      <c r="D32" t="s">
        <v>143</v>
      </c>
      <c r="E32">
        <v>2421</v>
      </c>
    </row>
    <row r="33" spans="1:5" x14ac:dyDescent="0.2">
      <c r="A33" t="s">
        <v>5466</v>
      </c>
      <c r="B33" t="s">
        <v>124</v>
      </c>
      <c r="C33" t="s">
        <v>5470</v>
      </c>
      <c r="D33" t="s">
        <v>136</v>
      </c>
      <c r="E33">
        <v>2481</v>
      </c>
    </row>
    <row r="34" spans="1:5" x14ac:dyDescent="0.2">
      <c r="A34" t="s">
        <v>5466</v>
      </c>
      <c r="B34" t="s">
        <v>124</v>
      </c>
      <c r="C34" t="s">
        <v>5471</v>
      </c>
      <c r="D34" t="s">
        <v>137</v>
      </c>
      <c r="E34">
        <v>3085</v>
      </c>
    </row>
    <row r="35" spans="1:5" x14ac:dyDescent="0.2">
      <c r="A35" t="s">
        <v>5466</v>
      </c>
      <c r="B35" t="s">
        <v>124</v>
      </c>
      <c r="C35" t="s">
        <v>5471</v>
      </c>
      <c r="D35" t="s">
        <v>394</v>
      </c>
      <c r="E35">
        <v>219</v>
      </c>
    </row>
    <row r="36" spans="1:5" x14ac:dyDescent="0.2">
      <c r="A36" t="s">
        <v>5466</v>
      </c>
      <c r="B36" t="s">
        <v>124</v>
      </c>
      <c r="C36" t="s">
        <v>5471</v>
      </c>
      <c r="D36" t="s">
        <v>128</v>
      </c>
      <c r="E36">
        <v>1500</v>
      </c>
    </row>
    <row r="37" spans="1:5" x14ac:dyDescent="0.2">
      <c r="A37" t="s">
        <v>5466</v>
      </c>
      <c r="B37" t="s">
        <v>124</v>
      </c>
      <c r="C37" t="s">
        <v>5471</v>
      </c>
      <c r="D37" t="s">
        <v>144</v>
      </c>
      <c r="E37">
        <v>2262</v>
      </c>
    </row>
    <row r="38" spans="1:5" x14ac:dyDescent="0.2">
      <c r="A38" t="s">
        <v>5475</v>
      </c>
      <c r="B38" t="s">
        <v>131</v>
      </c>
      <c r="C38" t="s">
        <v>5474</v>
      </c>
      <c r="D38" t="s">
        <v>142</v>
      </c>
      <c r="E38">
        <v>1</v>
      </c>
    </row>
    <row r="39" spans="1:5" x14ac:dyDescent="0.2">
      <c r="A39" t="s">
        <v>5475</v>
      </c>
      <c r="B39" t="s">
        <v>131</v>
      </c>
      <c r="C39" t="s">
        <v>5474</v>
      </c>
      <c r="D39" t="s">
        <v>154</v>
      </c>
      <c r="E39">
        <v>1</v>
      </c>
    </row>
    <row r="40" spans="1:5" x14ac:dyDescent="0.2">
      <c r="A40" t="s">
        <v>5475</v>
      </c>
      <c r="B40" t="s">
        <v>131</v>
      </c>
      <c r="C40" t="s">
        <v>5467</v>
      </c>
      <c r="D40" t="s">
        <v>134</v>
      </c>
      <c r="E40">
        <v>6</v>
      </c>
    </row>
    <row r="41" spans="1:5" x14ac:dyDescent="0.2">
      <c r="A41" t="s">
        <v>5475</v>
      </c>
      <c r="B41" t="s">
        <v>131</v>
      </c>
      <c r="C41" t="s">
        <v>5467</v>
      </c>
      <c r="D41" t="s">
        <v>209</v>
      </c>
      <c r="E41">
        <v>6</v>
      </c>
    </row>
    <row r="42" spans="1:5" x14ac:dyDescent="0.2">
      <c r="A42" t="s">
        <v>5475</v>
      </c>
      <c r="B42" t="s">
        <v>131</v>
      </c>
      <c r="C42" t="s">
        <v>5467</v>
      </c>
      <c r="D42" t="s">
        <v>149</v>
      </c>
      <c r="E42">
        <v>258</v>
      </c>
    </row>
    <row r="43" spans="1:5" x14ac:dyDescent="0.2">
      <c r="A43" t="s">
        <v>5475</v>
      </c>
      <c r="B43" t="s">
        <v>131</v>
      </c>
      <c r="C43" t="s">
        <v>5467</v>
      </c>
      <c r="D43" t="s">
        <v>309</v>
      </c>
      <c r="E43">
        <v>3</v>
      </c>
    </row>
    <row r="44" spans="1:5" x14ac:dyDescent="0.2">
      <c r="A44" t="s">
        <v>5475</v>
      </c>
      <c r="B44" t="s">
        <v>131</v>
      </c>
      <c r="C44" t="s">
        <v>5468</v>
      </c>
      <c r="D44" t="s">
        <v>155</v>
      </c>
      <c r="E44">
        <v>51</v>
      </c>
    </row>
    <row r="45" spans="1:5" x14ac:dyDescent="0.2">
      <c r="A45" t="s">
        <v>5475</v>
      </c>
      <c r="B45" t="s">
        <v>131</v>
      </c>
      <c r="C45" t="s">
        <v>5468</v>
      </c>
      <c r="D45" t="s">
        <v>135</v>
      </c>
      <c r="E45">
        <v>225</v>
      </c>
    </row>
    <row r="46" spans="1:5" x14ac:dyDescent="0.2">
      <c r="A46" t="s">
        <v>5475</v>
      </c>
      <c r="B46" t="s">
        <v>131</v>
      </c>
      <c r="C46" t="s">
        <v>5469</v>
      </c>
      <c r="D46">
        <v>1</v>
      </c>
      <c r="E46">
        <v>117</v>
      </c>
    </row>
    <row r="47" spans="1:5" x14ac:dyDescent="0.2">
      <c r="A47" t="s">
        <v>5475</v>
      </c>
      <c r="B47" t="s">
        <v>131</v>
      </c>
      <c r="C47" t="s">
        <v>5469</v>
      </c>
      <c r="D47">
        <v>2</v>
      </c>
      <c r="E47">
        <v>55</v>
      </c>
    </row>
    <row r="48" spans="1:5" x14ac:dyDescent="0.2">
      <c r="A48" t="s">
        <v>5475</v>
      </c>
      <c r="B48" t="s">
        <v>131</v>
      </c>
      <c r="C48" t="s">
        <v>5469</v>
      </c>
      <c r="D48">
        <v>3</v>
      </c>
      <c r="E48">
        <v>101</v>
      </c>
    </row>
    <row r="49" spans="1:5" x14ac:dyDescent="0.2">
      <c r="A49" t="s">
        <v>5475</v>
      </c>
      <c r="B49" t="s">
        <v>131</v>
      </c>
      <c r="C49" t="s">
        <v>5470</v>
      </c>
      <c r="D49" t="s">
        <v>903</v>
      </c>
      <c r="E49">
        <v>2</v>
      </c>
    </row>
    <row r="50" spans="1:5" x14ac:dyDescent="0.2">
      <c r="A50" t="s">
        <v>5475</v>
      </c>
      <c r="B50" t="s">
        <v>131</v>
      </c>
      <c r="C50" t="s">
        <v>5470</v>
      </c>
      <c r="D50" t="s">
        <v>209</v>
      </c>
      <c r="E50">
        <v>32</v>
      </c>
    </row>
    <row r="51" spans="1:5" x14ac:dyDescent="0.2">
      <c r="A51" t="s">
        <v>5475</v>
      </c>
      <c r="B51" t="s">
        <v>131</v>
      </c>
      <c r="C51" t="s">
        <v>5470</v>
      </c>
      <c r="D51" t="s">
        <v>143</v>
      </c>
      <c r="E51">
        <v>1</v>
      </c>
    </row>
    <row r="52" spans="1:5" x14ac:dyDescent="0.2">
      <c r="A52" t="s">
        <v>5475</v>
      </c>
      <c r="B52" t="s">
        <v>131</v>
      </c>
      <c r="C52" t="s">
        <v>5470</v>
      </c>
      <c r="D52" t="s">
        <v>136</v>
      </c>
      <c r="E52">
        <v>239</v>
      </c>
    </row>
    <row r="53" spans="1:5" x14ac:dyDescent="0.2">
      <c r="A53" t="s">
        <v>5475</v>
      </c>
      <c r="B53" t="s">
        <v>131</v>
      </c>
      <c r="C53" t="s">
        <v>5471</v>
      </c>
      <c r="D53" t="s">
        <v>137</v>
      </c>
      <c r="E53">
        <v>273</v>
      </c>
    </row>
    <row r="54" spans="1:5" x14ac:dyDescent="0.2">
      <c r="A54" t="s">
        <v>5475</v>
      </c>
      <c r="B54" t="s">
        <v>131</v>
      </c>
      <c r="C54" t="s">
        <v>5471</v>
      </c>
      <c r="D54" t="s">
        <v>394</v>
      </c>
      <c r="E54">
        <v>1</v>
      </c>
    </row>
    <row r="55" spans="1:5" x14ac:dyDescent="0.2">
      <c r="A55" t="s">
        <v>5475</v>
      </c>
      <c r="B55" t="s">
        <v>131</v>
      </c>
      <c r="C55" t="s">
        <v>5471</v>
      </c>
      <c r="D55" t="s">
        <v>128</v>
      </c>
      <c r="E55">
        <v>2</v>
      </c>
    </row>
    <row r="56" spans="1:5" x14ac:dyDescent="0.2">
      <c r="A56" t="s">
        <v>5475</v>
      </c>
      <c r="B56" t="s">
        <v>131</v>
      </c>
      <c r="C56" t="s">
        <v>5471</v>
      </c>
      <c r="D56" t="s">
        <v>144</v>
      </c>
      <c r="E56">
        <v>1</v>
      </c>
    </row>
    <row r="57" spans="1:5" x14ac:dyDescent="0.2">
      <c r="A57" t="s">
        <v>5475</v>
      </c>
      <c r="B57" t="s">
        <v>124</v>
      </c>
      <c r="C57" t="s">
        <v>5474</v>
      </c>
      <c r="D57" t="s">
        <v>142</v>
      </c>
      <c r="E57">
        <v>53</v>
      </c>
    </row>
    <row r="58" spans="1:5" x14ac:dyDescent="0.2">
      <c r="A58" t="s">
        <v>5475</v>
      </c>
      <c r="B58" t="s">
        <v>124</v>
      </c>
      <c r="C58" t="s">
        <v>5474</v>
      </c>
      <c r="D58" t="s">
        <v>154</v>
      </c>
      <c r="E58">
        <v>152</v>
      </c>
    </row>
    <row r="59" spans="1:5" x14ac:dyDescent="0.2">
      <c r="A59" t="s">
        <v>5475</v>
      </c>
      <c r="B59" t="s">
        <v>124</v>
      </c>
      <c r="C59" t="s">
        <v>5467</v>
      </c>
      <c r="D59" t="s">
        <v>134</v>
      </c>
      <c r="E59">
        <v>15</v>
      </c>
    </row>
    <row r="60" spans="1:5" x14ac:dyDescent="0.2">
      <c r="A60" t="s">
        <v>5475</v>
      </c>
      <c r="B60" t="s">
        <v>124</v>
      </c>
      <c r="C60" t="s">
        <v>5467</v>
      </c>
      <c r="D60" t="s">
        <v>209</v>
      </c>
      <c r="E60">
        <v>45</v>
      </c>
    </row>
    <row r="61" spans="1:5" x14ac:dyDescent="0.2">
      <c r="A61" t="s">
        <v>5475</v>
      </c>
      <c r="B61" t="s">
        <v>124</v>
      </c>
      <c r="C61" t="s">
        <v>5467</v>
      </c>
      <c r="D61" t="s">
        <v>149</v>
      </c>
      <c r="E61">
        <v>649</v>
      </c>
    </row>
    <row r="62" spans="1:5" x14ac:dyDescent="0.2">
      <c r="A62" t="s">
        <v>5475</v>
      </c>
      <c r="B62" t="s">
        <v>124</v>
      </c>
      <c r="C62" t="s">
        <v>5467</v>
      </c>
      <c r="D62" t="s">
        <v>309</v>
      </c>
      <c r="E62">
        <v>28</v>
      </c>
    </row>
    <row r="63" spans="1:5" x14ac:dyDescent="0.2">
      <c r="A63" t="s">
        <v>5475</v>
      </c>
      <c r="B63" t="s">
        <v>124</v>
      </c>
      <c r="C63" t="s">
        <v>5468</v>
      </c>
      <c r="D63" t="s">
        <v>155</v>
      </c>
      <c r="E63">
        <v>131</v>
      </c>
    </row>
    <row r="64" spans="1:5" x14ac:dyDescent="0.2">
      <c r="A64" t="s">
        <v>5475</v>
      </c>
      <c r="B64" t="s">
        <v>124</v>
      </c>
      <c r="C64" t="s">
        <v>5468</v>
      </c>
      <c r="D64" t="s">
        <v>135</v>
      </c>
      <c r="E64">
        <v>812</v>
      </c>
    </row>
    <row r="65" spans="1:5" x14ac:dyDescent="0.2">
      <c r="A65" t="s">
        <v>5475</v>
      </c>
      <c r="B65" t="s">
        <v>124</v>
      </c>
      <c r="C65" t="s">
        <v>5469</v>
      </c>
      <c r="D65">
        <v>1</v>
      </c>
      <c r="E65">
        <v>227</v>
      </c>
    </row>
    <row r="66" spans="1:5" x14ac:dyDescent="0.2">
      <c r="A66" t="s">
        <v>5475</v>
      </c>
      <c r="B66" t="s">
        <v>124</v>
      </c>
      <c r="C66" t="s">
        <v>5469</v>
      </c>
      <c r="D66">
        <v>2</v>
      </c>
      <c r="E66">
        <v>119</v>
      </c>
    </row>
    <row r="67" spans="1:5" x14ac:dyDescent="0.2">
      <c r="A67" t="s">
        <v>5475</v>
      </c>
      <c r="B67" t="s">
        <v>124</v>
      </c>
      <c r="C67" t="s">
        <v>5469</v>
      </c>
      <c r="D67">
        <v>3</v>
      </c>
      <c r="E67">
        <v>390</v>
      </c>
    </row>
    <row r="68" spans="1:5" x14ac:dyDescent="0.2">
      <c r="A68" t="s">
        <v>5475</v>
      </c>
      <c r="B68" t="s">
        <v>124</v>
      </c>
      <c r="C68" t="s">
        <v>5470</v>
      </c>
      <c r="D68" t="s">
        <v>903</v>
      </c>
      <c r="E68">
        <v>17</v>
      </c>
    </row>
    <row r="69" spans="1:5" x14ac:dyDescent="0.2">
      <c r="A69" t="s">
        <v>5475</v>
      </c>
      <c r="B69" t="s">
        <v>124</v>
      </c>
      <c r="C69" t="s">
        <v>5470</v>
      </c>
      <c r="D69" t="s">
        <v>209</v>
      </c>
      <c r="E69">
        <v>75</v>
      </c>
    </row>
    <row r="70" spans="1:5" x14ac:dyDescent="0.2">
      <c r="A70" t="s">
        <v>5475</v>
      </c>
      <c r="B70" t="s">
        <v>124</v>
      </c>
      <c r="C70" t="s">
        <v>5470</v>
      </c>
      <c r="D70" t="s">
        <v>143</v>
      </c>
      <c r="E70">
        <v>178</v>
      </c>
    </row>
    <row r="71" spans="1:5" x14ac:dyDescent="0.2">
      <c r="A71" t="s">
        <v>5475</v>
      </c>
      <c r="B71" t="s">
        <v>124</v>
      </c>
      <c r="C71" t="s">
        <v>5470</v>
      </c>
      <c r="D71" t="s">
        <v>136</v>
      </c>
      <c r="E71">
        <v>638</v>
      </c>
    </row>
    <row r="72" spans="1:5" x14ac:dyDescent="0.2">
      <c r="A72" t="s">
        <v>5475</v>
      </c>
      <c r="B72" t="s">
        <v>124</v>
      </c>
      <c r="C72" t="s">
        <v>5471</v>
      </c>
      <c r="D72" t="s">
        <v>137</v>
      </c>
      <c r="E72">
        <v>736</v>
      </c>
    </row>
    <row r="73" spans="1:5" x14ac:dyDescent="0.2">
      <c r="A73" t="s">
        <v>5475</v>
      </c>
      <c r="B73" t="s">
        <v>124</v>
      </c>
      <c r="C73" t="s">
        <v>5471</v>
      </c>
      <c r="D73" t="s">
        <v>394</v>
      </c>
      <c r="E73">
        <v>25</v>
      </c>
    </row>
    <row r="74" spans="1:5" x14ac:dyDescent="0.2">
      <c r="A74" t="s">
        <v>5475</v>
      </c>
      <c r="B74" t="s">
        <v>124</v>
      </c>
      <c r="C74" t="s">
        <v>5471</v>
      </c>
      <c r="D74" t="s">
        <v>128</v>
      </c>
      <c r="E74">
        <v>180</v>
      </c>
    </row>
    <row r="75" spans="1:5" x14ac:dyDescent="0.2">
      <c r="A75" t="s">
        <v>5475</v>
      </c>
      <c r="B75" t="s">
        <v>124</v>
      </c>
      <c r="C75" t="s">
        <v>5471</v>
      </c>
      <c r="D75" t="s">
        <v>144</v>
      </c>
      <c r="E75">
        <v>173</v>
      </c>
    </row>
    <row r="76" spans="1:5" x14ac:dyDescent="0.2">
      <c r="A76" t="s">
        <v>119</v>
      </c>
      <c r="B76" t="s">
        <v>131</v>
      </c>
      <c r="C76" t="s">
        <v>5474</v>
      </c>
      <c r="D76" t="s">
        <v>142</v>
      </c>
      <c r="E76">
        <v>2</v>
      </c>
    </row>
    <row r="77" spans="1:5" x14ac:dyDescent="0.2">
      <c r="A77" t="s">
        <v>119</v>
      </c>
      <c r="B77" t="s">
        <v>131</v>
      </c>
      <c r="C77" t="s">
        <v>5474</v>
      </c>
      <c r="D77" t="s">
        <v>154</v>
      </c>
      <c r="E77">
        <v>3</v>
      </c>
    </row>
    <row r="78" spans="1:5" x14ac:dyDescent="0.2">
      <c r="A78" t="s">
        <v>119</v>
      </c>
      <c r="B78" t="s">
        <v>131</v>
      </c>
      <c r="C78" t="s">
        <v>5467</v>
      </c>
      <c r="D78" t="s">
        <v>134</v>
      </c>
      <c r="E78">
        <v>24</v>
      </c>
    </row>
    <row r="79" spans="1:5" x14ac:dyDescent="0.2">
      <c r="A79" t="s">
        <v>119</v>
      </c>
      <c r="B79" t="s">
        <v>131</v>
      </c>
      <c r="C79" t="s">
        <v>5467</v>
      </c>
      <c r="D79" t="s">
        <v>209</v>
      </c>
      <c r="E79">
        <v>15</v>
      </c>
    </row>
    <row r="80" spans="1:5" x14ac:dyDescent="0.2">
      <c r="A80" t="s">
        <v>119</v>
      </c>
      <c r="B80" t="s">
        <v>131</v>
      </c>
      <c r="C80" t="s">
        <v>5467</v>
      </c>
      <c r="D80" t="s">
        <v>149</v>
      </c>
      <c r="E80">
        <v>504</v>
      </c>
    </row>
    <row r="81" spans="1:5" x14ac:dyDescent="0.2">
      <c r="A81" t="s">
        <v>119</v>
      </c>
      <c r="B81" t="s">
        <v>131</v>
      </c>
      <c r="C81" t="s">
        <v>5467</v>
      </c>
      <c r="D81" t="s">
        <v>309</v>
      </c>
      <c r="E81">
        <v>10</v>
      </c>
    </row>
    <row r="82" spans="1:5" x14ac:dyDescent="0.2">
      <c r="A82" t="s">
        <v>119</v>
      </c>
      <c r="B82" t="s">
        <v>131</v>
      </c>
      <c r="C82" t="s">
        <v>5468</v>
      </c>
      <c r="D82" t="s">
        <v>155</v>
      </c>
      <c r="E82">
        <v>172</v>
      </c>
    </row>
    <row r="83" spans="1:5" x14ac:dyDescent="0.2">
      <c r="A83" t="s">
        <v>119</v>
      </c>
      <c r="B83" t="s">
        <v>131</v>
      </c>
      <c r="C83" t="s">
        <v>5468</v>
      </c>
      <c r="D83" t="s">
        <v>135</v>
      </c>
      <c r="E83">
        <v>387</v>
      </c>
    </row>
    <row r="84" spans="1:5" x14ac:dyDescent="0.2">
      <c r="A84" t="s">
        <v>119</v>
      </c>
      <c r="B84" t="s">
        <v>131</v>
      </c>
      <c r="C84" t="s">
        <v>5469</v>
      </c>
      <c r="D84">
        <v>1</v>
      </c>
      <c r="E84">
        <v>221</v>
      </c>
    </row>
    <row r="85" spans="1:5" x14ac:dyDescent="0.2">
      <c r="A85" t="s">
        <v>119</v>
      </c>
      <c r="B85" t="s">
        <v>131</v>
      </c>
      <c r="C85" t="s">
        <v>5469</v>
      </c>
      <c r="D85">
        <v>2</v>
      </c>
      <c r="E85">
        <v>78</v>
      </c>
    </row>
    <row r="86" spans="1:5" x14ac:dyDescent="0.2">
      <c r="A86" t="s">
        <v>119</v>
      </c>
      <c r="B86" t="s">
        <v>131</v>
      </c>
      <c r="C86" t="s">
        <v>5469</v>
      </c>
      <c r="D86">
        <v>3</v>
      </c>
      <c r="E86">
        <v>254</v>
      </c>
    </row>
    <row r="87" spans="1:5" x14ac:dyDescent="0.2">
      <c r="A87" t="s">
        <v>119</v>
      </c>
      <c r="B87" t="s">
        <v>131</v>
      </c>
      <c r="C87" t="s">
        <v>5470</v>
      </c>
      <c r="D87" t="s">
        <v>903</v>
      </c>
      <c r="E87">
        <v>5</v>
      </c>
    </row>
    <row r="88" spans="1:5" x14ac:dyDescent="0.2">
      <c r="A88" t="s">
        <v>119</v>
      </c>
      <c r="B88" t="s">
        <v>131</v>
      </c>
      <c r="C88" t="s">
        <v>5470</v>
      </c>
      <c r="D88" t="s">
        <v>209</v>
      </c>
      <c r="E88">
        <v>60</v>
      </c>
    </row>
    <row r="89" spans="1:5" x14ac:dyDescent="0.2">
      <c r="A89" t="s">
        <v>119</v>
      </c>
      <c r="B89" t="s">
        <v>131</v>
      </c>
      <c r="C89" t="s">
        <v>5470</v>
      </c>
      <c r="D89" t="s">
        <v>143</v>
      </c>
      <c r="E89">
        <v>5</v>
      </c>
    </row>
    <row r="90" spans="1:5" x14ac:dyDescent="0.2">
      <c r="A90" t="s">
        <v>119</v>
      </c>
      <c r="B90" t="s">
        <v>131</v>
      </c>
      <c r="C90" t="s">
        <v>5470</v>
      </c>
      <c r="D90" t="s">
        <v>136</v>
      </c>
      <c r="E90">
        <v>484</v>
      </c>
    </row>
    <row r="91" spans="1:5" x14ac:dyDescent="0.2">
      <c r="A91" t="s">
        <v>119</v>
      </c>
      <c r="B91" t="s">
        <v>131</v>
      </c>
      <c r="C91" t="s">
        <v>5471</v>
      </c>
      <c r="D91" t="s">
        <v>137</v>
      </c>
      <c r="E91">
        <v>553</v>
      </c>
    </row>
    <row r="92" spans="1:5" x14ac:dyDescent="0.2">
      <c r="A92" t="s">
        <v>119</v>
      </c>
      <c r="B92" t="s">
        <v>131</v>
      </c>
      <c r="C92" t="s">
        <v>5471</v>
      </c>
      <c r="D92" t="s">
        <v>394</v>
      </c>
      <c r="E92">
        <v>1</v>
      </c>
    </row>
    <row r="93" spans="1:5" x14ac:dyDescent="0.2">
      <c r="A93" t="s">
        <v>119</v>
      </c>
      <c r="B93" t="s">
        <v>131</v>
      </c>
      <c r="C93" t="s">
        <v>5471</v>
      </c>
      <c r="D93" t="s">
        <v>128</v>
      </c>
      <c r="E93">
        <v>3</v>
      </c>
    </row>
    <row r="94" spans="1:5" x14ac:dyDescent="0.2">
      <c r="A94" t="s">
        <v>119</v>
      </c>
      <c r="B94" t="s">
        <v>131</v>
      </c>
      <c r="C94" t="s">
        <v>5471</v>
      </c>
      <c r="D94" t="s">
        <v>144</v>
      </c>
      <c r="E94">
        <v>1</v>
      </c>
    </row>
    <row r="95" spans="1:5" x14ac:dyDescent="0.2">
      <c r="A95" t="s">
        <v>119</v>
      </c>
      <c r="B95" t="s">
        <v>124</v>
      </c>
      <c r="C95" t="s">
        <v>5474</v>
      </c>
      <c r="D95" t="s">
        <v>142</v>
      </c>
      <c r="E95">
        <v>102</v>
      </c>
    </row>
    <row r="96" spans="1:5" x14ac:dyDescent="0.2">
      <c r="A96" t="s">
        <v>119</v>
      </c>
      <c r="B96" t="s">
        <v>124</v>
      </c>
      <c r="C96" t="s">
        <v>5474</v>
      </c>
      <c r="D96" t="s">
        <v>154</v>
      </c>
      <c r="E96">
        <v>287</v>
      </c>
    </row>
    <row r="97" spans="1:5" x14ac:dyDescent="0.2">
      <c r="A97" t="s">
        <v>119</v>
      </c>
      <c r="B97" t="s">
        <v>124</v>
      </c>
      <c r="C97" t="s">
        <v>5467</v>
      </c>
      <c r="D97" t="s">
        <v>134</v>
      </c>
      <c r="E97">
        <v>31</v>
      </c>
    </row>
    <row r="98" spans="1:5" x14ac:dyDescent="0.2">
      <c r="A98" t="s">
        <v>119</v>
      </c>
      <c r="B98" t="s">
        <v>124</v>
      </c>
      <c r="C98" t="s">
        <v>5467</v>
      </c>
      <c r="D98" t="s">
        <v>209</v>
      </c>
      <c r="E98">
        <v>94</v>
      </c>
    </row>
    <row r="99" spans="1:5" x14ac:dyDescent="0.2">
      <c r="A99" t="s">
        <v>119</v>
      </c>
      <c r="B99" t="s">
        <v>124</v>
      </c>
      <c r="C99" t="s">
        <v>5467</v>
      </c>
      <c r="D99" t="s">
        <v>149</v>
      </c>
      <c r="E99">
        <v>1336</v>
      </c>
    </row>
    <row r="100" spans="1:5" x14ac:dyDescent="0.2">
      <c r="A100" t="s">
        <v>119</v>
      </c>
      <c r="B100" t="s">
        <v>124</v>
      </c>
      <c r="C100" t="s">
        <v>5467</v>
      </c>
      <c r="D100" t="s">
        <v>309</v>
      </c>
      <c r="E100">
        <v>48</v>
      </c>
    </row>
    <row r="101" spans="1:5" x14ac:dyDescent="0.2">
      <c r="A101" t="s">
        <v>119</v>
      </c>
      <c r="B101" t="s">
        <v>124</v>
      </c>
      <c r="C101" t="s">
        <v>5468</v>
      </c>
      <c r="D101" t="s">
        <v>155</v>
      </c>
      <c r="E101">
        <v>504</v>
      </c>
    </row>
    <row r="102" spans="1:5" x14ac:dyDescent="0.2">
      <c r="A102" t="s">
        <v>119</v>
      </c>
      <c r="B102" t="s">
        <v>124</v>
      </c>
      <c r="C102" t="s">
        <v>5468</v>
      </c>
      <c r="D102" t="s">
        <v>135</v>
      </c>
      <c r="E102">
        <v>1396</v>
      </c>
    </row>
    <row r="103" spans="1:5" x14ac:dyDescent="0.2">
      <c r="A103" t="s">
        <v>119</v>
      </c>
      <c r="B103" t="s">
        <v>124</v>
      </c>
      <c r="C103" t="s">
        <v>5469</v>
      </c>
      <c r="D103">
        <v>1</v>
      </c>
      <c r="E103">
        <v>424</v>
      </c>
    </row>
    <row r="104" spans="1:5" x14ac:dyDescent="0.2">
      <c r="A104" t="s">
        <v>119</v>
      </c>
      <c r="B104" t="s">
        <v>124</v>
      </c>
      <c r="C104" t="s">
        <v>5469</v>
      </c>
      <c r="D104">
        <v>2</v>
      </c>
      <c r="E104">
        <v>192</v>
      </c>
    </row>
    <row r="105" spans="1:5" x14ac:dyDescent="0.2">
      <c r="A105" t="s">
        <v>119</v>
      </c>
      <c r="B105" t="s">
        <v>124</v>
      </c>
      <c r="C105" t="s">
        <v>5469</v>
      </c>
      <c r="D105">
        <v>3</v>
      </c>
      <c r="E105">
        <v>892</v>
      </c>
    </row>
    <row r="106" spans="1:5" x14ac:dyDescent="0.2">
      <c r="A106" t="s">
        <v>119</v>
      </c>
      <c r="B106" t="s">
        <v>124</v>
      </c>
      <c r="C106" t="s">
        <v>5476</v>
      </c>
      <c r="D106" t="s">
        <v>149</v>
      </c>
      <c r="E106">
        <v>1</v>
      </c>
    </row>
    <row r="107" spans="1:5" x14ac:dyDescent="0.2">
      <c r="A107" t="s">
        <v>119</v>
      </c>
      <c r="B107" t="s">
        <v>124</v>
      </c>
      <c r="C107" t="s">
        <v>5470</v>
      </c>
      <c r="D107" t="s">
        <v>903</v>
      </c>
      <c r="E107">
        <v>27</v>
      </c>
    </row>
    <row r="108" spans="1:5" x14ac:dyDescent="0.2">
      <c r="A108" t="s">
        <v>119</v>
      </c>
      <c r="B108" t="s">
        <v>124</v>
      </c>
      <c r="C108" t="s">
        <v>5470</v>
      </c>
      <c r="D108" t="s">
        <v>209</v>
      </c>
      <c r="E108">
        <v>201</v>
      </c>
    </row>
    <row r="109" spans="1:5" x14ac:dyDescent="0.2">
      <c r="A109" t="s">
        <v>119</v>
      </c>
      <c r="B109" t="s">
        <v>124</v>
      </c>
      <c r="C109" t="s">
        <v>5470</v>
      </c>
      <c r="D109" t="s">
        <v>143</v>
      </c>
      <c r="E109">
        <v>345</v>
      </c>
    </row>
    <row r="110" spans="1:5" x14ac:dyDescent="0.2">
      <c r="A110" t="s">
        <v>119</v>
      </c>
      <c r="B110" t="s">
        <v>124</v>
      </c>
      <c r="C110" t="s">
        <v>5470</v>
      </c>
      <c r="D110" t="s">
        <v>136</v>
      </c>
      <c r="E110">
        <v>1269</v>
      </c>
    </row>
    <row r="111" spans="1:5" x14ac:dyDescent="0.2">
      <c r="A111" t="s">
        <v>119</v>
      </c>
      <c r="B111" t="s">
        <v>124</v>
      </c>
      <c r="C111" t="s">
        <v>5471</v>
      </c>
      <c r="D111" t="s">
        <v>137</v>
      </c>
      <c r="E111">
        <v>1508</v>
      </c>
    </row>
    <row r="112" spans="1:5" x14ac:dyDescent="0.2">
      <c r="A112" t="s">
        <v>119</v>
      </c>
      <c r="B112" t="s">
        <v>124</v>
      </c>
      <c r="C112" t="s">
        <v>5471</v>
      </c>
      <c r="D112" t="s">
        <v>394</v>
      </c>
      <c r="E112">
        <v>44</v>
      </c>
    </row>
    <row r="113" spans="1:5" x14ac:dyDescent="0.2">
      <c r="A113" t="s">
        <v>119</v>
      </c>
      <c r="B113" t="s">
        <v>124</v>
      </c>
      <c r="C113" t="s">
        <v>5471</v>
      </c>
      <c r="D113" t="s">
        <v>128</v>
      </c>
      <c r="E113">
        <v>362</v>
      </c>
    </row>
    <row r="114" spans="1:5" x14ac:dyDescent="0.2">
      <c r="A114" t="s">
        <v>119</v>
      </c>
      <c r="B114" t="s">
        <v>124</v>
      </c>
      <c r="C114" t="s">
        <v>5471</v>
      </c>
      <c r="D114" t="s">
        <v>144</v>
      </c>
      <c r="E114">
        <v>335</v>
      </c>
    </row>
    <row r="115" spans="1:5" x14ac:dyDescent="0.2">
      <c r="A115" t="s">
        <v>5477</v>
      </c>
      <c r="B115" t="s">
        <v>131</v>
      </c>
      <c r="C115" t="s">
        <v>5467</v>
      </c>
      <c r="D115" t="s">
        <v>134</v>
      </c>
      <c r="E115">
        <v>45</v>
      </c>
    </row>
    <row r="116" spans="1:5" x14ac:dyDescent="0.2">
      <c r="A116" t="s">
        <v>5477</v>
      </c>
      <c r="B116" t="s">
        <v>131</v>
      </c>
      <c r="C116" t="s">
        <v>5467</v>
      </c>
      <c r="D116" t="s">
        <v>149</v>
      </c>
      <c r="E116">
        <v>487</v>
      </c>
    </row>
    <row r="117" spans="1:5" x14ac:dyDescent="0.2">
      <c r="A117" t="s">
        <v>5477</v>
      </c>
      <c r="B117" t="s">
        <v>131</v>
      </c>
      <c r="C117" t="s">
        <v>5467</v>
      </c>
      <c r="D117" t="s">
        <v>309</v>
      </c>
      <c r="E117">
        <v>54</v>
      </c>
    </row>
    <row r="118" spans="1:5" x14ac:dyDescent="0.2">
      <c r="A118" t="s">
        <v>5477</v>
      </c>
      <c r="B118" t="s">
        <v>131</v>
      </c>
      <c r="C118" t="s">
        <v>5468</v>
      </c>
      <c r="D118" t="s">
        <v>155</v>
      </c>
      <c r="E118">
        <v>225</v>
      </c>
    </row>
    <row r="119" spans="1:5" x14ac:dyDescent="0.2">
      <c r="A119" t="s">
        <v>5477</v>
      </c>
      <c r="B119" t="s">
        <v>131</v>
      </c>
      <c r="C119" t="s">
        <v>5468</v>
      </c>
      <c r="D119" t="s">
        <v>135</v>
      </c>
      <c r="E119">
        <v>361</v>
      </c>
    </row>
    <row r="120" spans="1:5" x14ac:dyDescent="0.2">
      <c r="A120" t="s">
        <v>5477</v>
      </c>
      <c r="B120" t="s">
        <v>131</v>
      </c>
      <c r="C120" t="s">
        <v>5469</v>
      </c>
      <c r="D120">
        <v>1</v>
      </c>
      <c r="E120">
        <v>127</v>
      </c>
    </row>
    <row r="121" spans="1:5" x14ac:dyDescent="0.2">
      <c r="A121" t="s">
        <v>5477</v>
      </c>
      <c r="B121" t="s">
        <v>131</v>
      </c>
      <c r="C121" t="s">
        <v>5469</v>
      </c>
      <c r="D121">
        <v>2</v>
      </c>
      <c r="E121">
        <v>2</v>
      </c>
    </row>
    <row r="122" spans="1:5" x14ac:dyDescent="0.2">
      <c r="A122" t="s">
        <v>5477</v>
      </c>
      <c r="B122" t="s">
        <v>131</v>
      </c>
      <c r="C122" t="s">
        <v>5469</v>
      </c>
      <c r="D122">
        <v>3</v>
      </c>
      <c r="E122">
        <v>457</v>
      </c>
    </row>
    <row r="123" spans="1:5" x14ac:dyDescent="0.2">
      <c r="A123" t="s">
        <v>5477</v>
      </c>
      <c r="B123" t="s">
        <v>131</v>
      </c>
      <c r="C123" t="s">
        <v>5470</v>
      </c>
      <c r="D123" t="s">
        <v>903</v>
      </c>
      <c r="E123">
        <v>21</v>
      </c>
    </row>
    <row r="124" spans="1:5" x14ac:dyDescent="0.2">
      <c r="A124" t="s">
        <v>5477</v>
      </c>
      <c r="B124" t="s">
        <v>131</v>
      </c>
      <c r="C124" t="s">
        <v>5470</v>
      </c>
      <c r="D124" t="s">
        <v>209</v>
      </c>
      <c r="E124">
        <v>33</v>
      </c>
    </row>
    <row r="125" spans="1:5" x14ac:dyDescent="0.2">
      <c r="A125" t="s">
        <v>5477</v>
      </c>
      <c r="B125" t="s">
        <v>131</v>
      </c>
      <c r="C125" t="s">
        <v>5470</v>
      </c>
      <c r="D125" t="s">
        <v>136</v>
      </c>
      <c r="E125">
        <v>532</v>
      </c>
    </row>
    <row r="126" spans="1:5" x14ac:dyDescent="0.2">
      <c r="A126" t="s">
        <v>5477</v>
      </c>
      <c r="B126" t="s">
        <v>131</v>
      </c>
      <c r="C126" t="s">
        <v>5471</v>
      </c>
      <c r="D126" t="s">
        <v>137</v>
      </c>
      <c r="E126">
        <v>586</v>
      </c>
    </row>
    <row r="127" spans="1:5" x14ac:dyDescent="0.2">
      <c r="A127" t="s">
        <v>5477</v>
      </c>
      <c r="B127" t="s">
        <v>131</v>
      </c>
      <c r="C127" t="s">
        <v>5471</v>
      </c>
      <c r="D127" t="s">
        <v>394</v>
      </c>
      <c r="E127">
        <v>4</v>
      </c>
    </row>
    <row r="128" spans="1:5" x14ac:dyDescent="0.2">
      <c r="A128" t="s">
        <v>5477</v>
      </c>
      <c r="B128" t="s">
        <v>131</v>
      </c>
      <c r="C128" t="s">
        <v>5471</v>
      </c>
      <c r="D128" t="s">
        <v>128</v>
      </c>
      <c r="E128">
        <v>26</v>
      </c>
    </row>
    <row r="129" spans="1:5" x14ac:dyDescent="0.2">
      <c r="A129" t="s">
        <v>5477</v>
      </c>
      <c r="B129" t="s">
        <v>124</v>
      </c>
      <c r="C129" t="s">
        <v>5474</v>
      </c>
      <c r="D129" t="s">
        <v>142</v>
      </c>
      <c r="E129">
        <v>120</v>
      </c>
    </row>
    <row r="130" spans="1:5" x14ac:dyDescent="0.2">
      <c r="A130" t="s">
        <v>5477</v>
      </c>
      <c r="B130" t="s">
        <v>124</v>
      </c>
      <c r="C130" t="s">
        <v>5474</v>
      </c>
      <c r="D130" t="s">
        <v>154</v>
      </c>
      <c r="E130">
        <v>423</v>
      </c>
    </row>
    <row r="131" spans="1:5" x14ac:dyDescent="0.2">
      <c r="A131" t="s">
        <v>5477</v>
      </c>
      <c r="B131" t="s">
        <v>124</v>
      </c>
      <c r="C131" t="s">
        <v>5467</v>
      </c>
      <c r="D131" t="s">
        <v>134</v>
      </c>
      <c r="E131">
        <v>21</v>
      </c>
    </row>
    <row r="132" spans="1:5" x14ac:dyDescent="0.2">
      <c r="A132" t="s">
        <v>5477</v>
      </c>
      <c r="B132" t="s">
        <v>124</v>
      </c>
      <c r="C132" t="s">
        <v>5467</v>
      </c>
      <c r="D132" t="s">
        <v>209</v>
      </c>
      <c r="E132">
        <v>8</v>
      </c>
    </row>
    <row r="133" spans="1:5" x14ac:dyDescent="0.2">
      <c r="A133" t="s">
        <v>5477</v>
      </c>
      <c r="B133" t="s">
        <v>124</v>
      </c>
      <c r="C133" t="s">
        <v>5467</v>
      </c>
      <c r="D133" t="s">
        <v>149</v>
      </c>
      <c r="E133">
        <v>702</v>
      </c>
    </row>
    <row r="134" spans="1:5" x14ac:dyDescent="0.2">
      <c r="A134" t="s">
        <v>5477</v>
      </c>
      <c r="B134" t="s">
        <v>124</v>
      </c>
      <c r="C134" t="s">
        <v>5467</v>
      </c>
      <c r="D134" t="s">
        <v>309</v>
      </c>
      <c r="E134">
        <v>76</v>
      </c>
    </row>
    <row r="135" spans="1:5" x14ac:dyDescent="0.2">
      <c r="A135" t="s">
        <v>5477</v>
      </c>
      <c r="B135" t="s">
        <v>124</v>
      </c>
      <c r="C135" t="s">
        <v>5468</v>
      </c>
      <c r="D135" t="s">
        <v>155</v>
      </c>
      <c r="E135">
        <v>390</v>
      </c>
    </row>
    <row r="136" spans="1:5" x14ac:dyDescent="0.2">
      <c r="A136" t="s">
        <v>5477</v>
      </c>
      <c r="B136" t="s">
        <v>124</v>
      </c>
      <c r="C136" t="s">
        <v>5468</v>
      </c>
      <c r="D136" t="s">
        <v>135</v>
      </c>
      <c r="E136">
        <v>968</v>
      </c>
    </row>
    <row r="137" spans="1:5" x14ac:dyDescent="0.2">
      <c r="A137" t="s">
        <v>5477</v>
      </c>
      <c r="B137" t="s">
        <v>124</v>
      </c>
      <c r="C137" t="s">
        <v>5469</v>
      </c>
      <c r="D137">
        <v>1</v>
      </c>
      <c r="E137">
        <v>222</v>
      </c>
    </row>
    <row r="138" spans="1:5" x14ac:dyDescent="0.2">
      <c r="A138" t="s">
        <v>5477</v>
      </c>
      <c r="B138" t="s">
        <v>124</v>
      </c>
      <c r="C138" t="s">
        <v>5469</v>
      </c>
      <c r="D138">
        <v>2</v>
      </c>
      <c r="E138">
        <v>15</v>
      </c>
    </row>
    <row r="139" spans="1:5" x14ac:dyDescent="0.2">
      <c r="A139" t="s">
        <v>5477</v>
      </c>
      <c r="B139" t="s">
        <v>124</v>
      </c>
      <c r="C139" t="s">
        <v>5469</v>
      </c>
      <c r="D139">
        <v>3</v>
      </c>
      <c r="E139">
        <v>570</v>
      </c>
    </row>
    <row r="140" spans="1:5" x14ac:dyDescent="0.2">
      <c r="A140" t="s">
        <v>5477</v>
      </c>
      <c r="B140" t="s">
        <v>124</v>
      </c>
      <c r="C140" t="s">
        <v>5470</v>
      </c>
      <c r="D140" t="s">
        <v>903</v>
      </c>
      <c r="E140">
        <v>35</v>
      </c>
    </row>
    <row r="141" spans="1:5" x14ac:dyDescent="0.2">
      <c r="A141" t="s">
        <v>5477</v>
      </c>
      <c r="B141" t="s">
        <v>124</v>
      </c>
      <c r="C141" t="s">
        <v>5470</v>
      </c>
      <c r="D141" t="s">
        <v>209</v>
      </c>
      <c r="E141">
        <v>45</v>
      </c>
    </row>
    <row r="142" spans="1:5" x14ac:dyDescent="0.2">
      <c r="A142" t="s">
        <v>5477</v>
      </c>
      <c r="B142" t="s">
        <v>124</v>
      </c>
      <c r="C142" t="s">
        <v>5470</v>
      </c>
      <c r="D142" t="s">
        <v>143</v>
      </c>
      <c r="E142">
        <v>543</v>
      </c>
    </row>
    <row r="143" spans="1:5" x14ac:dyDescent="0.2">
      <c r="A143" t="s">
        <v>5477</v>
      </c>
      <c r="B143" t="s">
        <v>124</v>
      </c>
      <c r="C143" t="s">
        <v>5470</v>
      </c>
      <c r="D143" t="s">
        <v>136</v>
      </c>
      <c r="E143">
        <v>735</v>
      </c>
    </row>
    <row r="144" spans="1:5" x14ac:dyDescent="0.2">
      <c r="A144" t="s">
        <v>5477</v>
      </c>
      <c r="B144" t="s">
        <v>124</v>
      </c>
      <c r="C144" t="s">
        <v>5471</v>
      </c>
      <c r="D144" t="s">
        <v>137</v>
      </c>
      <c r="E144">
        <v>808</v>
      </c>
    </row>
    <row r="145" spans="1:5" x14ac:dyDescent="0.2">
      <c r="A145" t="s">
        <v>5477</v>
      </c>
      <c r="B145" t="s">
        <v>124</v>
      </c>
      <c r="C145" t="s">
        <v>5471</v>
      </c>
      <c r="D145" t="s">
        <v>394</v>
      </c>
      <c r="E145">
        <v>75</v>
      </c>
    </row>
    <row r="146" spans="1:5" x14ac:dyDescent="0.2">
      <c r="A146" t="s">
        <v>5477</v>
      </c>
      <c r="B146" t="s">
        <v>124</v>
      </c>
      <c r="C146" t="s">
        <v>5471</v>
      </c>
      <c r="D146" t="s">
        <v>128</v>
      </c>
      <c r="E146">
        <v>607</v>
      </c>
    </row>
    <row r="147" spans="1:5" x14ac:dyDescent="0.2">
      <c r="A147" t="s">
        <v>5477</v>
      </c>
      <c r="B147" t="s">
        <v>124</v>
      </c>
      <c r="C147" t="s">
        <v>5471</v>
      </c>
      <c r="D147" t="s">
        <v>144</v>
      </c>
      <c r="E147">
        <v>550</v>
      </c>
    </row>
    <row r="148" spans="1:5" x14ac:dyDescent="0.2">
      <c r="A148" t="s">
        <v>5478</v>
      </c>
      <c r="B148" t="s">
        <v>131</v>
      </c>
      <c r="C148" t="s">
        <v>5479</v>
      </c>
      <c r="D148" t="s">
        <v>5480</v>
      </c>
      <c r="E148">
        <v>1</v>
      </c>
    </row>
    <row r="149" spans="1:5" x14ac:dyDescent="0.2">
      <c r="A149" t="s">
        <v>5478</v>
      </c>
      <c r="B149" t="s">
        <v>131</v>
      </c>
      <c r="C149" t="s">
        <v>5474</v>
      </c>
      <c r="D149" t="s">
        <v>154</v>
      </c>
      <c r="E149">
        <v>6</v>
      </c>
    </row>
    <row r="150" spans="1:5" x14ac:dyDescent="0.2">
      <c r="A150" t="s">
        <v>5478</v>
      </c>
      <c r="B150" t="s">
        <v>131</v>
      </c>
      <c r="C150" t="s">
        <v>5467</v>
      </c>
      <c r="D150" t="s">
        <v>134</v>
      </c>
      <c r="E150">
        <v>15</v>
      </c>
    </row>
    <row r="151" spans="1:5" x14ac:dyDescent="0.2">
      <c r="A151" t="s">
        <v>5478</v>
      </c>
      <c r="B151" t="s">
        <v>131</v>
      </c>
      <c r="C151" t="s">
        <v>5467</v>
      </c>
      <c r="D151" t="s">
        <v>209</v>
      </c>
      <c r="E151">
        <v>1</v>
      </c>
    </row>
    <row r="152" spans="1:5" x14ac:dyDescent="0.2">
      <c r="A152" t="s">
        <v>5478</v>
      </c>
      <c r="B152" t="s">
        <v>131</v>
      </c>
      <c r="C152" t="s">
        <v>5467</v>
      </c>
      <c r="D152" t="s">
        <v>149</v>
      </c>
      <c r="E152">
        <v>255</v>
      </c>
    </row>
    <row r="153" spans="1:5" x14ac:dyDescent="0.2">
      <c r="A153" t="s">
        <v>5478</v>
      </c>
      <c r="B153" t="s">
        <v>131</v>
      </c>
      <c r="C153" t="s">
        <v>5467</v>
      </c>
      <c r="D153" t="s">
        <v>309</v>
      </c>
      <c r="E153">
        <v>19</v>
      </c>
    </row>
    <row r="154" spans="1:5" x14ac:dyDescent="0.2">
      <c r="A154" t="s">
        <v>5478</v>
      </c>
      <c r="B154" t="s">
        <v>131</v>
      </c>
      <c r="C154" t="s">
        <v>5468</v>
      </c>
      <c r="D154" t="s">
        <v>155</v>
      </c>
      <c r="E154">
        <v>87</v>
      </c>
    </row>
    <row r="155" spans="1:5" x14ac:dyDescent="0.2">
      <c r="A155" t="s">
        <v>5478</v>
      </c>
      <c r="B155" t="s">
        <v>131</v>
      </c>
      <c r="C155" t="s">
        <v>5468</v>
      </c>
      <c r="D155" t="s">
        <v>135</v>
      </c>
      <c r="E155">
        <v>210</v>
      </c>
    </row>
    <row r="156" spans="1:5" x14ac:dyDescent="0.2">
      <c r="A156" t="s">
        <v>5478</v>
      </c>
      <c r="B156" t="s">
        <v>131</v>
      </c>
      <c r="C156" t="s">
        <v>5469</v>
      </c>
      <c r="D156">
        <v>1</v>
      </c>
      <c r="E156">
        <v>109</v>
      </c>
    </row>
    <row r="157" spans="1:5" x14ac:dyDescent="0.2">
      <c r="A157" t="s">
        <v>5478</v>
      </c>
      <c r="B157" t="s">
        <v>131</v>
      </c>
      <c r="C157" t="s">
        <v>5469</v>
      </c>
      <c r="D157">
        <v>2</v>
      </c>
      <c r="E157">
        <v>14</v>
      </c>
    </row>
    <row r="158" spans="1:5" x14ac:dyDescent="0.2">
      <c r="A158" t="s">
        <v>5478</v>
      </c>
      <c r="B158" t="s">
        <v>131</v>
      </c>
      <c r="C158" t="s">
        <v>5469</v>
      </c>
      <c r="D158">
        <v>3</v>
      </c>
      <c r="E158">
        <v>168</v>
      </c>
    </row>
    <row r="159" spans="1:5" x14ac:dyDescent="0.2">
      <c r="A159" t="s">
        <v>5478</v>
      </c>
      <c r="B159" t="s">
        <v>131</v>
      </c>
      <c r="C159" t="s">
        <v>5470</v>
      </c>
      <c r="D159" t="s">
        <v>903</v>
      </c>
      <c r="E159">
        <v>1</v>
      </c>
    </row>
    <row r="160" spans="1:5" x14ac:dyDescent="0.2">
      <c r="A160" t="s">
        <v>5478</v>
      </c>
      <c r="B160" t="s">
        <v>131</v>
      </c>
      <c r="C160" t="s">
        <v>5470</v>
      </c>
      <c r="D160" t="s">
        <v>209</v>
      </c>
      <c r="E160">
        <v>35</v>
      </c>
    </row>
    <row r="161" spans="1:5" x14ac:dyDescent="0.2">
      <c r="A161" t="s">
        <v>5478</v>
      </c>
      <c r="B161" t="s">
        <v>131</v>
      </c>
      <c r="C161" t="s">
        <v>5470</v>
      </c>
      <c r="D161" t="s">
        <v>143</v>
      </c>
      <c r="E161">
        <v>2</v>
      </c>
    </row>
    <row r="162" spans="1:5" x14ac:dyDescent="0.2">
      <c r="A162" t="s">
        <v>5478</v>
      </c>
      <c r="B162" t="s">
        <v>131</v>
      </c>
      <c r="C162" t="s">
        <v>5470</v>
      </c>
      <c r="D162" t="s">
        <v>136</v>
      </c>
      <c r="E162">
        <v>252</v>
      </c>
    </row>
    <row r="163" spans="1:5" x14ac:dyDescent="0.2">
      <c r="A163" t="s">
        <v>5478</v>
      </c>
      <c r="B163" t="s">
        <v>131</v>
      </c>
      <c r="C163" t="s">
        <v>5471</v>
      </c>
      <c r="D163" t="s">
        <v>137</v>
      </c>
      <c r="E163">
        <v>28</v>
      </c>
    </row>
    <row r="164" spans="1:5" x14ac:dyDescent="0.2">
      <c r="A164" t="s">
        <v>5478</v>
      </c>
      <c r="B164" t="s">
        <v>131</v>
      </c>
      <c r="C164" t="s">
        <v>5471</v>
      </c>
      <c r="D164" t="s">
        <v>128</v>
      </c>
      <c r="E164">
        <v>13</v>
      </c>
    </row>
    <row r="165" spans="1:5" x14ac:dyDescent="0.2">
      <c r="A165" t="s">
        <v>5478</v>
      </c>
      <c r="B165" t="s">
        <v>131</v>
      </c>
      <c r="C165" t="s">
        <v>5471</v>
      </c>
      <c r="D165" t="s">
        <v>144</v>
      </c>
      <c r="E165">
        <v>8</v>
      </c>
    </row>
    <row r="166" spans="1:5" x14ac:dyDescent="0.2">
      <c r="A166" t="s">
        <v>5478</v>
      </c>
      <c r="B166" t="s">
        <v>131</v>
      </c>
      <c r="C166" t="s">
        <v>5481</v>
      </c>
      <c r="D166" t="s">
        <v>5482</v>
      </c>
      <c r="E166">
        <v>7</v>
      </c>
    </row>
    <row r="167" spans="1:5" x14ac:dyDescent="0.2">
      <c r="A167" t="s">
        <v>5478</v>
      </c>
      <c r="B167" t="s">
        <v>124</v>
      </c>
      <c r="C167" t="s">
        <v>5483</v>
      </c>
      <c r="D167" t="s">
        <v>209</v>
      </c>
      <c r="E167">
        <v>1</v>
      </c>
    </row>
    <row r="168" spans="1:5" x14ac:dyDescent="0.2">
      <c r="A168" t="s">
        <v>5478</v>
      </c>
      <c r="B168" t="s">
        <v>124</v>
      </c>
      <c r="C168" t="s">
        <v>5479</v>
      </c>
      <c r="D168" t="s">
        <v>5484</v>
      </c>
      <c r="E168">
        <v>5</v>
      </c>
    </row>
    <row r="169" spans="1:5" x14ac:dyDescent="0.2">
      <c r="A169" t="s">
        <v>5478</v>
      </c>
      <c r="B169" t="s">
        <v>124</v>
      </c>
      <c r="C169" t="s">
        <v>5479</v>
      </c>
      <c r="D169" t="s">
        <v>5480</v>
      </c>
      <c r="E169">
        <v>8</v>
      </c>
    </row>
    <row r="170" spans="1:5" x14ac:dyDescent="0.2">
      <c r="A170" t="s">
        <v>5478</v>
      </c>
      <c r="B170" t="s">
        <v>124</v>
      </c>
      <c r="C170" t="s">
        <v>5485</v>
      </c>
      <c r="D170" t="s">
        <v>5486</v>
      </c>
      <c r="E170">
        <v>6</v>
      </c>
    </row>
    <row r="171" spans="1:5" x14ac:dyDescent="0.2">
      <c r="A171" t="s">
        <v>5478</v>
      </c>
      <c r="B171" t="s">
        <v>124</v>
      </c>
      <c r="C171" t="s">
        <v>5487</v>
      </c>
      <c r="D171" t="s">
        <v>5486</v>
      </c>
      <c r="E171">
        <v>3</v>
      </c>
    </row>
    <row r="172" spans="1:5" x14ac:dyDescent="0.2">
      <c r="A172" t="s">
        <v>5478</v>
      </c>
      <c r="B172" t="s">
        <v>124</v>
      </c>
      <c r="C172" t="s">
        <v>5474</v>
      </c>
      <c r="D172" t="s">
        <v>142</v>
      </c>
      <c r="E172">
        <v>47</v>
      </c>
    </row>
    <row r="173" spans="1:5" x14ac:dyDescent="0.2">
      <c r="A173" t="s">
        <v>5478</v>
      </c>
      <c r="B173" t="s">
        <v>124</v>
      </c>
      <c r="C173" t="s">
        <v>5474</v>
      </c>
      <c r="D173" t="s">
        <v>154</v>
      </c>
      <c r="E173">
        <v>98</v>
      </c>
    </row>
    <row r="174" spans="1:5" x14ac:dyDescent="0.2">
      <c r="A174" t="s">
        <v>5478</v>
      </c>
      <c r="B174" t="s">
        <v>124</v>
      </c>
      <c r="C174" t="s">
        <v>5467</v>
      </c>
      <c r="D174" t="s">
        <v>134</v>
      </c>
      <c r="E174">
        <v>17</v>
      </c>
    </row>
    <row r="175" spans="1:5" x14ac:dyDescent="0.2">
      <c r="A175" t="s">
        <v>5478</v>
      </c>
      <c r="B175" t="s">
        <v>124</v>
      </c>
      <c r="C175" t="s">
        <v>5467</v>
      </c>
      <c r="D175" t="s">
        <v>209</v>
      </c>
      <c r="E175">
        <v>25</v>
      </c>
    </row>
    <row r="176" spans="1:5" x14ac:dyDescent="0.2">
      <c r="A176" t="s">
        <v>5478</v>
      </c>
      <c r="B176" t="s">
        <v>124</v>
      </c>
      <c r="C176" t="s">
        <v>5467</v>
      </c>
      <c r="D176" t="s">
        <v>149</v>
      </c>
      <c r="E176">
        <v>599</v>
      </c>
    </row>
    <row r="177" spans="1:5" x14ac:dyDescent="0.2">
      <c r="A177" t="s">
        <v>5478</v>
      </c>
      <c r="B177" t="s">
        <v>124</v>
      </c>
      <c r="C177" t="s">
        <v>5467</v>
      </c>
      <c r="D177" t="s">
        <v>5488</v>
      </c>
      <c r="E177">
        <v>1</v>
      </c>
    </row>
    <row r="178" spans="1:5" x14ac:dyDescent="0.2">
      <c r="A178" t="s">
        <v>5478</v>
      </c>
      <c r="B178" t="s">
        <v>124</v>
      </c>
      <c r="C178" t="s">
        <v>5467</v>
      </c>
      <c r="D178" t="s">
        <v>309</v>
      </c>
      <c r="E178">
        <v>33</v>
      </c>
    </row>
    <row r="179" spans="1:5" x14ac:dyDescent="0.2">
      <c r="A179" t="s">
        <v>5478</v>
      </c>
      <c r="B179" t="s">
        <v>124</v>
      </c>
      <c r="C179" t="s">
        <v>5468</v>
      </c>
      <c r="D179" t="s">
        <v>5489</v>
      </c>
      <c r="E179">
        <v>1</v>
      </c>
    </row>
    <row r="180" spans="1:5" x14ac:dyDescent="0.2">
      <c r="A180" t="s">
        <v>5478</v>
      </c>
      <c r="B180" t="s">
        <v>124</v>
      </c>
      <c r="C180" t="s">
        <v>5468</v>
      </c>
      <c r="D180" t="s">
        <v>155</v>
      </c>
      <c r="E180">
        <v>272</v>
      </c>
    </row>
    <row r="181" spans="1:5" x14ac:dyDescent="0.2">
      <c r="A181" t="s">
        <v>5478</v>
      </c>
      <c r="B181" t="s">
        <v>124</v>
      </c>
      <c r="C181" t="s">
        <v>5468</v>
      </c>
      <c r="D181" t="s">
        <v>135</v>
      </c>
      <c r="E181">
        <v>551</v>
      </c>
    </row>
    <row r="182" spans="1:5" x14ac:dyDescent="0.2">
      <c r="A182" t="s">
        <v>5478</v>
      </c>
      <c r="B182" t="s">
        <v>124</v>
      </c>
      <c r="C182" t="s">
        <v>5469</v>
      </c>
      <c r="D182">
        <v>1</v>
      </c>
      <c r="E182">
        <v>168</v>
      </c>
    </row>
    <row r="183" spans="1:5" x14ac:dyDescent="0.2">
      <c r="A183" t="s">
        <v>5478</v>
      </c>
      <c r="B183" t="s">
        <v>124</v>
      </c>
      <c r="C183" t="s">
        <v>5469</v>
      </c>
      <c r="D183">
        <v>2</v>
      </c>
      <c r="E183">
        <v>91</v>
      </c>
    </row>
    <row r="184" spans="1:5" x14ac:dyDescent="0.2">
      <c r="A184" t="s">
        <v>5478</v>
      </c>
      <c r="B184" t="s">
        <v>124</v>
      </c>
      <c r="C184" t="s">
        <v>5469</v>
      </c>
      <c r="D184">
        <v>3</v>
      </c>
      <c r="E184">
        <v>421</v>
      </c>
    </row>
    <row r="185" spans="1:5" x14ac:dyDescent="0.2">
      <c r="A185" t="s">
        <v>5478</v>
      </c>
      <c r="B185" t="s">
        <v>124</v>
      </c>
      <c r="C185" t="s">
        <v>5476</v>
      </c>
      <c r="D185" t="s">
        <v>5490</v>
      </c>
      <c r="E185">
        <v>10</v>
      </c>
    </row>
    <row r="186" spans="1:5" x14ac:dyDescent="0.2">
      <c r="A186" t="s">
        <v>5478</v>
      </c>
      <c r="B186" t="s">
        <v>124</v>
      </c>
      <c r="C186" t="s">
        <v>5470</v>
      </c>
      <c r="D186" t="s">
        <v>903</v>
      </c>
      <c r="E186">
        <v>21</v>
      </c>
    </row>
    <row r="187" spans="1:5" x14ac:dyDescent="0.2">
      <c r="A187" t="s">
        <v>5478</v>
      </c>
      <c r="B187" t="s">
        <v>124</v>
      </c>
      <c r="C187" t="s">
        <v>5470</v>
      </c>
      <c r="D187" t="s">
        <v>209</v>
      </c>
      <c r="E187">
        <v>50</v>
      </c>
    </row>
    <row r="188" spans="1:5" x14ac:dyDescent="0.2">
      <c r="A188" t="s">
        <v>5478</v>
      </c>
      <c r="B188" t="s">
        <v>124</v>
      </c>
      <c r="C188" t="s">
        <v>5470</v>
      </c>
      <c r="D188" t="s">
        <v>143</v>
      </c>
      <c r="E188">
        <v>28</v>
      </c>
    </row>
    <row r="189" spans="1:5" x14ac:dyDescent="0.2">
      <c r="A189" t="s">
        <v>5478</v>
      </c>
      <c r="B189" t="s">
        <v>124</v>
      </c>
      <c r="C189" t="s">
        <v>5470</v>
      </c>
      <c r="D189" t="s">
        <v>136</v>
      </c>
      <c r="E189">
        <v>575</v>
      </c>
    </row>
    <row r="190" spans="1:5" x14ac:dyDescent="0.2">
      <c r="A190" t="s">
        <v>5478</v>
      </c>
      <c r="B190" t="s">
        <v>124</v>
      </c>
      <c r="C190" t="s">
        <v>5471</v>
      </c>
      <c r="D190" t="s">
        <v>137</v>
      </c>
      <c r="E190">
        <v>49</v>
      </c>
    </row>
    <row r="191" spans="1:5" x14ac:dyDescent="0.2">
      <c r="A191" t="s">
        <v>5478</v>
      </c>
      <c r="B191" t="s">
        <v>124</v>
      </c>
      <c r="C191" t="s">
        <v>5471</v>
      </c>
      <c r="D191" t="s">
        <v>394</v>
      </c>
      <c r="E191">
        <v>56</v>
      </c>
    </row>
    <row r="192" spans="1:5" x14ac:dyDescent="0.2">
      <c r="A192" t="s">
        <v>5478</v>
      </c>
      <c r="B192" t="s">
        <v>124</v>
      </c>
      <c r="C192" t="s">
        <v>5471</v>
      </c>
      <c r="D192" t="s">
        <v>128</v>
      </c>
      <c r="E192">
        <v>321</v>
      </c>
    </row>
    <row r="193" spans="1:5" x14ac:dyDescent="0.2">
      <c r="A193" t="s">
        <v>5478</v>
      </c>
      <c r="B193" t="s">
        <v>124</v>
      </c>
      <c r="C193" t="s">
        <v>5471</v>
      </c>
      <c r="D193" t="s">
        <v>144</v>
      </c>
      <c r="E193">
        <v>203</v>
      </c>
    </row>
    <row r="194" spans="1:5" x14ac:dyDescent="0.2">
      <c r="A194" t="s">
        <v>5478</v>
      </c>
      <c r="B194" t="s">
        <v>124</v>
      </c>
      <c r="C194" t="s">
        <v>5481</v>
      </c>
      <c r="D194" t="s">
        <v>5482</v>
      </c>
      <c r="E194">
        <v>4</v>
      </c>
    </row>
    <row r="195" spans="1:5" x14ac:dyDescent="0.2">
      <c r="A195" t="s">
        <v>5491</v>
      </c>
      <c r="B195" t="s">
        <v>131</v>
      </c>
      <c r="C195" t="s">
        <v>5479</v>
      </c>
      <c r="D195" t="s">
        <v>5480</v>
      </c>
      <c r="E195">
        <v>1</v>
      </c>
    </row>
    <row r="196" spans="1:5" x14ac:dyDescent="0.2">
      <c r="A196" t="s">
        <v>5491</v>
      </c>
      <c r="B196" t="s">
        <v>131</v>
      </c>
      <c r="C196" t="s">
        <v>5474</v>
      </c>
      <c r="D196" t="s">
        <v>154</v>
      </c>
      <c r="E196">
        <v>3</v>
      </c>
    </row>
    <row r="197" spans="1:5" x14ac:dyDescent="0.2">
      <c r="A197" t="s">
        <v>5491</v>
      </c>
      <c r="B197" t="s">
        <v>131</v>
      </c>
      <c r="C197" t="s">
        <v>5467</v>
      </c>
      <c r="D197" t="s">
        <v>134</v>
      </c>
      <c r="E197">
        <v>7</v>
      </c>
    </row>
    <row r="198" spans="1:5" x14ac:dyDescent="0.2">
      <c r="A198" t="s">
        <v>5491</v>
      </c>
      <c r="B198" t="s">
        <v>131</v>
      </c>
      <c r="C198" t="s">
        <v>5467</v>
      </c>
      <c r="D198" t="s">
        <v>149</v>
      </c>
      <c r="E198">
        <v>136</v>
      </c>
    </row>
    <row r="199" spans="1:5" x14ac:dyDescent="0.2">
      <c r="A199" t="s">
        <v>5491</v>
      </c>
      <c r="B199" t="s">
        <v>131</v>
      </c>
      <c r="C199" t="s">
        <v>5467</v>
      </c>
      <c r="D199" t="s">
        <v>309</v>
      </c>
      <c r="E199">
        <v>4</v>
      </c>
    </row>
    <row r="200" spans="1:5" x14ac:dyDescent="0.2">
      <c r="A200" t="s">
        <v>5491</v>
      </c>
      <c r="B200" t="s">
        <v>131</v>
      </c>
      <c r="C200" t="s">
        <v>5468</v>
      </c>
      <c r="D200" t="s">
        <v>155</v>
      </c>
      <c r="E200">
        <v>23</v>
      </c>
    </row>
    <row r="201" spans="1:5" x14ac:dyDescent="0.2">
      <c r="A201" t="s">
        <v>5491</v>
      </c>
      <c r="B201" t="s">
        <v>131</v>
      </c>
      <c r="C201" t="s">
        <v>5468</v>
      </c>
      <c r="D201" t="s">
        <v>135</v>
      </c>
      <c r="E201">
        <v>127</v>
      </c>
    </row>
    <row r="202" spans="1:5" x14ac:dyDescent="0.2">
      <c r="A202" t="s">
        <v>5491</v>
      </c>
      <c r="B202" t="s">
        <v>131</v>
      </c>
      <c r="C202" t="s">
        <v>5469</v>
      </c>
      <c r="D202">
        <v>1</v>
      </c>
      <c r="E202">
        <v>77</v>
      </c>
    </row>
    <row r="203" spans="1:5" x14ac:dyDescent="0.2">
      <c r="A203" t="s">
        <v>5491</v>
      </c>
      <c r="B203" t="s">
        <v>131</v>
      </c>
      <c r="C203" t="s">
        <v>5469</v>
      </c>
      <c r="D203">
        <v>2</v>
      </c>
      <c r="E203">
        <v>4</v>
      </c>
    </row>
    <row r="204" spans="1:5" x14ac:dyDescent="0.2">
      <c r="A204" t="s">
        <v>5491</v>
      </c>
      <c r="B204" t="s">
        <v>131</v>
      </c>
      <c r="C204" t="s">
        <v>5469</v>
      </c>
      <c r="D204">
        <v>3</v>
      </c>
      <c r="E204">
        <v>66</v>
      </c>
    </row>
    <row r="205" spans="1:5" x14ac:dyDescent="0.2">
      <c r="A205" t="s">
        <v>5491</v>
      </c>
      <c r="B205" t="s">
        <v>131</v>
      </c>
      <c r="C205" t="s">
        <v>5470</v>
      </c>
      <c r="D205" t="s">
        <v>903</v>
      </c>
      <c r="E205">
        <v>1</v>
      </c>
    </row>
    <row r="206" spans="1:5" x14ac:dyDescent="0.2">
      <c r="A206" t="s">
        <v>5491</v>
      </c>
      <c r="B206" t="s">
        <v>131</v>
      </c>
      <c r="C206" t="s">
        <v>5470</v>
      </c>
      <c r="D206" t="s">
        <v>209</v>
      </c>
      <c r="E206">
        <v>24</v>
      </c>
    </row>
    <row r="207" spans="1:5" x14ac:dyDescent="0.2">
      <c r="A207" t="s">
        <v>5491</v>
      </c>
      <c r="B207" t="s">
        <v>131</v>
      </c>
      <c r="C207" t="s">
        <v>5470</v>
      </c>
      <c r="D207" t="s">
        <v>143</v>
      </c>
      <c r="E207">
        <v>2</v>
      </c>
    </row>
    <row r="208" spans="1:5" x14ac:dyDescent="0.2">
      <c r="A208" t="s">
        <v>5491</v>
      </c>
      <c r="B208" t="s">
        <v>131</v>
      </c>
      <c r="C208" t="s">
        <v>5470</v>
      </c>
      <c r="D208" t="s">
        <v>136</v>
      </c>
      <c r="E208">
        <v>120</v>
      </c>
    </row>
    <row r="209" spans="1:5" x14ac:dyDescent="0.2">
      <c r="A209" t="s">
        <v>5491</v>
      </c>
      <c r="B209" t="s">
        <v>131</v>
      </c>
      <c r="C209" t="s">
        <v>5471</v>
      </c>
      <c r="D209" t="s">
        <v>137</v>
      </c>
      <c r="E209">
        <v>28</v>
      </c>
    </row>
    <row r="210" spans="1:5" x14ac:dyDescent="0.2">
      <c r="A210" t="s">
        <v>5491</v>
      </c>
      <c r="B210" t="s">
        <v>131</v>
      </c>
      <c r="C210" t="s">
        <v>5471</v>
      </c>
      <c r="D210" t="s">
        <v>128</v>
      </c>
      <c r="E210">
        <v>11</v>
      </c>
    </row>
    <row r="211" spans="1:5" x14ac:dyDescent="0.2">
      <c r="A211" t="s">
        <v>5491</v>
      </c>
      <c r="B211" t="s">
        <v>131</v>
      </c>
      <c r="C211" t="s">
        <v>5471</v>
      </c>
      <c r="D211" t="s">
        <v>144</v>
      </c>
      <c r="E211">
        <v>4</v>
      </c>
    </row>
    <row r="212" spans="1:5" x14ac:dyDescent="0.2">
      <c r="A212" t="s">
        <v>5491</v>
      </c>
      <c r="B212" t="s">
        <v>131</v>
      </c>
      <c r="C212" t="s">
        <v>5481</v>
      </c>
      <c r="D212" t="s">
        <v>5482</v>
      </c>
      <c r="E212">
        <v>4</v>
      </c>
    </row>
    <row r="213" spans="1:5" x14ac:dyDescent="0.2">
      <c r="A213" t="s">
        <v>5491</v>
      </c>
      <c r="B213" t="s">
        <v>124</v>
      </c>
      <c r="C213" t="s">
        <v>5483</v>
      </c>
      <c r="D213" t="s">
        <v>209</v>
      </c>
      <c r="E213">
        <v>1</v>
      </c>
    </row>
    <row r="214" spans="1:5" x14ac:dyDescent="0.2">
      <c r="A214" t="s">
        <v>5491</v>
      </c>
      <c r="B214" t="s">
        <v>124</v>
      </c>
      <c r="C214" t="s">
        <v>5479</v>
      </c>
      <c r="D214" t="s">
        <v>5484</v>
      </c>
      <c r="E214">
        <v>3</v>
      </c>
    </row>
    <row r="215" spans="1:5" x14ac:dyDescent="0.2">
      <c r="A215" t="s">
        <v>5491</v>
      </c>
      <c r="B215" t="s">
        <v>124</v>
      </c>
      <c r="C215" t="s">
        <v>5479</v>
      </c>
      <c r="D215" t="s">
        <v>5480</v>
      </c>
      <c r="E215">
        <v>7</v>
      </c>
    </row>
    <row r="216" spans="1:5" x14ac:dyDescent="0.2">
      <c r="A216" t="s">
        <v>5491</v>
      </c>
      <c r="B216" t="s">
        <v>124</v>
      </c>
      <c r="C216" t="s">
        <v>5485</v>
      </c>
      <c r="D216" t="s">
        <v>5486</v>
      </c>
      <c r="E216">
        <v>6</v>
      </c>
    </row>
    <row r="217" spans="1:5" x14ac:dyDescent="0.2">
      <c r="A217" t="s">
        <v>5491</v>
      </c>
      <c r="B217" t="s">
        <v>124</v>
      </c>
      <c r="C217" t="s">
        <v>5487</v>
      </c>
      <c r="D217" t="s">
        <v>5486</v>
      </c>
      <c r="E217">
        <v>1</v>
      </c>
    </row>
    <row r="218" spans="1:5" x14ac:dyDescent="0.2">
      <c r="A218" t="s">
        <v>5491</v>
      </c>
      <c r="B218" t="s">
        <v>124</v>
      </c>
      <c r="C218" t="s">
        <v>5474</v>
      </c>
      <c r="D218" t="s">
        <v>142</v>
      </c>
      <c r="E218">
        <v>29</v>
      </c>
    </row>
    <row r="219" spans="1:5" x14ac:dyDescent="0.2">
      <c r="A219" t="s">
        <v>5491</v>
      </c>
      <c r="B219" t="s">
        <v>124</v>
      </c>
      <c r="C219" t="s">
        <v>5474</v>
      </c>
      <c r="D219" t="s">
        <v>154</v>
      </c>
      <c r="E219">
        <v>51</v>
      </c>
    </row>
    <row r="220" spans="1:5" x14ac:dyDescent="0.2">
      <c r="A220" t="s">
        <v>5491</v>
      </c>
      <c r="B220" t="s">
        <v>124</v>
      </c>
      <c r="C220" t="s">
        <v>5467</v>
      </c>
      <c r="D220" t="s">
        <v>134</v>
      </c>
      <c r="E220">
        <v>2</v>
      </c>
    </row>
    <row r="221" spans="1:5" x14ac:dyDescent="0.2">
      <c r="A221" t="s">
        <v>5491</v>
      </c>
      <c r="B221" t="s">
        <v>124</v>
      </c>
      <c r="C221" t="s">
        <v>5467</v>
      </c>
      <c r="D221" t="s">
        <v>209</v>
      </c>
      <c r="E221">
        <v>6</v>
      </c>
    </row>
    <row r="222" spans="1:5" x14ac:dyDescent="0.2">
      <c r="A222" t="s">
        <v>5491</v>
      </c>
      <c r="B222" t="s">
        <v>124</v>
      </c>
      <c r="C222" t="s">
        <v>5467</v>
      </c>
      <c r="D222" t="s">
        <v>149</v>
      </c>
      <c r="E222">
        <v>259</v>
      </c>
    </row>
    <row r="223" spans="1:5" x14ac:dyDescent="0.2">
      <c r="A223" t="s">
        <v>5491</v>
      </c>
      <c r="B223" t="s">
        <v>124</v>
      </c>
      <c r="C223" t="s">
        <v>5467</v>
      </c>
      <c r="D223" t="s">
        <v>5488</v>
      </c>
      <c r="E223">
        <v>1</v>
      </c>
    </row>
    <row r="224" spans="1:5" x14ac:dyDescent="0.2">
      <c r="A224" t="s">
        <v>5491</v>
      </c>
      <c r="B224" t="s">
        <v>124</v>
      </c>
      <c r="C224" t="s">
        <v>5467</v>
      </c>
      <c r="D224" t="s">
        <v>309</v>
      </c>
      <c r="E224">
        <v>7</v>
      </c>
    </row>
    <row r="225" spans="1:5" x14ac:dyDescent="0.2">
      <c r="A225" t="s">
        <v>5491</v>
      </c>
      <c r="B225" t="s">
        <v>124</v>
      </c>
      <c r="C225" t="s">
        <v>5468</v>
      </c>
      <c r="D225" t="s">
        <v>5489</v>
      </c>
      <c r="E225">
        <v>1</v>
      </c>
    </row>
    <row r="226" spans="1:5" x14ac:dyDescent="0.2">
      <c r="A226" t="s">
        <v>5491</v>
      </c>
      <c r="B226" t="s">
        <v>124</v>
      </c>
      <c r="C226" t="s">
        <v>5468</v>
      </c>
      <c r="D226" t="s">
        <v>155</v>
      </c>
      <c r="E226">
        <v>63</v>
      </c>
    </row>
    <row r="227" spans="1:5" x14ac:dyDescent="0.2">
      <c r="A227" t="s">
        <v>5491</v>
      </c>
      <c r="B227" t="s">
        <v>124</v>
      </c>
      <c r="C227" t="s">
        <v>5468</v>
      </c>
      <c r="D227" t="s">
        <v>135</v>
      </c>
      <c r="E227">
        <v>293</v>
      </c>
    </row>
    <row r="228" spans="1:5" x14ac:dyDescent="0.2">
      <c r="A228" t="s">
        <v>5491</v>
      </c>
      <c r="B228" t="s">
        <v>124</v>
      </c>
      <c r="C228" t="s">
        <v>5469</v>
      </c>
      <c r="D228">
        <v>1</v>
      </c>
      <c r="E228">
        <v>89</v>
      </c>
    </row>
    <row r="229" spans="1:5" x14ac:dyDescent="0.2">
      <c r="A229" t="s">
        <v>5491</v>
      </c>
      <c r="B229" t="s">
        <v>124</v>
      </c>
      <c r="C229" t="s">
        <v>5469</v>
      </c>
      <c r="D229">
        <v>2</v>
      </c>
      <c r="E229">
        <v>40</v>
      </c>
    </row>
    <row r="230" spans="1:5" x14ac:dyDescent="0.2">
      <c r="A230" t="s">
        <v>5491</v>
      </c>
      <c r="B230" t="s">
        <v>124</v>
      </c>
      <c r="C230" t="s">
        <v>5469</v>
      </c>
      <c r="D230">
        <v>3</v>
      </c>
      <c r="E230">
        <v>150</v>
      </c>
    </row>
    <row r="231" spans="1:5" x14ac:dyDescent="0.2">
      <c r="A231" t="s">
        <v>5491</v>
      </c>
      <c r="B231" t="s">
        <v>124</v>
      </c>
      <c r="C231" t="s">
        <v>5476</v>
      </c>
      <c r="D231" t="s">
        <v>5490</v>
      </c>
      <c r="E231">
        <v>7</v>
      </c>
    </row>
    <row r="232" spans="1:5" x14ac:dyDescent="0.2">
      <c r="A232" t="s">
        <v>5491</v>
      </c>
      <c r="B232" t="s">
        <v>124</v>
      </c>
      <c r="C232" t="s">
        <v>5470</v>
      </c>
      <c r="D232" t="s">
        <v>903</v>
      </c>
      <c r="E232">
        <v>14</v>
      </c>
    </row>
    <row r="233" spans="1:5" x14ac:dyDescent="0.2">
      <c r="A233" t="s">
        <v>5491</v>
      </c>
      <c r="B233" t="s">
        <v>124</v>
      </c>
      <c r="C233" t="s">
        <v>5470</v>
      </c>
      <c r="D233" t="s">
        <v>209</v>
      </c>
      <c r="E233">
        <v>35</v>
      </c>
    </row>
    <row r="234" spans="1:5" x14ac:dyDescent="0.2">
      <c r="A234" t="s">
        <v>5491</v>
      </c>
      <c r="B234" t="s">
        <v>124</v>
      </c>
      <c r="C234" t="s">
        <v>5470</v>
      </c>
      <c r="D234" t="s">
        <v>143</v>
      </c>
      <c r="E234">
        <v>28</v>
      </c>
    </row>
    <row r="235" spans="1:5" x14ac:dyDescent="0.2">
      <c r="A235" t="s">
        <v>5491</v>
      </c>
      <c r="B235" t="s">
        <v>124</v>
      </c>
      <c r="C235" t="s">
        <v>5470</v>
      </c>
      <c r="D235" t="s">
        <v>136</v>
      </c>
      <c r="E235">
        <v>197</v>
      </c>
    </row>
    <row r="236" spans="1:5" x14ac:dyDescent="0.2">
      <c r="A236" t="s">
        <v>5491</v>
      </c>
      <c r="B236" t="s">
        <v>124</v>
      </c>
      <c r="C236" t="s">
        <v>5471</v>
      </c>
      <c r="D236" t="s">
        <v>137</v>
      </c>
      <c r="E236">
        <v>49</v>
      </c>
    </row>
    <row r="237" spans="1:5" x14ac:dyDescent="0.2">
      <c r="A237" t="s">
        <v>5491</v>
      </c>
      <c r="B237" t="s">
        <v>124</v>
      </c>
      <c r="C237" t="s">
        <v>5471</v>
      </c>
      <c r="D237" t="s">
        <v>394</v>
      </c>
      <c r="E237">
        <v>22</v>
      </c>
    </row>
    <row r="238" spans="1:5" x14ac:dyDescent="0.2">
      <c r="A238" t="s">
        <v>5491</v>
      </c>
      <c r="B238" t="s">
        <v>124</v>
      </c>
      <c r="C238" t="s">
        <v>5471</v>
      </c>
      <c r="D238" t="s">
        <v>128</v>
      </c>
      <c r="E238">
        <v>144</v>
      </c>
    </row>
    <row r="239" spans="1:5" x14ac:dyDescent="0.2">
      <c r="A239" t="s">
        <v>5491</v>
      </c>
      <c r="B239" t="s">
        <v>124</v>
      </c>
      <c r="C239" t="s">
        <v>5471</v>
      </c>
      <c r="D239" t="s">
        <v>144</v>
      </c>
      <c r="E239">
        <v>116</v>
      </c>
    </row>
    <row r="240" spans="1:5" x14ac:dyDescent="0.2">
      <c r="A240" t="s">
        <v>5491</v>
      </c>
      <c r="B240" t="s">
        <v>124</v>
      </c>
      <c r="C240" t="s">
        <v>5481</v>
      </c>
      <c r="D240" t="s">
        <v>5482</v>
      </c>
      <c r="E240">
        <v>1</v>
      </c>
    </row>
    <row r="241" spans="1:5" x14ac:dyDescent="0.2">
      <c r="A241" t="s">
        <v>5492</v>
      </c>
      <c r="B241" t="s">
        <v>131</v>
      </c>
      <c r="C241" t="s">
        <v>5474</v>
      </c>
      <c r="D241" t="s">
        <v>154</v>
      </c>
      <c r="E241">
        <v>3</v>
      </c>
    </row>
    <row r="242" spans="1:5" x14ac:dyDescent="0.2">
      <c r="A242" t="s">
        <v>5492</v>
      </c>
      <c r="B242" t="s">
        <v>131</v>
      </c>
      <c r="C242" t="s">
        <v>5467</v>
      </c>
      <c r="D242" t="s">
        <v>134</v>
      </c>
      <c r="E242">
        <v>8</v>
      </c>
    </row>
    <row r="243" spans="1:5" x14ac:dyDescent="0.2">
      <c r="A243" t="s">
        <v>5492</v>
      </c>
      <c r="B243" t="s">
        <v>131</v>
      </c>
      <c r="C243" t="s">
        <v>5467</v>
      </c>
      <c r="D243" t="s">
        <v>209</v>
      </c>
      <c r="E243">
        <v>1</v>
      </c>
    </row>
    <row r="244" spans="1:5" x14ac:dyDescent="0.2">
      <c r="A244" t="s">
        <v>5492</v>
      </c>
      <c r="B244" t="s">
        <v>131</v>
      </c>
      <c r="C244" t="s">
        <v>5467</v>
      </c>
      <c r="D244" t="s">
        <v>149</v>
      </c>
      <c r="E244">
        <v>119</v>
      </c>
    </row>
    <row r="245" spans="1:5" x14ac:dyDescent="0.2">
      <c r="A245" t="s">
        <v>5492</v>
      </c>
      <c r="B245" t="s">
        <v>131</v>
      </c>
      <c r="C245" t="s">
        <v>5467</v>
      </c>
      <c r="D245" t="s">
        <v>309</v>
      </c>
      <c r="E245">
        <v>15</v>
      </c>
    </row>
    <row r="246" spans="1:5" x14ac:dyDescent="0.2">
      <c r="A246" t="s">
        <v>5492</v>
      </c>
      <c r="B246" t="s">
        <v>131</v>
      </c>
      <c r="C246" t="s">
        <v>5468</v>
      </c>
      <c r="D246" t="s">
        <v>155</v>
      </c>
      <c r="E246">
        <v>64</v>
      </c>
    </row>
    <row r="247" spans="1:5" x14ac:dyDescent="0.2">
      <c r="A247" t="s">
        <v>5492</v>
      </c>
      <c r="B247" t="s">
        <v>131</v>
      </c>
      <c r="C247" t="s">
        <v>5468</v>
      </c>
      <c r="D247" t="s">
        <v>135</v>
      </c>
      <c r="E247">
        <v>83</v>
      </c>
    </row>
    <row r="248" spans="1:5" x14ac:dyDescent="0.2">
      <c r="A248" t="s">
        <v>5492</v>
      </c>
      <c r="B248" t="s">
        <v>131</v>
      </c>
      <c r="C248" t="s">
        <v>5469</v>
      </c>
      <c r="D248">
        <v>1</v>
      </c>
      <c r="E248">
        <v>32</v>
      </c>
    </row>
    <row r="249" spans="1:5" x14ac:dyDescent="0.2">
      <c r="A249" t="s">
        <v>5492</v>
      </c>
      <c r="B249" t="s">
        <v>131</v>
      </c>
      <c r="C249" t="s">
        <v>5469</v>
      </c>
      <c r="D249">
        <v>2</v>
      </c>
      <c r="E249">
        <v>10</v>
      </c>
    </row>
    <row r="250" spans="1:5" x14ac:dyDescent="0.2">
      <c r="A250" t="s">
        <v>5492</v>
      </c>
      <c r="B250" t="s">
        <v>131</v>
      </c>
      <c r="C250" t="s">
        <v>5469</v>
      </c>
      <c r="D250">
        <v>3</v>
      </c>
      <c r="E250">
        <v>102</v>
      </c>
    </row>
    <row r="251" spans="1:5" x14ac:dyDescent="0.2">
      <c r="A251" t="s">
        <v>5492</v>
      </c>
      <c r="B251" t="s">
        <v>131</v>
      </c>
      <c r="C251" t="s">
        <v>5470</v>
      </c>
      <c r="D251" t="s">
        <v>209</v>
      </c>
      <c r="E251">
        <v>11</v>
      </c>
    </row>
    <row r="252" spans="1:5" x14ac:dyDescent="0.2">
      <c r="A252" t="s">
        <v>5492</v>
      </c>
      <c r="B252" t="s">
        <v>131</v>
      </c>
      <c r="C252" t="s">
        <v>5470</v>
      </c>
      <c r="D252" t="s">
        <v>136</v>
      </c>
      <c r="E252">
        <v>132</v>
      </c>
    </row>
    <row r="253" spans="1:5" x14ac:dyDescent="0.2">
      <c r="A253" t="s">
        <v>5492</v>
      </c>
      <c r="B253" t="s">
        <v>131</v>
      </c>
      <c r="C253" t="s">
        <v>5471</v>
      </c>
      <c r="D253" t="s">
        <v>128</v>
      </c>
      <c r="E253">
        <v>2</v>
      </c>
    </row>
    <row r="254" spans="1:5" x14ac:dyDescent="0.2">
      <c r="A254" t="s">
        <v>5492</v>
      </c>
      <c r="B254" t="s">
        <v>131</v>
      </c>
      <c r="C254" t="s">
        <v>5471</v>
      </c>
      <c r="D254" t="s">
        <v>144</v>
      </c>
      <c r="E254">
        <v>4</v>
      </c>
    </row>
    <row r="255" spans="1:5" x14ac:dyDescent="0.2">
      <c r="A255" t="s">
        <v>5492</v>
      </c>
      <c r="B255" t="s">
        <v>131</v>
      </c>
      <c r="C255" t="s">
        <v>5481</v>
      </c>
      <c r="D255" t="s">
        <v>5482</v>
      </c>
      <c r="E255">
        <v>3</v>
      </c>
    </row>
    <row r="256" spans="1:5" x14ac:dyDescent="0.2">
      <c r="A256" t="s">
        <v>5492</v>
      </c>
      <c r="B256" t="s">
        <v>124</v>
      </c>
      <c r="C256" t="s">
        <v>5479</v>
      </c>
      <c r="D256" t="s">
        <v>5484</v>
      </c>
      <c r="E256">
        <v>2</v>
      </c>
    </row>
    <row r="257" spans="1:5" x14ac:dyDescent="0.2">
      <c r="A257" t="s">
        <v>5492</v>
      </c>
      <c r="B257" t="s">
        <v>124</v>
      </c>
      <c r="C257" t="s">
        <v>5479</v>
      </c>
      <c r="D257" t="s">
        <v>5480</v>
      </c>
      <c r="E257">
        <v>1</v>
      </c>
    </row>
    <row r="258" spans="1:5" x14ac:dyDescent="0.2">
      <c r="A258" t="s">
        <v>5492</v>
      </c>
      <c r="B258" t="s">
        <v>124</v>
      </c>
      <c r="C258" t="s">
        <v>5487</v>
      </c>
      <c r="D258" t="s">
        <v>5486</v>
      </c>
      <c r="E258">
        <v>2</v>
      </c>
    </row>
    <row r="259" spans="1:5" x14ac:dyDescent="0.2">
      <c r="A259" t="s">
        <v>5492</v>
      </c>
      <c r="B259" t="s">
        <v>124</v>
      </c>
      <c r="C259" t="s">
        <v>5474</v>
      </c>
      <c r="D259" t="s">
        <v>142</v>
      </c>
      <c r="E259">
        <v>18</v>
      </c>
    </row>
    <row r="260" spans="1:5" x14ac:dyDescent="0.2">
      <c r="A260" t="s">
        <v>5492</v>
      </c>
      <c r="B260" t="s">
        <v>124</v>
      </c>
      <c r="C260" t="s">
        <v>5474</v>
      </c>
      <c r="D260" t="s">
        <v>154</v>
      </c>
      <c r="E260">
        <v>47</v>
      </c>
    </row>
    <row r="261" spans="1:5" x14ac:dyDescent="0.2">
      <c r="A261" t="s">
        <v>5492</v>
      </c>
      <c r="B261" t="s">
        <v>124</v>
      </c>
      <c r="C261" t="s">
        <v>5467</v>
      </c>
      <c r="D261" t="s">
        <v>134</v>
      </c>
      <c r="E261">
        <v>15</v>
      </c>
    </row>
    <row r="262" spans="1:5" x14ac:dyDescent="0.2">
      <c r="A262" t="s">
        <v>5492</v>
      </c>
      <c r="B262" t="s">
        <v>124</v>
      </c>
      <c r="C262" t="s">
        <v>5467</v>
      </c>
      <c r="D262" t="s">
        <v>209</v>
      </c>
      <c r="E262">
        <v>19</v>
      </c>
    </row>
    <row r="263" spans="1:5" x14ac:dyDescent="0.2">
      <c r="A263" t="s">
        <v>5492</v>
      </c>
      <c r="B263" t="s">
        <v>124</v>
      </c>
      <c r="C263" t="s">
        <v>5467</v>
      </c>
      <c r="D263" t="s">
        <v>149</v>
      </c>
      <c r="E263">
        <v>340</v>
      </c>
    </row>
    <row r="264" spans="1:5" x14ac:dyDescent="0.2">
      <c r="A264" t="s">
        <v>5492</v>
      </c>
      <c r="B264" t="s">
        <v>124</v>
      </c>
      <c r="C264" t="s">
        <v>5467</v>
      </c>
      <c r="D264" t="s">
        <v>309</v>
      </c>
      <c r="E264">
        <v>26</v>
      </c>
    </row>
    <row r="265" spans="1:5" x14ac:dyDescent="0.2">
      <c r="A265" t="s">
        <v>5492</v>
      </c>
      <c r="B265" t="s">
        <v>124</v>
      </c>
      <c r="C265" t="s">
        <v>5468</v>
      </c>
      <c r="D265" t="s">
        <v>155</v>
      </c>
      <c r="E265">
        <v>209</v>
      </c>
    </row>
    <row r="266" spans="1:5" x14ac:dyDescent="0.2">
      <c r="A266" t="s">
        <v>5492</v>
      </c>
      <c r="B266" t="s">
        <v>124</v>
      </c>
      <c r="C266" t="s">
        <v>5468</v>
      </c>
      <c r="D266" t="s">
        <v>135</v>
      </c>
      <c r="E266">
        <v>258</v>
      </c>
    </row>
    <row r="267" spans="1:5" x14ac:dyDescent="0.2">
      <c r="A267" t="s">
        <v>5492</v>
      </c>
      <c r="B267" t="s">
        <v>124</v>
      </c>
      <c r="C267" t="s">
        <v>5469</v>
      </c>
      <c r="D267">
        <v>1</v>
      </c>
      <c r="E267">
        <v>79</v>
      </c>
    </row>
    <row r="268" spans="1:5" x14ac:dyDescent="0.2">
      <c r="A268" t="s">
        <v>5492</v>
      </c>
      <c r="B268" t="s">
        <v>124</v>
      </c>
      <c r="C268" t="s">
        <v>5469</v>
      </c>
      <c r="D268">
        <v>2</v>
      </c>
      <c r="E268">
        <v>51</v>
      </c>
    </row>
    <row r="269" spans="1:5" x14ac:dyDescent="0.2">
      <c r="A269" t="s">
        <v>5492</v>
      </c>
      <c r="B269" t="s">
        <v>124</v>
      </c>
      <c r="C269" t="s">
        <v>5469</v>
      </c>
      <c r="D269">
        <v>3</v>
      </c>
      <c r="E269">
        <v>271</v>
      </c>
    </row>
    <row r="270" spans="1:5" x14ac:dyDescent="0.2">
      <c r="A270" t="s">
        <v>5492</v>
      </c>
      <c r="B270" t="s">
        <v>124</v>
      </c>
      <c r="C270" t="s">
        <v>5476</v>
      </c>
      <c r="D270" t="s">
        <v>5490</v>
      </c>
      <c r="E270">
        <v>3</v>
      </c>
    </row>
    <row r="271" spans="1:5" x14ac:dyDescent="0.2">
      <c r="A271" t="s">
        <v>5492</v>
      </c>
      <c r="B271" t="s">
        <v>124</v>
      </c>
      <c r="C271" t="s">
        <v>5470</v>
      </c>
      <c r="D271" t="s">
        <v>903</v>
      </c>
      <c r="E271">
        <v>7</v>
      </c>
    </row>
    <row r="272" spans="1:5" x14ac:dyDescent="0.2">
      <c r="A272" t="s">
        <v>5492</v>
      </c>
      <c r="B272" t="s">
        <v>124</v>
      </c>
      <c r="C272" t="s">
        <v>5470</v>
      </c>
      <c r="D272" t="s">
        <v>209</v>
      </c>
      <c r="E272">
        <v>15</v>
      </c>
    </row>
    <row r="273" spans="1:5" x14ac:dyDescent="0.2">
      <c r="A273" t="s">
        <v>5492</v>
      </c>
      <c r="B273" t="s">
        <v>124</v>
      </c>
      <c r="C273" t="s">
        <v>5470</v>
      </c>
      <c r="D273" t="s">
        <v>136</v>
      </c>
      <c r="E273">
        <v>378</v>
      </c>
    </row>
    <row r="274" spans="1:5" x14ac:dyDescent="0.2">
      <c r="A274" t="s">
        <v>5492</v>
      </c>
      <c r="B274" t="s">
        <v>124</v>
      </c>
      <c r="C274" t="s">
        <v>5471</v>
      </c>
      <c r="D274" t="s">
        <v>394</v>
      </c>
      <c r="E274">
        <v>34</v>
      </c>
    </row>
    <row r="275" spans="1:5" x14ac:dyDescent="0.2">
      <c r="A275" t="s">
        <v>5492</v>
      </c>
      <c r="B275" t="s">
        <v>124</v>
      </c>
      <c r="C275" t="s">
        <v>5471</v>
      </c>
      <c r="D275" t="s">
        <v>128</v>
      </c>
      <c r="E275">
        <v>177</v>
      </c>
    </row>
    <row r="276" spans="1:5" x14ac:dyDescent="0.2">
      <c r="A276" t="s">
        <v>5492</v>
      </c>
      <c r="B276" t="s">
        <v>124</v>
      </c>
      <c r="C276" t="s">
        <v>5471</v>
      </c>
      <c r="D276" t="s">
        <v>144</v>
      </c>
      <c r="E276">
        <v>87</v>
      </c>
    </row>
    <row r="277" spans="1:5" x14ac:dyDescent="0.2">
      <c r="A277" t="s">
        <v>5492</v>
      </c>
      <c r="B277" t="s">
        <v>124</v>
      </c>
      <c r="C277" t="s">
        <v>5481</v>
      </c>
      <c r="D277" t="s">
        <v>5482</v>
      </c>
      <c r="E277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FA1D-C8F4-9C43-B572-8BD4BE23DDA9}">
  <dimension ref="A3:J47"/>
  <sheetViews>
    <sheetView topLeftCell="A19" workbookViewId="0">
      <selection activeCell="E47" sqref="E47"/>
    </sheetView>
  </sheetViews>
  <sheetFormatPr baseColWidth="10" defaultRowHeight="16" x14ac:dyDescent="0.2"/>
  <cols>
    <col min="1" max="1" width="17.1640625" bestFit="1" customWidth="1"/>
    <col min="2" max="2" width="20" bestFit="1" customWidth="1"/>
    <col min="3" max="3" width="11" bestFit="1" customWidth="1"/>
    <col min="4" max="4" width="8.6640625" bestFit="1" customWidth="1"/>
    <col min="5" max="5" width="10" bestFit="1" customWidth="1"/>
    <col min="6" max="6" width="9.1640625" bestFit="1" customWidth="1"/>
    <col min="7" max="7" width="7" bestFit="1" customWidth="1"/>
    <col min="8" max="8" width="9.1640625" bestFit="1" customWidth="1"/>
    <col min="9" max="9" width="11" bestFit="1" customWidth="1"/>
    <col min="10" max="10" width="17.1640625" bestFit="1" customWidth="1"/>
    <col min="11" max="11" width="5.1640625" bestFit="1" customWidth="1"/>
    <col min="12" max="12" width="4.33203125" bestFit="1" customWidth="1"/>
    <col min="13" max="13" width="4.83203125" bestFit="1" customWidth="1"/>
    <col min="14" max="14" width="8.5" bestFit="1" customWidth="1"/>
    <col min="15" max="15" width="4.5" bestFit="1" customWidth="1"/>
    <col min="16" max="16" width="9.83203125" bestFit="1" customWidth="1"/>
    <col min="17" max="17" width="11.83203125" bestFit="1" customWidth="1"/>
    <col min="18" max="18" width="11" bestFit="1" customWidth="1"/>
    <col min="19" max="19" width="4.1640625" bestFit="1" customWidth="1"/>
    <col min="20" max="21" width="5.1640625" bestFit="1" customWidth="1"/>
    <col min="22" max="22" width="6.1640625" bestFit="1" customWidth="1"/>
    <col min="23" max="23" width="4.1640625" bestFit="1" customWidth="1"/>
    <col min="24" max="24" width="14.33203125" bestFit="1" customWidth="1"/>
    <col min="25" max="25" width="14.5" bestFit="1" customWidth="1"/>
    <col min="26" max="26" width="4.1640625" bestFit="1" customWidth="1"/>
    <col min="27" max="27" width="8.6640625" bestFit="1" customWidth="1"/>
    <col min="28" max="28" width="5.1640625" bestFit="1" customWidth="1"/>
    <col min="29" max="30" width="10" bestFit="1" customWidth="1"/>
    <col min="31" max="31" width="6.1640625" bestFit="1" customWidth="1"/>
    <col min="32" max="32" width="9" bestFit="1" customWidth="1"/>
    <col min="33" max="33" width="9.1640625" bestFit="1" customWidth="1"/>
    <col min="34" max="34" width="5.1640625" bestFit="1" customWidth="1"/>
    <col min="35" max="35" width="7" bestFit="1" customWidth="1"/>
    <col min="36" max="36" width="3.5" bestFit="1" customWidth="1"/>
    <col min="37" max="37" width="5.6640625" bestFit="1" customWidth="1"/>
    <col min="38" max="38" width="5.1640625" bestFit="1" customWidth="1"/>
    <col min="39" max="39" width="9.1640625" bestFit="1" customWidth="1"/>
    <col min="40" max="40" width="5.33203125" bestFit="1" customWidth="1"/>
    <col min="41" max="41" width="8" bestFit="1" customWidth="1"/>
    <col min="42" max="42" width="16.33203125" bestFit="1" customWidth="1"/>
    <col min="43" max="43" width="14.33203125" bestFit="1" customWidth="1"/>
    <col min="44" max="46" width="5.1640625" bestFit="1" customWidth="1"/>
    <col min="47" max="47" width="8.6640625" bestFit="1" customWidth="1"/>
    <col min="48" max="48" width="11" bestFit="1" customWidth="1"/>
    <col min="49" max="50" width="4" bestFit="1" customWidth="1"/>
    <col min="51" max="51" width="11.33203125" bestFit="1" customWidth="1"/>
    <col min="52" max="52" width="8.83203125" bestFit="1" customWidth="1"/>
    <col min="53" max="53" width="9.1640625" bestFit="1" customWidth="1"/>
    <col min="54" max="54" width="6.1640625" bestFit="1" customWidth="1"/>
    <col min="55" max="55" width="23" bestFit="1" customWidth="1"/>
    <col min="56" max="56" width="14.33203125" bestFit="1" customWidth="1"/>
    <col min="57" max="57" width="12.83203125" bestFit="1" customWidth="1"/>
    <col min="58" max="58" width="4.1640625" bestFit="1" customWidth="1"/>
    <col min="59" max="59" width="10.33203125" bestFit="1" customWidth="1"/>
    <col min="60" max="60" width="18.6640625" bestFit="1" customWidth="1"/>
    <col min="61" max="61" width="16.83203125" bestFit="1" customWidth="1"/>
    <col min="62" max="62" width="4.1640625" bestFit="1" customWidth="1"/>
    <col min="63" max="63" width="17.1640625" bestFit="1" customWidth="1"/>
  </cols>
  <sheetData>
    <row r="3" spans="1:10" x14ac:dyDescent="0.2">
      <c r="A3" s="1" t="s">
        <v>5495</v>
      </c>
      <c r="B3" s="1" t="s">
        <v>5496</v>
      </c>
    </row>
    <row r="4" spans="1:10" x14ac:dyDescent="0.2">
      <c r="A4" s="1" t="s">
        <v>5493</v>
      </c>
      <c r="B4" t="s">
        <v>5458</v>
      </c>
      <c r="C4" t="s">
        <v>5455</v>
      </c>
      <c r="D4" t="s">
        <v>5459</v>
      </c>
      <c r="E4" t="s">
        <v>5457</v>
      </c>
      <c r="F4" t="s">
        <v>5456</v>
      </c>
      <c r="G4" t="s">
        <v>5460</v>
      </c>
      <c r="H4" t="s">
        <v>5461</v>
      </c>
      <c r="I4" t="s">
        <v>5498</v>
      </c>
      <c r="J4" t="s">
        <v>5494</v>
      </c>
    </row>
    <row r="5" spans="1:10" x14ac:dyDescent="0.2">
      <c r="A5" s="2" t="s">
        <v>5466</v>
      </c>
      <c r="B5" s="3">
        <v>82</v>
      </c>
      <c r="C5" s="3">
        <v>194</v>
      </c>
      <c r="D5" s="3">
        <v>176</v>
      </c>
      <c r="E5" s="3">
        <v>105</v>
      </c>
      <c r="F5" s="3">
        <v>4039</v>
      </c>
      <c r="G5" s="3">
        <v>1582</v>
      </c>
      <c r="H5" s="3">
        <v>844</v>
      </c>
      <c r="I5" s="3">
        <v>44</v>
      </c>
      <c r="J5" s="3">
        <v>7066</v>
      </c>
    </row>
    <row r="6" spans="1:10" x14ac:dyDescent="0.2">
      <c r="A6" s="2" t="s">
        <v>5475</v>
      </c>
      <c r="B6" s="3">
        <v>15</v>
      </c>
      <c r="C6" s="3">
        <v>28</v>
      </c>
      <c r="D6" s="3">
        <v>15</v>
      </c>
      <c r="E6" s="3">
        <v>47</v>
      </c>
      <c r="F6" s="3">
        <v>787</v>
      </c>
      <c r="G6" s="3">
        <v>182</v>
      </c>
      <c r="H6" s="3">
        <v>28</v>
      </c>
      <c r="I6" s="3">
        <v>11</v>
      </c>
      <c r="J6" s="3">
        <v>1113</v>
      </c>
    </row>
    <row r="7" spans="1:10" x14ac:dyDescent="0.2">
      <c r="A7" s="2" t="s">
        <v>119</v>
      </c>
      <c r="B7" s="3">
        <v>33</v>
      </c>
      <c r="C7" s="3">
        <v>51</v>
      </c>
      <c r="D7" s="3">
        <v>33</v>
      </c>
      <c r="E7" s="3">
        <v>102</v>
      </c>
      <c r="F7" s="3">
        <v>1604</v>
      </c>
      <c r="G7" s="3">
        <v>366</v>
      </c>
      <c r="H7" s="3">
        <v>45</v>
      </c>
      <c r="I7" s="3">
        <v>12</v>
      </c>
      <c r="J7" s="3">
        <v>2246</v>
      </c>
    </row>
    <row r="8" spans="1:10" x14ac:dyDescent="0.2">
      <c r="A8" s="2" t="s">
        <v>5477</v>
      </c>
      <c r="B8" s="3">
        <v>25</v>
      </c>
      <c r="C8" s="3">
        <v>96</v>
      </c>
      <c r="D8" s="3">
        <v>54</v>
      </c>
      <c r="E8" s="3">
        <v>8</v>
      </c>
      <c r="F8" s="3">
        <v>975</v>
      </c>
      <c r="G8" s="3">
        <v>646</v>
      </c>
      <c r="H8" s="3">
        <v>211</v>
      </c>
      <c r="I8" s="3">
        <v>24</v>
      </c>
      <c r="J8" s="3">
        <v>2039</v>
      </c>
    </row>
    <row r="9" spans="1:10" x14ac:dyDescent="0.2">
      <c r="A9" s="2" t="s">
        <v>5478</v>
      </c>
      <c r="B9" s="3"/>
      <c r="C9" s="3">
        <v>2</v>
      </c>
      <c r="D9" s="3">
        <v>28</v>
      </c>
      <c r="E9" s="3"/>
      <c r="F9" s="3">
        <v>47</v>
      </c>
      <c r="G9" s="3">
        <v>321</v>
      </c>
      <c r="H9" s="3">
        <v>203</v>
      </c>
      <c r="I9" s="3">
        <v>28</v>
      </c>
      <c r="J9" s="3">
        <v>629</v>
      </c>
    </row>
    <row r="10" spans="1:10" x14ac:dyDescent="0.2">
      <c r="A10" s="2" t="s">
        <v>5491</v>
      </c>
      <c r="B10" s="3"/>
      <c r="C10" s="3">
        <v>2</v>
      </c>
      <c r="D10" s="3">
        <v>11</v>
      </c>
      <c r="E10" s="3"/>
      <c r="F10" s="3">
        <v>47</v>
      </c>
      <c r="G10" s="3">
        <v>144</v>
      </c>
      <c r="H10" s="3">
        <v>116</v>
      </c>
      <c r="I10" s="3">
        <v>11</v>
      </c>
      <c r="J10" s="3">
        <v>331</v>
      </c>
    </row>
    <row r="11" spans="1:10" x14ac:dyDescent="0.2">
      <c r="A11" s="2" t="s">
        <v>5492</v>
      </c>
      <c r="B11" s="3"/>
      <c r="C11" s="3"/>
      <c r="D11" s="3">
        <v>17</v>
      </c>
      <c r="E11" s="3"/>
      <c r="F11" s="3"/>
      <c r="G11" s="3">
        <v>177</v>
      </c>
      <c r="H11" s="3">
        <v>87</v>
      </c>
      <c r="I11" s="3">
        <v>17</v>
      </c>
      <c r="J11" s="3">
        <v>298</v>
      </c>
    </row>
    <row r="12" spans="1:10" x14ac:dyDescent="0.2">
      <c r="A12" s="2" t="s">
        <v>5494</v>
      </c>
      <c r="B12" s="3">
        <v>155</v>
      </c>
      <c r="C12" s="3">
        <v>373</v>
      </c>
      <c r="D12" s="3">
        <v>334</v>
      </c>
      <c r="E12" s="3">
        <v>262</v>
      </c>
      <c r="F12" s="3">
        <v>7499</v>
      </c>
      <c r="G12" s="3">
        <v>3418</v>
      </c>
      <c r="H12" s="3">
        <v>1534</v>
      </c>
      <c r="I12" s="3">
        <v>147</v>
      </c>
      <c r="J12" s="3">
        <v>13722</v>
      </c>
    </row>
    <row r="37" spans="1:9" x14ac:dyDescent="0.2">
      <c r="A37" s="4"/>
      <c r="B37" s="4" t="s">
        <v>5458</v>
      </c>
      <c r="C37" s="4" t="s">
        <v>5455</v>
      </c>
      <c r="D37" s="4" t="s">
        <v>5459</v>
      </c>
      <c r="E37" s="4" t="s">
        <v>5457</v>
      </c>
      <c r="F37" s="4" t="s">
        <v>5456</v>
      </c>
      <c r="G37" s="4" t="s">
        <v>5460</v>
      </c>
      <c r="H37" s="4" t="s">
        <v>5461</v>
      </c>
      <c r="I37" s="4" t="s">
        <v>5498</v>
      </c>
    </row>
    <row r="38" spans="1:9" x14ac:dyDescent="0.2">
      <c r="A38" s="2" t="s">
        <v>5448</v>
      </c>
      <c r="B38" s="3">
        <v>82</v>
      </c>
      <c r="C38" s="3">
        <v>194</v>
      </c>
      <c r="D38" s="3">
        <v>176</v>
      </c>
      <c r="E38" s="3">
        <v>105</v>
      </c>
      <c r="F38" s="3">
        <v>4039</v>
      </c>
      <c r="G38" s="3">
        <v>1582</v>
      </c>
      <c r="H38" s="3">
        <v>844</v>
      </c>
      <c r="I38" s="3">
        <v>44</v>
      </c>
    </row>
    <row r="39" spans="1:9" x14ac:dyDescent="0.2">
      <c r="A39" s="2" t="s">
        <v>5443</v>
      </c>
      <c r="B39" s="3">
        <v>33</v>
      </c>
      <c r="C39" s="3">
        <v>51</v>
      </c>
      <c r="D39" s="3">
        <v>33</v>
      </c>
      <c r="E39" s="3">
        <v>102</v>
      </c>
      <c r="F39" s="3">
        <v>1604</v>
      </c>
      <c r="G39" s="3">
        <v>366</v>
      </c>
      <c r="H39" s="3">
        <v>45</v>
      </c>
      <c r="I39" s="3">
        <v>12</v>
      </c>
    </row>
    <row r="40" spans="1:9" x14ac:dyDescent="0.2">
      <c r="A40" s="2" t="s">
        <v>5447</v>
      </c>
      <c r="B40" s="3">
        <v>25</v>
      </c>
      <c r="C40" s="3">
        <v>96</v>
      </c>
      <c r="D40" s="3">
        <v>54</v>
      </c>
      <c r="E40" s="3">
        <v>8</v>
      </c>
      <c r="F40" s="3">
        <v>975</v>
      </c>
      <c r="G40" s="3">
        <v>646</v>
      </c>
      <c r="H40" s="3">
        <v>211</v>
      </c>
      <c r="I40" s="3">
        <v>24</v>
      </c>
    </row>
    <row r="41" spans="1:9" x14ac:dyDescent="0.2">
      <c r="A41" s="2" t="s">
        <v>5445</v>
      </c>
      <c r="B41" s="3"/>
      <c r="C41" s="3">
        <v>2</v>
      </c>
      <c r="D41" s="3">
        <v>28</v>
      </c>
      <c r="E41" s="3"/>
      <c r="F41" s="3">
        <v>47</v>
      </c>
      <c r="G41" s="3">
        <v>321</v>
      </c>
      <c r="H41" s="3">
        <v>203</v>
      </c>
      <c r="I41" s="3">
        <v>28</v>
      </c>
    </row>
    <row r="42" spans="1:9" x14ac:dyDescent="0.2">
      <c r="A42" s="2" t="s">
        <v>5444</v>
      </c>
      <c r="B42" s="3"/>
      <c r="C42" s="3">
        <v>2</v>
      </c>
      <c r="D42" s="3">
        <v>11</v>
      </c>
      <c r="E42" s="3"/>
      <c r="F42" s="3">
        <v>47</v>
      </c>
      <c r="G42" s="3">
        <v>144</v>
      </c>
      <c r="H42" s="3">
        <v>116</v>
      </c>
      <c r="I42" s="3">
        <v>11</v>
      </c>
    </row>
    <row r="43" spans="1:9" x14ac:dyDescent="0.2">
      <c r="A43" s="2" t="s">
        <v>5446</v>
      </c>
      <c r="B43" s="3"/>
      <c r="C43" s="3"/>
      <c r="D43" s="3">
        <v>17</v>
      </c>
      <c r="E43" s="3"/>
      <c r="F43" s="3"/>
      <c r="G43" s="3">
        <v>177</v>
      </c>
      <c r="H43" s="3">
        <v>87</v>
      </c>
      <c r="I43" s="3">
        <v>17</v>
      </c>
    </row>
    <row r="47" spans="1:9" x14ac:dyDescent="0.2">
      <c r="E47">
        <f>F39/SUM(B39:I39)</f>
        <v>0.71415850400712377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57B7-873D-4E4E-A535-88A41A9ECD43}">
  <dimension ref="A1:E460"/>
  <sheetViews>
    <sheetView topLeftCell="A2" workbookViewId="0">
      <selection activeCell="B8" sqref="B8"/>
    </sheetView>
  </sheetViews>
  <sheetFormatPr baseColWidth="10" defaultRowHeight="16" x14ac:dyDescent="0.2"/>
  <sheetData>
    <row r="1" spans="1:5" x14ac:dyDescent="0.2">
      <c r="A1" t="s">
        <v>0</v>
      </c>
      <c r="B1" t="s">
        <v>5462</v>
      </c>
      <c r="C1" t="s">
        <v>5463</v>
      </c>
      <c r="D1" t="s">
        <v>5464</v>
      </c>
      <c r="E1" t="s">
        <v>5465</v>
      </c>
    </row>
    <row r="2" spans="1:5" x14ac:dyDescent="0.2">
      <c r="A2" t="s">
        <v>5466</v>
      </c>
      <c r="B2" t="s">
        <v>131</v>
      </c>
      <c r="C2" t="s">
        <v>5474</v>
      </c>
      <c r="D2" t="s">
        <v>142</v>
      </c>
      <c r="E2">
        <v>38</v>
      </c>
    </row>
    <row r="3" spans="1:5" x14ac:dyDescent="0.2">
      <c r="A3" t="s">
        <v>5466</v>
      </c>
      <c r="B3" t="s">
        <v>131</v>
      </c>
      <c r="C3" t="s">
        <v>5474</v>
      </c>
      <c r="D3" t="s">
        <v>154</v>
      </c>
      <c r="E3">
        <v>126</v>
      </c>
    </row>
    <row r="4" spans="1:5" x14ac:dyDescent="0.2">
      <c r="A4" t="s">
        <v>5466</v>
      </c>
      <c r="B4" t="s">
        <v>131</v>
      </c>
      <c r="C4" t="s">
        <v>5467</v>
      </c>
      <c r="D4" t="s">
        <v>134</v>
      </c>
      <c r="E4">
        <v>92</v>
      </c>
    </row>
    <row r="5" spans="1:5" x14ac:dyDescent="0.2">
      <c r="A5" t="s">
        <v>5466</v>
      </c>
      <c r="B5" t="s">
        <v>131</v>
      </c>
      <c r="C5" t="s">
        <v>5467</v>
      </c>
      <c r="D5" t="s">
        <v>209</v>
      </c>
      <c r="E5">
        <v>2</v>
      </c>
    </row>
    <row r="6" spans="1:5" x14ac:dyDescent="0.2">
      <c r="A6" t="s">
        <v>5466</v>
      </c>
      <c r="B6" t="s">
        <v>131</v>
      </c>
      <c r="C6" t="s">
        <v>5467</v>
      </c>
      <c r="D6" t="s">
        <v>149</v>
      </c>
      <c r="E6">
        <v>1573</v>
      </c>
    </row>
    <row r="7" spans="1:5" x14ac:dyDescent="0.2">
      <c r="A7" t="s">
        <v>5466</v>
      </c>
      <c r="B7" t="s">
        <v>131</v>
      </c>
      <c r="C7" t="s">
        <v>5467</v>
      </c>
      <c r="D7" t="s">
        <v>309</v>
      </c>
      <c r="E7">
        <v>91</v>
      </c>
    </row>
    <row r="8" spans="1:5" x14ac:dyDescent="0.2">
      <c r="A8" t="s">
        <v>5466</v>
      </c>
      <c r="B8" t="s">
        <v>131</v>
      </c>
      <c r="C8" t="s">
        <v>5468</v>
      </c>
      <c r="D8" t="s">
        <v>155</v>
      </c>
      <c r="E8">
        <v>542</v>
      </c>
    </row>
    <row r="9" spans="1:5" x14ac:dyDescent="0.2">
      <c r="A9" t="s">
        <v>5466</v>
      </c>
      <c r="B9" t="s">
        <v>131</v>
      </c>
      <c r="C9" t="s">
        <v>5468</v>
      </c>
      <c r="D9" t="s">
        <v>135</v>
      </c>
      <c r="E9">
        <v>1380</v>
      </c>
    </row>
    <row r="10" spans="1:5" x14ac:dyDescent="0.2">
      <c r="A10" t="s">
        <v>5466</v>
      </c>
      <c r="B10" t="s">
        <v>131</v>
      </c>
      <c r="C10" t="s">
        <v>5469</v>
      </c>
      <c r="D10">
        <v>1</v>
      </c>
      <c r="E10">
        <v>158</v>
      </c>
    </row>
    <row r="11" spans="1:5" x14ac:dyDescent="0.2">
      <c r="A11" t="s">
        <v>5466</v>
      </c>
      <c r="B11" t="s">
        <v>131</v>
      </c>
      <c r="C11" t="s">
        <v>5469</v>
      </c>
      <c r="D11">
        <v>2</v>
      </c>
      <c r="E11">
        <v>19</v>
      </c>
    </row>
    <row r="12" spans="1:5" x14ac:dyDescent="0.2">
      <c r="A12" t="s">
        <v>5466</v>
      </c>
      <c r="B12" t="s">
        <v>131</v>
      </c>
      <c r="C12" t="s">
        <v>5469</v>
      </c>
      <c r="D12">
        <v>3</v>
      </c>
      <c r="E12">
        <v>1581</v>
      </c>
    </row>
    <row r="13" spans="1:5" x14ac:dyDescent="0.2">
      <c r="A13" t="s">
        <v>5466</v>
      </c>
      <c r="B13" t="s">
        <v>131</v>
      </c>
      <c r="C13" t="s">
        <v>5470</v>
      </c>
      <c r="D13" t="s">
        <v>903</v>
      </c>
      <c r="E13">
        <v>32</v>
      </c>
    </row>
    <row r="14" spans="1:5" x14ac:dyDescent="0.2">
      <c r="A14" t="s">
        <v>5466</v>
      </c>
      <c r="B14" t="s">
        <v>131</v>
      </c>
      <c r="C14" t="s">
        <v>5470</v>
      </c>
      <c r="D14" t="s">
        <v>209</v>
      </c>
      <c r="E14">
        <v>234</v>
      </c>
    </row>
    <row r="15" spans="1:5" x14ac:dyDescent="0.2">
      <c r="A15" t="s">
        <v>5466</v>
      </c>
      <c r="B15" t="s">
        <v>131</v>
      </c>
      <c r="C15" t="s">
        <v>5470</v>
      </c>
      <c r="D15" t="s">
        <v>143</v>
      </c>
      <c r="E15">
        <v>196</v>
      </c>
    </row>
    <row r="16" spans="1:5" x14ac:dyDescent="0.2">
      <c r="A16" t="s">
        <v>5466</v>
      </c>
      <c r="B16" t="s">
        <v>131</v>
      </c>
      <c r="C16" t="s">
        <v>5470</v>
      </c>
      <c r="D16" t="s">
        <v>136</v>
      </c>
      <c r="E16">
        <v>1460</v>
      </c>
    </row>
    <row r="17" spans="1:5" x14ac:dyDescent="0.2">
      <c r="A17" t="s">
        <v>5466</v>
      </c>
      <c r="B17" t="s">
        <v>131</v>
      </c>
      <c r="C17" t="s">
        <v>5471</v>
      </c>
      <c r="D17" t="s">
        <v>137</v>
      </c>
      <c r="E17">
        <v>1758</v>
      </c>
    </row>
    <row r="18" spans="1:5" x14ac:dyDescent="0.2">
      <c r="A18" t="s">
        <v>5466</v>
      </c>
      <c r="B18" t="s">
        <v>131</v>
      </c>
      <c r="C18" t="s">
        <v>5471</v>
      </c>
      <c r="D18" t="s">
        <v>394</v>
      </c>
      <c r="E18">
        <v>2</v>
      </c>
    </row>
    <row r="19" spans="1:5" x14ac:dyDescent="0.2">
      <c r="A19" t="s">
        <v>5466</v>
      </c>
      <c r="B19" t="s">
        <v>131</v>
      </c>
      <c r="C19" t="s">
        <v>5471</v>
      </c>
      <c r="D19" t="s">
        <v>128</v>
      </c>
      <c r="E19">
        <v>97</v>
      </c>
    </row>
    <row r="20" spans="1:5" x14ac:dyDescent="0.2">
      <c r="A20" t="s">
        <v>5466</v>
      </c>
      <c r="B20" t="s">
        <v>131</v>
      </c>
      <c r="C20" t="s">
        <v>5471</v>
      </c>
      <c r="D20" t="s">
        <v>144</v>
      </c>
      <c r="E20">
        <v>164</v>
      </c>
    </row>
    <row r="21" spans="1:5" x14ac:dyDescent="0.2">
      <c r="A21" t="s">
        <v>5466</v>
      </c>
      <c r="B21" t="s">
        <v>124</v>
      </c>
      <c r="C21" t="s">
        <v>5472</v>
      </c>
      <c r="D21" t="s">
        <v>5473</v>
      </c>
      <c r="E21">
        <v>1</v>
      </c>
    </row>
    <row r="22" spans="1:5" x14ac:dyDescent="0.2">
      <c r="A22" t="s">
        <v>5466</v>
      </c>
      <c r="B22" t="s">
        <v>124</v>
      </c>
      <c r="C22" t="s">
        <v>5474</v>
      </c>
      <c r="D22" t="s">
        <v>142</v>
      </c>
      <c r="E22">
        <v>560</v>
      </c>
    </row>
    <row r="23" spans="1:5" x14ac:dyDescent="0.2">
      <c r="A23" t="s">
        <v>5466</v>
      </c>
      <c r="B23" t="s">
        <v>124</v>
      </c>
      <c r="C23" t="s">
        <v>5474</v>
      </c>
      <c r="D23" t="s">
        <v>154</v>
      </c>
      <c r="E23">
        <v>1688</v>
      </c>
    </row>
    <row r="24" spans="1:5" x14ac:dyDescent="0.2">
      <c r="A24" t="s">
        <v>5466</v>
      </c>
      <c r="B24" t="s">
        <v>124</v>
      </c>
      <c r="C24" t="s">
        <v>5497</v>
      </c>
      <c r="D24" t="s">
        <v>5458</v>
      </c>
      <c r="E24">
        <v>82</v>
      </c>
    </row>
    <row r="25" spans="1:5" x14ac:dyDescent="0.2">
      <c r="A25" t="s">
        <v>5466</v>
      </c>
      <c r="B25" t="s">
        <v>124</v>
      </c>
      <c r="C25" t="s">
        <v>5497</v>
      </c>
      <c r="D25" t="s">
        <v>5455</v>
      </c>
      <c r="E25">
        <v>194</v>
      </c>
    </row>
    <row r="26" spans="1:5" x14ac:dyDescent="0.2">
      <c r="A26" t="s">
        <v>5466</v>
      </c>
      <c r="B26" t="s">
        <v>124</v>
      </c>
      <c r="C26" t="s">
        <v>5497</v>
      </c>
      <c r="D26" t="s">
        <v>5459</v>
      </c>
      <c r="E26">
        <v>176</v>
      </c>
    </row>
    <row r="27" spans="1:5" x14ac:dyDescent="0.2">
      <c r="A27" t="s">
        <v>5466</v>
      </c>
      <c r="B27" t="s">
        <v>124</v>
      </c>
      <c r="C27" t="s">
        <v>5497</v>
      </c>
      <c r="D27" t="s">
        <v>5457</v>
      </c>
      <c r="E27">
        <v>105</v>
      </c>
    </row>
    <row r="28" spans="1:5" x14ac:dyDescent="0.2">
      <c r="A28" t="s">
        <v>5466</v>
      </c>
      <c r="B28" t="s">
        <v>124</v>
      </c>
      <c r="C28" t="s">
        <v>5497</v>
      </c>
      <c r="D28" t="s">
        <v>5456</v>
      </c>
      <c r="E28">
        <v>4039</v>
      </c>
    </row>
    <row r="29" spans="1:5" x14ac:dyDescent="0.2">
      <c r="A29" t="s">
        <v>5466</v>
      </c>
      <c r="B29" t="s">
        <v>124</v>
      </c>
      <c r="C29" t="s">
        <v>5497</v>
      </c>
      <c r="D29" t="s">
        <v>5460</v>
      </c>
      <c r="E29">
        <v>1582</v>
      </c>
    </row>
    <row r="30" spans="1:5" x14ac:dyDescent="0.2">
      <c r="A30" t="s">
        <v>5466</v>
      </c>
      <c r="B30" t="s">
        <v>124</v>
      </c>
      <c r="C30" t="s">
        <v>5497</v>
      </c>
      <c r="D30" t="s">
        <v>5461</v>
      </c>
      <c r="E30">
        <v>844</v>
      </c>
    </row>
    <row r="31" spans="1:5" x14ac:dyDescent="0.2">
      <c r="A31" t="s">
        <v>5466</v>
      </c>
      <c r="B31" t="s">
        <v>124</v>
      </c>
      <c r="C31" t="s">
        <v>5497</v>
      </c>
      <c r="D31" t="s">
        <v>5498</v>
      </c>
      <c r="E31">
        <v>44</v>
      </c>
    </row>
    <row r="32" spans="1:5" x14ac:dyDescent="0.2">
      <c r="A32" t="s">
        <v>5466</v>
      </c>
      <c r="B32" t="s">
        <v>124</v>
      </c>
      <c r="C32" t="s">
        <v>5467</v>
      </c>
      <c r="D32" t="s">
        <v>134</v>
      </c>
      <c r="E32">
        <v>41</v>
      </c>
    </row>
    <row r="33" spans="1:5" x14ac:dyDescent="0.2">
      <c r="A33" t="s">
        <v>5466</v>
      </c>
      <c r="B33" t="s">
        <v>124</v>
      </c>
      <c r="C33" t="s">
        <v>5467</v>
      </c>
      <c r="D33" t="s">
        <v>209</v>
      </c>
      <c r="E33">
        <v>105</v>
      </c>
    </row>
    <row r="34" spans="1:5" x14ac:dyDescent="0.2">
      <c r="A34" t="s">
        <v>5466</v>
      </c>
      <c r="B34" t="s">
        <v>124</v>
      </c>
      <c r="C34" t="s">
        <v>5467</v>
      </c>
      <c r="D34" t="s">
        <v>149</v>
      </c>
      <c r="E34">
        <v>2801</v>
      </c>
    </row>
    <row r="35" spans="1:5" x14ac:dyDescent="0.2">
      <c r="A35" t="s">
        <v>5466</v>
      </c>
      <c r="B35" t="s">
        <v>124</v>
      </c>
      <c r="C35" t="s">
        <v>5467</v>
      </c>
      <c r="D35" t="s">
        <v>309</v>
      </c>
      <c r="E35">
        <v>138</v>
      </c>
    </row>
    <row r="36" spans="1:5" x14ac:dyDescent="0.2">
      <c r="A36" t="s">
        <v>5466</v>
      </c>
      <c r="B36" t="s">
        <v>124</v>
      </c>
      <c r="C36" t="s">
        <v>5468</v>
      </c>
      <c r="D36" t="s">
        <v>155</v>
      </c>
      <c r="E36">
        <v>1307</v>
      </c>
    </row>
    <row r="37" spans="1:5" x14ac:dyDescent="0.2">
      <c r="A37" t="s">
        <v>5466</v>
      </c>
      <c r="B37" t="s">
        <v>124</v>
      </c>
      <c r="C37" t="s">
        <v>5468</v>
      </c>
      <c r="D37" t="s">
        <v>135</v>
      </c>
      <c r="E37">
        <v>4038</v>
      </c>
    </row>
    <row r="38" spans="1:5" x14ac:dyDescent="0.2">
      <c r="A38" t="s">
        <v>5466</v>
      </c>
      <c r="B38" t="s">
        <v>124</v>
      </c>
      <c r="C38" t="s">
        <v>5469</v>
      </c>
      <c r="D38">
        <v>1</v>
      </c>
      <c r="E38">
        <v>277</v>
      </c>
    </row>
    <row r="39" spans="1:5" x14ac:dyDescent="0.2">
      <c r="A39" t="s">
        <v>5466</v>
      </c>
      <c r="B39" t="s">
        <v>124</v>
      </c>
      <c r="C39" t="s">
        <v>5469</v>
      </c>
      <c r="D39">
        <v>2</v>
      </c>
      <c r="E39">
        <v>167</v>
      </c>
    </row>
    <row r="40" spans="1:5" x14ac:dyDescent="0.2">
      <c r="A40" t="s">
        <v>5466</v>
      </c>
      <c r="B40" t="s">
        <v>124</v>
      </c>
      <c r="C40" t="s">
        <v>5469</v>
      </c>
      <c r="D40">
        <v>3</v>
      </c>
      <c r="E40">
        <v>2641</v>
      </c>
    </row>
    <row r="41" spans="1:5" x14ac:dyDescent="0.2">
      <c r="A41" t="s">
        <v>5466</v>
      </c>
      <c r="B41" t="s">
        <v>124</v>
      </c>
      <c r="C41" t="s">
        <v>5499</v>
      </c>
      <c r="D41" t="s">
        <v>5438</v>
      </c>
      <c r="E41">
        <v>125</v>
      </c>
    </row>
    <row r="42" spans="1:5" x14ac:dyDescent="0.2">
      <c r="A42" t="s">
        <v>5466</v>
      </c>
      <c r="B42" t="s">
        <v>124</v>
      </c>
      <c r="C42" t="s">
        <v>5499</v>
      </c>
      <c r="D42" t="s">
        <v>5437</v>
      </c>
      <c r="E42">
        <v>268</v>
      </c>
    </row>
    <row r="43" spans="1:5" x14ac:dyDescent="0.2">
      <c r="A43" t="s">
        <v>5466</v>
      </c>
      <c r="B43" t="s">
        <v>124</v>
      </c>
      <c r="C43" t="s">
        <v>5499</v>
      </c>
      <c r="D43" t="s">
        <v>5440</v>
      </c>
      <c r="E43">
        <v>33</v>
      </c>
    </row>
    <row r="44" spans="1:5" x14ac:dyDescent="0.2">
      <c r="A44" t="s">
        <v>5466</v>
      </c>
      <c r="B44" t="s">
        <v>124</v>
      </c>
      <c r="C44" t="s">
        <v>5499</v>
      </c>
      <c r="D44" t="s">
        <v>5439</v>
      </c>
      <c r="E44">
        <v>141</v>
      </c>
    </row>
    <row r="45" spans="1:5" x14ac:dyDescent="0.2">
      <c r="A45" t="s">
        <v>5466</v>
      </c>
      <c r="B45" t="s">
        <v>124</v>
      </c>
      <c r="C45" t="s">
        <v>5499</v>
      </c>
      <c r="D45" t="s">
        <v>5442</v>
      </c>
      <c r="E45">
        <v>1032</v>
      </c>
    </row>
    <row r="46" spans="1:5" x14ac:dyDescent="0.2">
      <c r="A46" t="s">
        <v>5466</v>
      </c>
      <c r="B46" t="s">
        <v>124</v>
      </c>
      <c r="C46" t="s">
        <v>5499</v>
      </c>
      <c r="D46" t="s">
        <v>5441</v>
      </c>
      <c r="E46">
        <v>2865</v>
      </c>
    </row>
    <row r="47" spans="1:5" x14ac:dyDescent="0.2">
      <c r="A47" t="s">
        <v>5466</v>
      </c>
      <c r="B47" t="s">
        <v>124</v>
      </c>
      <c r="C47" t="s">
        <v>5499</v>
      </c>
      <c r="D47" t="s">
        <v>125</v>
      </c>
      <c r="E47">
        <v>2602</v>
      </c>
    </row>
    <row r="48" spans="1:5" x14ac:dyDescent="0.2">
      <c r="A48" t="s">
        <v>5466</v>
      </c>
      <c r="B48" t="s">
        <v>124</v>
      </c>
      <c r="C48" t="s">
        <v>5500</v>
      </c>
      <c r="D48" t="s">
        <v>5501</v>
      </c>
      <c r="E48">
        <v>9</v>
      </c>
    </row>
    <row r="49" spans="1:5" x14ac:dyDescent="0.2">
      <c r="A49" t="s">
        <v>5466</v>
      </c>
      <c r="B49" t="s">
        <v>124</v>
      </c>
      <c r="C49" t="s">
        <v>5500</v>
      </c>
      <c r="D49" t="s">
        <v>5502</v>
      </c>
      <c r="E49">
        <v>132</v>
      </c>
    </row>
    <row r="50" spans="1:5" x14ac:dyDescent="0.2">
      <c r="A50" t="s">
        <v>5466</v>
      </c>
      <c r="B50" t="s">
        <v>124</v>
      </c>
      <c r="C50" t="s">
        <v>5500</v>
      </c>
      <c r="D50" t="s">
        <v>5503</v>
      </c>
      <c r="E50">
        <v>313</v>
      </c>
    </row>
    <row r="51" spans="1:5" x14ac:dyDescent="0.2">
      <c r="A51" t="s">
        <v>5466</v>
      </c>
      <c r="B51" t="s">
        <v>124</v>
      </c>
      <c r="C51" t="s">
        <v>5500</v>
      </c>
      <c r="D51" t="s">
        <v>5504</v>
      </c>
      <c r="E51">
        <v>991</v>
      </c>
    </row>
    <row r="52" spans="1:5" x14ac:dyDescent="0.2">
      <c r="A52" t="s">
        <v>5466</v>
      </c>
      <c r="B52" t="s">
        <v>124</v>
      </c>
      <c r="C52" t="s">
        <v>5500</v>
      </c>
      <c r="D52" t="s">
        <v>5505</v>
      </c>
      <c r="E52">
        <v>1045</v>
      </c>
    </row>
    <row r="53" spans="1:5" x14ac:dyDescent="0.2">
      <c r="A53" t="s">
        <v>5466</v>
      </c>
      <c r="B53" t="s">
        <v>124</v>
      </c>
      <c r="C53" t="s">
        <v>5500</v>
      </c>
      <c r="D53" t="s">
        <v>5506</v>
      </c>
      <c r="E53">
        <v>171</v>
      </c>
    </row>
    <row r="54" spans="1:5" x14ac:dyDescent="0.2">
      <c r="A54" t="s">
        <v>5466</v>
      </c>
      <c r="B54" t="s">
        <v>124</v>
      </c>
      <c r="C54" t="s">
        <v>5500</v>
      </c>
      <c r="D54" t="s">
        <v>5507</v>
      </c>
      <c r="E54">
        <v>4156</v>
      </c>
    </row>
    <row r="55" spans="1:5" x14ac:dyDescent="0.2">
      <c r="A55" t="s">
        <v>5466</v>
      </c>
      <c r="B55" t="s">
        <v>124</v>
      </c>
      <c r="C55" t="s">
        <v>5500</v>
      </c>
      <c r="D55" t="s">
        <v>5508</v>
      </c>
      <c r="E55">
        <v>12</v>
      </c>
    </row>
    <row r="56" spans="1:5" x14ac:dyDescent="0.2">
      <c r="A56" t="s">
        <v>5466</v>
      </c>
      <c r="B56" t="s">
        <v>124</v>
      </c>
      <c r="C56" t="s">
        <v>5500</v>
      </c>
      <c r="D56" t="s">
        <v>5509</v>
      </c>
      <c r="E56">
        <v>32</v>
      </c>
    </row>
    <row r="57" spans="1:5" x14ac:dyDescent="0.2">
      <c r="A57" t="s">
        <v>5466</v>
      </c>
      <c r="B57" t="s">
        <v>124</v>
      </c>
      <c r="C57" t="s">
        <v>5500</v>
      </c>
      <c r="D57" t="s">
        <v>5510</v>
      </c>
      <c r="E57">
        <v>21</v>
      </c>
    </row>
    <row r="58" spans="1:5" x14ac:dyDescent="0.2">
      <c r="A58" t="s">
        <v>5466</v>
      </c>
      <c r="B58" t="s">
        <v>124</v>
      </c>
      <c r="C58" t="s">
        <v>5500</v>
      </c>
      <c r="D58" t="s">
        <v>5511</v>
      </c>
      <c r="E58">
        <v>163</v>
      </c>
    </row>
    <row r="59" spans="1:5" x14ac:dyDescent="0.2">
      <c r="A59" t="s">
        <v>5466</v>
      </c>
      <c r="B59" t="s">
        <v>124</v>
      </c>
      <c r="C59" t="s">
        <v>5500</v>
      </c>
      <c r="D59" t="s">
        <v>5512</v>
      </c>
      <c r="E59">
        <v>21</v>
      </c>
    </row>
    <row r="60" spans="1:5" x14ac:dyDescent="0.2">
      <c r="A60" t="s">
        <v>5466</v>
      </c>
      <c r="B60" t="s">
        <v>124</v>
      </c>
      <c r="C60" t="s">
        <v>5470</v>
      </c>
      <c r="D60" t="s">
        <v>903</v>
      </c>
      <c r="E60">
        <v>132</v>
      </c>
    </row>
    <row r="61" spans="1:5" x14ac:dyDescent="0.2">
      <c r="A61" t="s">
        <v>5466</v>
      </c>
      <c r="B61" t="s">
        <v>124</v>
      </c>
      <c r="C61" t="s">
        <v>5470</v>
      </c>
      <c r="D61" t="s">
        <v>209</v>
      </c>
      <c r="E61">
        <v>313</v>
      </c>
    </row>
    <row r="62" spans="1:5" x14ac:dyDescent="0.2">
      <c r="A62" t="s">
        <v>5466</v>
      </c>
      <c r="B62" t="s">
        <v>124</v>
      </c>
      <c r="C62" t="s">
        <v>5470</v>
      </c>
      <c r="D62" t="s">
        <v>143</v>
      </c>
      <c r="E62">
        <v>2421</v>
      </c>
    </row>
    <row r="63" spans="1:5" x14ac:dyDescent="0.2">
      <c r="A63" t="s">
        <v>5466</v>
      </c>
      <c r="B63" t="s">
        <v>124</v>
      </c>
      <c r="C63" t="s">
        <v>5470</v>
      </c>
      <c r="D63" t="s">
        <v>136</v>
      </c>
      <c r="E63">
        <v>2481</v>
      </c>
    </row>
    <row r="64" spans="1:5" x14ac:dyDescent="0.2">
      <c r="A64" t="s">
        <v>5466</v>
      </c>
      <c r="B64" t="s">
        <v>124</v>
      </c>
      <c r="C64" t="s">
        <v>5471</v>
      </c>
      <c r="D64" t="s">
        <v>137</v>
      </c>
      <c r="E64">
        <v>3085</v>
      </c>
    </row>
    <row r="65" spans="1:5" x14ac:dyDescent="0.2">
      <c r="A65" t="s">
        <v>5466</v>
      </c>
      <c r="B65" t="s">
        <v>124</v>
      </c>
      <c r="C65" t="s">
        <v>5471</v>
      </c>
      <c r="D65" t="s">
        <v>394</v>
      </c>
      <c r="E65">
        <v>219</v>
      </c>
    </row>
    <row r="66" spans="1:5" x14ac:dyDescent="0.2">
      <c r="A66" t="s">
        <v>5466</v>
      </c>
      <c r="B66" t="s">
        <v>124</v>
      </c>
      <c r="C66" t="s">
        <v>5471</v>
      </c>
      <c r="D66" t="s">
        <v>128</v>
      </c>
      <c r="E66">
        <v>1500</v>
      </c>
    </row>
    <row r="67" spans="1:5" x14ac:dyDescent="0.2">
      <c r="A67" t="s">
        <v>5466</v>
      </c>
      <c r="B67" t="s">
        <v>124</v>
      </c>
      <c r="C67" t="s">
        <v>5471</v>
      </c>
      <c r="D67" t="s">
        <v>144</v>
      </c>
      <c r="E67">
        <v>2262</v>
      </c>
    </row>
    <row r="68" spans="1:5" x14ac:dyDescent="0.2">
      <c r="A68" t="s">
        <v>5475</v>
      </c>
      <c r="B68" t="s">
        <v>131</v>
      </c>
      <c r="C68" t="s">
        <v>5474</v>
      </c>
      <c r="D68" t="s">
        <v>142</v>
      </c>
      <c r="E68">
        <v>4</v>
      </c>
    </row>
    <row r="69" spans="1:5" x14ac:dyDescent="0.2">
      <c r="A69" t="s">
        <v>5475</v>
      </c>
      <c r="B69" t="s">
        <v>131</v>
      </c>
      <c r="C69" t="s">
        <v>5474</v>
      </c>
      <c r="D69" t="s">
        <v>154</v>
      </c>
      <c r="E69">
        <v>1</v>
      </c>
    </row>
    <row r="70" spans="1:5" x14ac:dyDescent="0.2">
      <c r="A70" t="s">
        <v>5475</v>
      </c>
      <c r="B70" t="s">
        <v>131</v>
      </c>
      <c r="C70" t="s">
        <v>5467</v>
      </c>
      <c r="D70" t="s">
        <v>134</v>
      </c>
      <c r="E70">
        <v>6</v>
      </c>
    </row>
    <row r="71" spans="1:5" x14ac:dyDescent="0.2">
      <c r="A71" t="s">
        <v>5475</v>
      </c>
      <c r="B71" t="s">
        <v>131</v>
      </c>
      <c r="C71" t="s">
        <v>5467</v>
      </c>
      <c r="D71" t="s">
        <v>209</v>
      </c>
      <c r="E71">
        <v>6</v>
      </c>
    </row>
    <row r="72" spans="1:5" x14ac:dyDescent="0.2">
      <c r="A72" t="s">
        <v>5475</v>
      </c>
      <c r="B72" t="s">
        <v>131</v>
      </c>
      <c r="C72" t="s">
        <v>5467</v>
      </c>
      <c r="D72" t="s">
        <v>149</v>
      </c>
      <c r="E72">
        <v>261</v>
      </c>
    </row>
    <row r="73" spans="1:5" x14ac:dyDescent="0.2">
      <c r="A73" t="s">
        <v>5475</v>
      </c>
      <c r="B73" t="s">
        <v>131</v>
      </c>
      <c r="C73" t="s">
        <v>5467</v>
      </c>
      <c r="D73" t="s">
        <v>309</v>
      </c>
      <c r="E73">
        <v>2</v>
      </c>
    </row>
    <row r="74" spans="1:5" x14ac:dyDescent="0.2">
      <c r="A74" t="s">
        <v>5475</v>
      </c>
      <c r="B74" t="s">
        <v>131</v>
      </c>
      <c r="C74" t="s">
        <v>5468</v>
      </c>
      <c r="D74" t="s">
        <v>155</v>
      </c>
      <c r="E74">
        <v>49</v>
      </c>
    </row>
    <row r="75" spans="1:5" x14ac:dyDescent="0.2">
      <c r="A75" t="s">
        <v>5475</v>
      </c>
      <c r="B75" t="s">
        <v>131</v>
      </c>
      <c r="C75" t="s">
        <v>5468</v>
      </c>
      <c r="D75" t="s">
        <v>135</v>
      </c>
      <c r="E75">
        <v>232</v>
      </c>
    </row>
    <row r="76" spans="1:5" x14ac:dyDescent="0.2">
      <c r="A76" t="s">
        <v>5475</v>
      </c>
      <c r="B76" t="s">
        <v>131</v>
      </c>
      <c r="C76" t="s">
        <v>5469</v>
      </c>
      <c r="D76">
        <v>1</v>
      </c>
      <c r="E76">
        <v>118</v>
      </c>
    </row>
    <row r="77" spans="1:5" x14ac:dyDescent="0.2">
      <c r="A77" t="s">
        <v>5475</v>
      </c>
      <c r="B77" t="s">
        <v>131</v>
      </c>
      <c r="C77" t="s">
        <v>5469</v>
      </c>
      <c r="D77">
        <v>2</v>
      </c>
      <c r="E77">
        <v>56</v>
      </c>
    </row>
    <row r="78" spans="1:5" x14ac:dyDescent="0.2">
      <c r="A78" t="s">
        <v>5475</v>
      </c>
      <c r="B78" t="s">
        <v>131</v>
      </c>
      <c r="C78" t="s">
        <v>5469</v>
      </c>
      <c r="D78">
        <v>3</v>
      </c>
      <c r="E78">
        <v>101</v>
      </c>
    </row>
    <row r="79" spans="1:5" x14ac:dyDescent="0.2">
      <c r="A79" t="s">
        <v>5475</v>
      </c>
      <c r="B79" t="s">
        <v>131</v>
      </c>
      <c r="C79" t="s">
        <v>5470</v>
      </c>
      <c r="D79" t="s">
        <v>903</v>
      </c>
      <c r="E79">
        <v>2</v>
      </c>
    </row>
    <row r="80" spans="1:5" x14ac:dyDescent="0.2">
      <c r="A80" t="s">
        <v>5475</v>
      </c>
      <c r="B80" t="s">
        <v>131</v>
      </c>
      <c r="C80" t="s">
        <v>5470</v>
      </c>
      <c r="D80" t="s">
        <v>209</v>
      </c>
      <c r="E80">
        <v>32</v>
      </c>
    </row>
    <row r="81" spans="1:5" x14ac:dyDescent="0.2">
      <c r="A81" t="s">
        <v>5475</v>
      </c>
      <c r="B81" t="s">
        <v>131</v>
      </c>
      <c r="C81" t="s">
        <v>5470</v>
      </c>
      <c r="D81" t="s">
        <v>143</v>
      </c>
      <c r="E81">
        <v>4</v>
      </c>
    </row>
    <row r="82" spans="1:5" x14ac:dyDescent="0.2">
      <c r="A82" t="s">
        <v>5475</v>
      </c>
      <c r="B82" t="s">
        <v>131</v>
      </c>
      <c r="C82" t="s">
        <v>5470</v>
      </c>
      <c r="D82" t="s">
        <v>136</v>
      </c>
      <c r="E82">
        <v>241</v>
      </c>
    </row>
    <row r="83" spans="1:5" x14ac:dyDescent="0.2">
      <c r="A83" t="s">
        <v>5475</v>
      </c>
      <c r="B83" t="s">
        <v>131</v>
      </c>
      <c r="C83" t="s">
        <v>5471</v>
      </c>
      <c r="D83" t="s">
        <v>137</v>
      </c>
      <c r="E83">
        <v>275</v>
      </c>
    </row>
    <row r="84" spans="1:5" x14ac:dyDescent="0.2">
      <c r="A84" t="s">
        <v>5475</v>
      </c>
      <c r="B84" t="s">
        <v>131</v>
      </c>
      <c r="C84" t="s">
        <v>5471</v>
      </c>
      <c r="D84" t="s">
        <v>394</v>
      </c>
      <c r="E84">
        <v>1</v>
      </c>
    </row>
    <row r="85" spans="1:5" x14ac:dyDescent="0.2">
      <c r="A85" t="s">
        <v>5475</v>
      </c>
      <c r="B85" t="s">
        <v>131</v>
      </c>
      <c r="C85" t="s">
        <v>5471</v>
      </c>
      <c r="D85" t="s">
        <v>128</v>
      </c>
      <c r="E85">
        <v>3</v>
      </c>
    </row>
    <row r="86" spans="1:5" x14ac:dyDescent="0.2">
      <c r="A86" t="s">
        <v>5475</v>
      </c>
      <c r="B86" t="s">
        <v>131</v>
      </c>
      <c r="C86" t="s">
        <v>5471</v>
      </c>
      <c r="D86" t="s">
        <v>144</v>
      </c>
      <c r="E86">
        <v>4</v>
      </c>
    </row>
    <row r="87" spans="1:5" x14ac:dyDescent="0.2">
      <c r="A87" t="s">
        <v>5475</v>
      </c>
      <c r="B87" t="s">
        <v>124</v>
      </c>
      <c r="C87" t="s">
        <v>5474</v>
      </c>
      <c r="D87" t="s">
        <v>142</v>
      </c>
      <c r="E87">
        <v>53</v>
      </c>
    </row>
    <row r="88" spans="1:5" x14ac:dyDescent="0.2">
      <c r="A88" t="s">
        <v>5475</v>
      </c>
      <c r="B88" t="s">
        <v>124</v>
      </c>
      <c r="C88" t="s">
        <v>5474</v>
      </c>
      <c r="D88" t="s">
        <v>154</v>
      </c>
      <c r="E88">
        <v>152</v>
      </c>
    </row>
    <row r="89" spans="1:5" x14ac:dyDescent="0.2">
      <c r="A89" t="s">
        <v>5475</v>
      </c>
      <c r="B89" t="s">
        <v>124</v>
      </c>
      <c r="C89" t="s">
        <v>5497</v>
      </c>
      <c r="D89" t="s">
        <v>5513</v>
      </c>
      <c r="E89">
        <v>1</v>
      </c>
    </row>
    <row r="90" spans="1:5" x14ac:dyDescent="0.2">
      <c r="A90" t="s">
        <v>5475</v>
      </c>
      <c r="B90" t="s">
        <v>124</v>
      </c>
      <c r="C90" t="s">
        <v>5497</v>
      </c>
      <c r="D90" t="s">
        <v>5458</v>
      </c>
      <c r="E90">
        <v>15</v>
      </c>
    </row>
    <row r="91" spans="1:5" x14ac:dyDescent="0.2">
      <c r="A91" t="s">
        <v>5475</v>
      </c>
      <c r="B91" t="s">
        <v>124</v>
      </c>
      <c r="C91" t="s">
        <v>5497</v>
      </c>
      <c r="D91" t="s">
        <v>5455</v>
      </c>
      <c r="E91">
        <v>28</v>
      </c>
    </row>
    <row r="92" spans="1:5" x14ac:dyDescent="0.2">
      <c r="A92" t="s">
        <v>5475</v>
      </c>
      <c r="B92" t="s">
        <v>124</v>
      </c>
      <c r="C92" t="s">
        <v>5497</v>
      </c>
      <c r="D92" t="s">
        <v>5459</v>
      </c>
      <c r="E92">
        <v>15</v>
      </c>
    </row>
    <row r="93" spans="1:5" x14ac:dyDescent="0.2">
      <c r="A93" t="s">
        <v>5475</v>
      </c>
      <c r="B93" t="s">
        <v>124</v>
      </c>
      <c r="C93" t="s">
        <v>5497</v>
      </c>
      <c r="D93" t="s">
        <v>5457</v>
      </c>
      <c r="E93">
        <v>47</v>
      </c>
    </row>
    <row r="94" spans="1:5" x14ac:dyDescent="0.2">
      <c r="A94" t="s">
        <v>5475</v>
      </c>
      <c r="B94" t="s">
        <v>124</v>
      </c>
      <c r="C94" t="s">
        <v>5497</v>
      </c>
      <c r="D94" t="s">
        <v>5514</v>
      </c>
      <c r="E94">
        <v>84</v>
      </c>
    </row>
    <row r="95" spans="1:5" x14ac:dyDescent="0.2">
      <c r="A95" t="s">
        <v>5475</v>
      </c>
      <c r="B95" t="s">
        <v>124</v>
      </c>
      <c r="C95" t="s">
        <v>5497</v>
      </c>
      <c r="D95" t="s">
        <v>5456</v>
      </c>
      <c r="E95">
        <v>787</v>
      </c>
    </row>
    <row r="96" spans="1:5" x14ac:dyDescent="0.2">
      <c r="A96" t="s">
        <v>5475</v>
      </c>
      <c r="B96" t="s">
        <v>124</v>
      </c>
      <c r="C96" t="s">
        <v>5497</v>
      </c>
      <c r="D96" t="s">
        <v>5460</v>
      </c>
      <c r="E96">
        <v>182</v>
      </c>
    </row>
    <row r="97" spans="1:5" x14ac:dyDescent="0.2">
      <c r="A97" t="s">
        <v>5475</v>
      </c>
      <c r="B97" t="s">
        <v>124</v>
      </c>
      <c r="C97" t="s">
        <v>5497</v>
      </c>
      <c r="D97" t="s">
        <v>5461</v>
      </c>
      <c r="E97">
        <v>28</v>
      </c>
    </row>
    <row r="98" spans="1:5" x14ac:dyDescent="0.2">
      <c r="A98" t="s">
        <v>5475</v>
      </c>
      <c r="B98" t="s">
        <v>124</v>
      </c>
      <c r="C98" t="s">
        <v>5497</v>
      </c>
      <c r="D98" t="s">
        <v>5498</v>
      </c>
      <c r="E98">
        <v>11</v>
      </c>
    </row>
    <row r="99" spans="1:5" x14ac:dyDescent="0.2">
      <c r="A99" t="s">
        <v>5475</v>
      </c>
      <c r="B99" t="s">
        <v>124</v>
      </c>
      <c r="C99" t="s">
        <v>5467</v>
      </c>
      <c r="D99" t="s">
        <v>134</v>
      </c>
      <c r="E99">
        <v>15</v>
      </c>
    </row>
    <row r="100" spans="1:5" x14ac:dyDescent="0.2">
      <c r="A100" t="s">
        <v>5475</v>
      </c>
      <c r="B100" t="s">
        <v>124</v>
      </c>
      <c r="C100" t="s">
        <v>5467</v>
      </c>
      <c r="D100" t="s">
        <v>209</v>
      </c>
      <c r="E100">
        <v>45</v>
      </c>
    </row>
    <row r="101" spans="1:5" x14ac:dyDescent="0.2">
      <c r="A101" t="s">
        <v>5475</v>
      </c>
      <c r="B101" t="s">
        <v>124</v>
      </c>
      <c r="C101" t="s">
        <v>5467</v>
      </c>
      <c r="D101" t="s">
        <v>149</v>
      </c>
      <c r="E101">
        <v>649</v>
      </c>
    </row>
    <row r="102" spans="1:5" x14ac:dyDescent="0.2">
      <c r="A102" t="s">
        <v>5475</v>
      </c>
      <c r="B102" t="s">
        <v>124</v>
      </c>
      <c r="C102" t="s">
        <v>5467</v>
      </c>
      <c r="D102" t="s">
        <v>309</v>
      </c>
      <c r="E102">
        <v>28</v>
      </c>
    </row>
    <row r="103" spans="1:5" x14ac:dyDescent="0.2">
      <c r="A103" t="s">
        <v>5475</v>
      </c>
      <c r="B103" t="s">
        <v>124</v>
      </c>
      <c r="C103" t="s">
        <v>5468</v>
      </c>
      <c r="D103" t="s">
        <v>155</v>
      </c>
      <c r="E103">
        <v>131</v>
      </c>
    </row>
    <row r="104" spans="1:5" x14ac:dyDescent="0.2">
      <c r="A104" t="s">
        <v>5475</v>
      </c>
      <c r="B104" t="s">
        <v>124</v>
      </c>
      <c r="C104" t="s">
        <v>5468</v>
      </c>
      <c r="D104" t="s">
        <v>135</v>
      </c>
      <c r="E104">
        <v>812</v>
      </c>
    </row>
    <row r="105" spans="1:5" x14ac:dyDescent="0.2">
      <c r="A105" t="s">
        <v>5475</v>
      </c>
      <c r="B105" t="s">
        <v>124</v>
      </c>
      <c r="C105" t="s">
        <v>5469</v>
      </c>
      <c r="D105">
        <v>1</v>
      </c>
      <c r="E105">
        <v>227</v>
      </c>
    </row>
    <row r="106" spans="1:5" x14ac:dyDescent="0.2">
      <c r="A106" t="s">
        <v>5475</v>
      </c>
      <c r="B106" t="s">
        <v>124</v>
      </c>
      <c r="C106" t="s">
        <v>5469</v>
      </c>
      <c r="D106">
        <v>2</v>
      </c>
      <c r="E106">
        <v>119</v>
      </c>
    </row>
    <row r="107" spans="1:5" x14ac:dyDescent="0.2">
      <c r="A107" t="s">
        <v>5475</v>
      </c>
      <c r="B107" t="s">
        <v>124</v>
      </c>
      <c r="C107" t="s">
        <v>5469</v>
      </c>
      <c r="D107">
        <v>3</v>
      </c>
      <c r="E107">
        <v>390</v>
      </c>
    </row>
    <row r="108" spans="1:5" x14ac:dyDescent="0.2">
      <c r="A108" t="s">
        <v>5475</v>
      </c>
      <c r="B108" t="s">
        <v>124</v>
      </c>
      <c r="C108" t="s">
        <v>5499</v>
      </c>
      <c r="D108" t="s">
        <v>5438</v>
      </c>
      <c r="E108">
        <v>47</v>
      </c>
    </row>
    <row r="109" spans="1:5" x14ac:dyDescent="0.2">
      <c r="A109" t="s">
        <v>5475</v>
      </c>
      <c r="B109" t="s">
        <v>124</v>
      </c>
      <c r="C109" t="s">
        <v>5499</v>
      </c>
      <c r="D109" t="s">
        <v>5437</v>
      </c>
      <c r="E109">
        <v>248</v>
      </c>
    </row>
    <row r="110" spans="1:5" x14ac:dyDescent="0.2">
      <c r="A110" t="s">
        <v>5475</v>
      </c>
      <c r="B110" t="s">
        <v>124</v>
      </c>
      <c r="C110" t="s">
        <v>5499</v>
      </c>
      <c r="D110" t="s">
        <v>5440</v>
      </c>
      <c r="E110">
        <v>8</v>
      </c>
    </row>
    <row r="111" spans="1:5" x14ac:dyDescent="0.2">
      <c r="A111" t="s">
        <v>5475</v>
      </c>
      <c r="B111" t="s">
        <v>124</v>
      </c>
      <c r="C111" t="s">
        <v>5499</v>
      </c>
      <c r="D111" t="s">
        <v>5439</v>
      </c>
      <c r="E111">
        <v>123</v>
      </c>
    </row>
    <row r="112" spans="1:5" x14ac:dyDescent="0.2">
      <c r="A112" t="s">
        <v>5475</v>
      </c>
      <c r="B112" t="s">
        <v>124</v>
      </c>
      <c r="C112" t="s">
        <v>5499</v>
      </c>
      <c r="D112" t="s">
        <v>5442</v>
      </c>
      <c r="E112">
        <v>78</v>
      </c>
    </row>
    <row r="113" spans="1:5" x14ac:dyDescent="0.2">
      <c r="A113" t="s">
        <v>5475</v>
      </c>
      <c r="B113" t="s">
        <v>124</v>
      </c>
      <c r="C113" t="s">
        <v>5499</v>
      </c>
      <c r="D113" t="s">
        <v>5441</v>
      </c>
      <c r="E113">
        <v>382</v>
      </c>
    </row>
    <row r="114" spans="1:5" x14ac:dyDescent="0.2">
      <c r="A114" t="s">
        <v>5475</v>
      </c>
      <c r="B114" t="s">
        <v>124</v>
      </c>
      <c r="C114" t="s">
        <v>5499</v>
      </c>
      <c r="D114" t="s">
        <v>125</v>
      </c>
      <c r="E114">
        <v>312</v>
      </c>
    </row>
    <row r="115" spans="1:5" x14ac:dyDescent="0.2">
      <c r="A115" t="s">
        <v>5475</v>
      </c>
      <c r="B115" t="s">
        <v>124</v>
      </c>
      <c r="C115" t="s">
        <v>5500</v>
      </c>
      <c r="D115" t="s">
        <v>5515</v>
      </c>
      <c r="E115">
        <v>1</v>
      </c>
    </row>
    <row r="116" spans="1:5" x14ac:dyDescent="0.2">
      <c r="A116" t="s">
        <v>5475</v>
      </c>
      <c r="B116" t="s">
        <v>124</v>
      </c>
      <c r="C116" t="s">
        <v>5500</v>
      </c>
      <c r="D116" t="s">
        <v>5502</v>
      </c>
      <c r="E116">
        <v>17</v>
      </c>
    </row>
    <row r="117" spans="1:5" x14ac:dyDescent="0.2">
      <c r="A117" t="s">
        <v>5475</v>
      </c>
      <c r="B117" t="s">
        <v>124</v>
      </c>
      <c r="C117" t="s">
        <v>5500</v>
      </c>
      <c r="D117" t="s">
        <v>5503</v>
      </c>
      <c r="E117">
        <v>74</v>
      </c>
    </row>
    <row r="118" spans="1:5" x14ac:dyDescent="0.2">
      <c r="A118" t="s">
        <v>5475</v>
      </c>
      <c r="B118" t="s">
        <v>124</v>
      </c>
      <c r="C118" t="s">
        <v>5500</v>
      </c>
      <c r="D118" t="s">
        <v>5504</v>
      </c>
      <c r="E118">
        <v>33</v>
      </c>
    </row>
    <row r="119" spans="1:5" x14ac:dyDescent="0.2">
      <c r="A119" t="s">
        <v>5475</v>
      </c>
      <c r="B119" t="s">
        <v>124</v>
      </c>
      <c r="C119" t="s">
        <v>5500</v>
      </c>
      <c r="D119" t="s">
        <v>5505</v>
      </c>
      <c r="E119">
        <v>127</v>
      </c>
    </row>
    <row r="120" spans="1:5" x14ac:dyDescent="0.2">
      <c r="A120" t="s">
        <v>5475</v>
      </c>
      <c r="B120" t="s">
        <v>124</v>
      </c>
      <c r="C120" t="s">
        <v>5500</v>
      </c>
      <c r="D120" t="s">
        <v>5506</v>
      </c>
      <c r="E120">
        <v>6</v>
      </c>
    </row>
    <row r="121" spans="1:5" x14ac:dyDescent="0.2">
      <c r="A121" t="s">
        <v>5475</v>
      </c>
      <c r="B121" t="s">
        <v>124</v>
      </c>
      <c r="C121" t="s">
        <v>5500</v>
      </c>
      <c r="D121" t="s">
        <v>5507</v>
      </c>
      <c r="E121">
        <v>833</v>
      </c>
    </row>
    <row r="122" spans="1:5" x14ac:dyDescent="0.2">
      <c r="A122" t="s">
        <v>5475</v>
      </c>
      <c r="B122" t="s">
        <v>124</v>
      </c>
      <c r="C122" t="s">
        <v>5500</v>
      </c>
      <c r="D122" t="s">
        <v>5516</v>
      </c>
      <c r="E122">
        <v>84</v>
      </c>
    </row>
    <row r="123" spans="1:5" x14ac:dyDescent="0.2">
      <c r="A123" t="s">
        <v>5475</v>
      </c>
      <c r="B123" t="s">
        <v>124</v>
      </c>
      <c r="C123" t="s">
        <v>5500</v>
      </c>
      <c r="D123" t="s">
        <v>5517</v>
      </c>
      <c r="E123">
        <v>1</v>
      </c>
    </row>
    <row r="124" spans="1:5" x14ac:dyDescent="0.2">
      <c r="A124" t="s">
        <v>5475</v>
      </c>
      <c r="B124" t="s">
        <v>124</v>
      </c>
      <c r="C124" t="s">
        <v>5500</v>
      </c>
      <c r="D124" t="s">
        <v>5508</v>
      </c>
      <c r="E124">
        <v>3</v>
      </c>
    </row>
    <row r="125" spans="1:5" x14ac:dyDescent="0.2">
      <c r="A125" t="s">
        <v>5475</v>
      </c>
      <c r="B125" t="s">
        <v>124</v>
      </c>
      <c r="C125" t="s">
        <v>5500</v>
      </c>
      <c r="D125" t="s">
        <v>5509</v>
      </c>
      <c r="E125">
        <v>8</v>
      </c>
    </row>
    <row r="126" spans="1:5" x14ac:dyDescent="0.2">
      <c r="A126" t="s">
        <v>5475</v>
      </c>
      <c r="B126" t="s">
        <v>124</v>
      </c>
      <c r="C126" t="s">
        <v>5500</v>
      </c>
      <c r="D126" t="s">
        <v>5511</v>
      </c>
      <c r="E126">
        <v>11</v>
      </c>
    </row>
    <row r="127" spans="1:5" x14ac:dyDescent="0.2">
      <c r="A127" t="s">
        <v>5475</v>
      </c>
      <c r="B127" t="s">
        <v>124</v>
      </c>
      <c r="C127" t="s">
        <v>5470</v>
      </c>
      <c r="D127" t="s">
        <v>903</v>
      </c>
      <c r="E127">
        <v>17</v>
      </c>
    </row>
    <row r="128" spans="1:5" x14ac:dyDescent="0.2">
      <c r="A128" t="s">
        <v>5475</v>
      </c>
      <c r="B128" t="s">
        <v>124</v>
      </c>
      <c r="C128" t="s">
        <v>5470</v>
      </c>
      <c r="D128" t="s">
        <v>209</v>
      </c>
      <c r="E128">
        <v>75</v>
      </c>
    </row>
    <row r="129" spans="1:5" x14ac:dyDescent="0.2">
      <c r="A129" t="s">
        <v>5475</v>
      </c>
      <c r="B129" t="s">
        <v>124</v>
      </c>
      <c r="C129" t="s">
        <v>5470</v>
      </c>
      <c r="D129" t="s">
        <v>143</v>
      </c>
      <c r="E129">
        <v>178</v>
      </c>
    </row>
    <row r="130" spans="1:5" x14ac:dyDescent="0.2">
      <c r="A130" t="s">
        <v>5475</v>
      </c>
      <c r="B130" t="s">
        <v>124</v>
      </c>
      <c r="C130" t="s">
        <v>5470</v>
      </c>
      <c r="D130" t="s">
        <v>136</v>
      </c>
      <c r="E130">
        <v>638</v>
      </c>
    </row>
    <row r="131" spans="1:5" x14ac:dyDescent="0.2">
      <c r="A131" t="s">
        <v>5475</v>
      </c>
      <c r="B131" t="s">
        <v>124</v>
      </c>
      <c r="C131" t="s">
        <v>5471</v>
      </c>
      <c r="D131" t="s">
        <v>137</v>
      </c>
      <c r="E131">
        <v>736</v>
      </c>
    </row>
    <row r="132" spans="1:5" x14ac:dyDescent="0.2">
      <c r="A132" t="s">
        <v>5475</v>
      </c>
      <c r="B132" t="s">
        <v>124</v>
      </c>
      <c r="C132" t="s">
        <v>5471</v>
      </c>
      <c r="D132" t="s">
        <v>394</v>
      </c>
      <c r="E132">
        <v>25</v>
      </c>
    </row>
    <row r="133" spans="1:5" x14ac:dyDescent="0.2">
      <c r="A133" t="s">
        <v>5475</v>
      </c>
      <c r="B133" t="s">
        <v>124</v>
      </c>
      <c r="C133" t="s">
        <v>5471</v>
      </c>
      <c r="D133" t="s">
        <v>128</v>
      </c>
      <c r="E133">
        <v>180</v>
      </c>
    </row>
    <row r="134" spans="1:5" x14ac:dyDescent="0.2">
      <c r="A134" t="s">
        <v>5475</v>
      </c>
      <c r="B134" t="s">
        <v>124</v>
      </c>
      <c r="C134" t="s">
        <v>5471</v>
      </c>
      <c r="D134" t="s">
        <v>144</v>
      </c>
      <c r="E134">
        <v>173</v>
      </c>
    </row>
    <row r="135" spans="1:5" x14ac:dyDescent="0.2">
      <c r="A135" t="s">
        <v>119</v>
      </c>
      <c r="B135" t="s">
        <v>131</v>
      </c>
      <c r="C135" t="s">
        <v>5474</v>
      </c>
      <c r="D135" t="s">
        <v>142</v>
      </c>
      <c r="E135">
        <v>14</v>
      </c>
    </row>
    <row r="136" spans="1:5" x14ac:dyDescent="0.2">
      <c r="A136" t="s">
        <v>119</v>
      </c>
      <c r="B136" t="s">
        <v>131</v>
      </c>
      <c r="C136" t="s">
        <v>5474</v>
      </c>
      <c r="D136" t="s">
        <v>154</v>
      </c>
      <c r="E136">
        <v>10</v>
      </c>
    </row>
    <row r="137" spans="1:5" x14ac:dyDescent="0.2">
      <c r="A137" t="s">
        <v>119</v>
      </c>
      <c r="B137" t="s">
        <v>131</v>
      </c>
      <c r="C137" t="s">
        <v>5467</v>
      </c>
      <c r="D137" t="s">
        <v>134</v>
      </c>
      <c r="E137">
        <v>24</v>
      </c>
    </row>
    <row r="138" spans="1:5" x14ac:dyDescent="0.2">
      <c r="A138" t="s">
        <v>119</v>
      </c>
      <c r="B138" t="s">
        <v>131</v>
      </c>
      <c r="C138" t="s">
        <v>5467</v>
      </c>
      <c r="D138" t="s">
        <v>209</v>
      </c>
      <c r="E138">
        <v>15</v>
      </c>
    </row>
    <row r="139" spans="1:5" x14ac:dyDescent="0.2">
      <c r="A139" t="s">
        <v>119</v>
      </c>
      <c r="B139" t="s">
        <v>131</v>
      </c>
      <c r="C139" t="s">
        <v>5467</v>
      </c>
      <c r="D139" t="s">
        <v>149</v>
      </c>
      <c r="E139">
        <v>510</v>
      </c>
    </row>
    <row r="140" spans="1:5" x14ac:dyDescent="0.2">
      <c r="A140" t="s">
        <v>119</v>
      </c>
      <c r="B140" t="s">
        <v>131</v>
      </c>
      <c r="C140" t="s">
        <v>5467</v>
      </c>
      <c r="D140" t="s">
        <v>309</v>
      </c>
      <c r="E140">
        <v>9</v>
      </c>
    </row>
    <row r="141" spans="1:5" x14ac:dyDescent="0.2">
      <c r="A141" t="s">
        <v>119</v>
      </c>
      <c r="B141" t="s">
        <v>131</v>
      </c>
      <c r="C141" t="s">
        <v>5468</v>
      </c>
      <c r="D141" t="s">
        <v>155</v>
      </c>
      <c r="E141">
        <v>176</v>
      </c>
    </row>
    <row r="142" spans="1:5" x14ac:dyDescent="0.2">
      <c r="A142" t="s">
        <v>119</v>
      </c>
      <c r="B142" t="s">
        <v>131</v>
      </c>
      <c r="C142" t="s">
        <v>5468</v>
      </c>
      <c r="D142" t="s">
        <v>135</v>
      </c>
      <c r="E142">
        <v>407</v>
      </c>
    </row>
    <row r="143" spans="1:5" x14ac:dyDescent="0.2">
      <c r="A143" t="s">
        <v>119</v>
      </c>
      <c r="B143" t="s">
        <v>131</v>
      </c>
      <c r="C143" t="s">
        <v>5469</v>
      </c>
      <c r="D143">
        <v>1</v>
      </c>
      <c r="E143">
        <v>224</v>
      </c>
    </row>
    <row r="144" spans="1:5" x14ac:dyDescent="0.2">
      <c r="A144" t="s">
        <v>119</v>
      </c>
      <c r="B144" t="s">
        <v>131</v>
      </c>
      <c r="C144" t="s">
        <v>5469</v>
      </c>
      <c r="D144">
        <v>2</v>
      </c>
      <c r="E144">
        <v>79</v>
      </c>
    </row>
    <row r="145" spans="1:5" x14ac:dyDescent="0.2">
      <c r="A145" t="s">
        <v>119</v>
      </c>
      <c r="B145" t="s">
        <v>131</v>
      </c>
      <c r="C145" t="s">
        <v>5469</v>
      </c>
      <c r="D145">
        <v>3</v>
      </c>
      <c r="E145">
        <v>255</v>
      </c>
    </row>
    <row r="146" spans="1:5" x14ac:dyDescent="0.2">
      <c r="A146" t="s">
        <v>119</v>
      </c>
      <c r="B146" t="s">
        <v>131</v>
      </c>
      <c r="C146" t="s">
        <v>5470</v>
      </c>
      <c r="D146" t="s">
        <v>903</v>
      </c>
      <c r="E146">
        <v>6</v>
      </c>
    </row>
    <row r="147" spans="1:5" x14ac:dyDescent="0.2">
      <c r="A147" t="s">
        <v>119</v>
      </c>
      <c r="B147" t="s">
        <v>131</v>
      </c>
      <c r="C147" t="s">
        <v>5470</v>
      </c>
      <c r="D147" t="s">
        <v>209</v>
      </c>
      <c r="E147">
        <v>62</v>
      </c>
    </row>
    <row r="148" spans="1:5" x14ac:dyDescent="0.2">
      <c r="A148" t="s">
        <v>119</v>
      </c>
      <c r="B148" t="s">
        <v>131</v>
      </c>
      <c r="C148" t="s">
        <v>5470</v>
      </c>
      <c r="D148" t="s">
        <v>143</v>
      </c>
      <c r="E148">
        <v>24</v>
      </c>
    </row>
    <row r="149" spans="1:5" x14ac:dyDescent="0.2">
      <c r="A149" t="s">
        <v>119</v>
      </c>
      <c r="B149" t="s">
        <v>131</v>
      </c>
      <c r="C149" t="s">
        <v>5470</v>
      </c>
      <c r="D149" t="s">
        <v>136</v>
      </c>
      <c r="E149">
        <v>486</v>
      </c>
    </row>
    <row r="150" spans="1:5" x14ac:dyDescent="0.2">
      <c r="A150" t="s">
        <v>119</v>
      </c>
      <c r="B150" t="s">
        <v>131</v>
      </c>
      <c r="C150" t="s">
        <v>5471</v>
      </c>
      <c r="D150" t="s">
        <v>137</v>
      </c>
      <c r="E150">
        <v>558</v>
      </c>
    </row>
    <row r="151" spans="1:5" x14ac:dyDescent="0.2">
      <c r="A151" t="s">
        <v>119</v>
      </c>
      <c r="B151" t="s">
        <v>131</v>
      </c>
      <c r="C151" t="s">
        <v>5471</v>
      </c>
      <c r="D151" t="s">
        <v>394</v>
      </c>
      <c r="E151">
        <v>1</v>
      </c>
    </row>
    <row r="152" spans="1:5" x14ac:dyDescent="0.2">
      <c r="A152" t="s">
        <v>119</v>
      </c>
      <c r="B152" t="s">
        <v>131</v>
      </c>
      <c r="C152" t="s">
        <v>5471</v>
      </c>
      <c r="D152" t="s">
        <v>128</v>
      </c>
      <c r="E152">
        <v>6</v>
      </c>
    </row>
    <row r="153" spans="1:5" x14ac:dyDescent="0.2">
      <c r="A153" t="s">
        <v>119</v>
      </c>
      <c r="B153" t="s">
        <v>131</v>
      </c>
      <c r="C153" t="s">
        <v>5471</v>
      </c>
      <c r="D153" t="s">
        <v>144</v>
      </c>
      <c r="E153">
        <v>20</v>
      </c>
    </row>
    <row r="154" spans="1:5" x14ac:dyDescent="0.2">
      <c r="A154" t="s">
        <v>119</v>
      </c>
      <c r="B154" t="s">
        <v>124</v>
      </c>
      <c r="C154" t="s">
        <v>5474</v>
      </c>
      <c r="D154" t="s">
        <v>142</v>
      </c>
      <c r="E154">
        <v>102</v>
      </c>
    </row>
    <row r="155" spans="1:5" x14ac:dyDescent="0.2">
      <c r="A155" t="s">
        <v>119</v>
      </c>
      <c r="B155" t="s">
        <v>124</v>
      </c>
      <c r="C155" t="s">
        <v>5474</v>
      </c>
      <c r="D155" t="s">
        <v>154</v>
      </c>
      <c r="E155">
        <v>287</v>
      </c>
    </row>
    <row r="156" spans="1:5" x14ac:dyDescent="0.2">
      <c r="A156" t="s">
        <v>119</v>
      </c>
      <c r="B156" t="s">
        <v>124</v>
      </c>
      <c r="C156" t="s">
        <v>5497</v>
      </c>
      <c r="D156" t="s">
        <v>5513</v>
      </c>
      <c r="E156">
        <v>3</v>
      </c>
    </row>
    <row r="157" spans="1:5" x14ac:dyDescent="0.2">
      <c r="A157" t="s">
        <v>119</v>
      </c>
      <c r="B157" t="s">
        <v>124</v>
      </c>
      <c r="C157" t="s">
        <v>5497</v>
      </c>
      <c r="D157" t="s">
        <v>5458</v>
      </c>
      <c r="E157">
        <v>33</v>
      </c>
    </row>
    <row r="158" spans="1:5" x14ac:dyDescent="0.2">
      <c r="A158" t="s">
        <v>119</v>
      </c>
      <c r="B158" t="s">
        <v>124</v>
      </c>
      <c r="C158" t="s">
        <v>5497</v>
      </c>
      <c r="D158" t="s">
        <v>5455</v>
      </c>
      <c r="E158">
        <v>51</v>
      </c>
    </row>
    <row r="159" spans="1:5" x14ac:dyDescent="0.2">
      <c r="A159" t="s">
        <v>119</v>
      </c>
      <c r="B159" t="s">
        <v>124</v>
      </c>
      <c r="C159" t="s">
        <v>5497</v>
      </c>
      <c r="D159" t="s">
        <v>5459</v>
      </c>
      <c r="E159">
        <v>33</v>
      </c>
    </row>
    <row r="160" spans="1:5" x14ac:dyDescent="0.2">
      <c r="A160" t="s">
        <v>119</v>
      </c>
      <c r="B160" t="s">
        <v>124</v>
      </c>
      <c r="C160" t="s">
        <v>5497</v>
      </c>
      <c r="D160" t="s">
        <v>5457</v>
      </c>
      <c r="E160">
        <v>102</v>
      </c>
    </row>
    <row r="161" spans="1:5" x14ac:dyDescent="0.2">
      <c r="A161" t="s">
        <v>119</v>
      </c>
      <c r="B161" t="s">
        <v>124</v>
      </c>
      <c r="C161" t="s">
        <v>5497</v>
      </c>
      <c r="D161" t="s">
        <v>5514</v>
      </c>
      <c r="E161">
        <v>135</v>
      </c>
    </row>
    <row r="162" spans="1:5" x14ac:dyDescent="0.2">
      <c r="A162" t="s">
        <v>119</v>
      </c>
      <c r="B162" t="s">
        <v>124</v>
      </c>
      <c r="C162" t="s">
        <v>5497</v>
      </c>
      <c r="D162" t="s">
        <v>5456</v>
      </c>
      <c r="E162">
        <v>1604</v>
      </c>
    </row>
    <row r="163" spans="1:5" x14ac:dyDescent="0.2">
      <c r="A163" t="s">
        <v>119</v>
      </c>
      <c r="B163" t="s">
        <v>124</v>
      </c>
      <c r="C163" t="s">
        <v>5497</v>
      </c>
      <c r="D163" t="s">
        <v>5460</v>
      </c>
      <c r="E163">
        <v>366</v>
      </c>
    </row>
    <row r="164" spans="1:5" x14ac:dyDescent="0.2">
      <c r="A164" t="s">
        <v>119</v>
      </c>
      <c r="B164" t="s">
        <v>124</v>
      </c>
      <c r="C164" t="s">
        <v>5497</v>
      </c>
      <c r="D164" t="s">
        <v>5461</v>
      </c>
      <c r="E164">
        <v>45</v>
      </c>
    </row>
    <row r="165" spans="1:5" x14ac:dyDescent="0.2">
      <c r="A165" t="s">
        <v>119</v>
      </c>
      <c r="B165" t="s">
        <v>124</v>
      </c>
      <c r="C165" t="s">
        <v>5497</v>
      </c>
      <c r="D165" t="s">
        <v>5498</v>
      </c>
      <c r="E165">
        <v>12</v>
      </c>
    </row>
    <row r="166" spans="1:5" x14ac:dyDescent="0.2">
      <c r="A166" t="s">
        <v>119</v>
      </c>
      <c r="B166" t="s">
        <v>124</v>
      </c>
      <c r="C166" t="s">
        <v>5467</v>
      </c>
      <c r="D166" t="s">
        <v>134</v>
      </c>
      <c r="E166">
        <v>31</v>
      </c>
    </row>
    <row r="167" spans="1:5" x14ac:dyDescent="0.2">
      <c r="A167" t="s">
        <v>119</v>
      </c>
      <c r="B167" t="s">
        <v>124</v>
      </c>
      <c r="C167" t="s">
        <v>5467</v>
      </c>
      <c r="D167" t="s">
        <v>209</v>
      </c>
      <c r="E167">
        <v>94</v>
      </c>
    </row>
    <row r="168" spans="1:5" x14ac:dyDescent="0.2">
      <c r="A168" t="s">
        <v>119</v>
      </c>
      <c r="B168" t="s">
        <v>124</v>
      </c>
      <c r="C168" t="s">
        <v>5467</v>
      </c>
      <c r="D168" t="s">
        <v>149</v>
      </c>
      <c r="E168">
        <v>1336</v>
      </c>
    </row>
    <row r="169" spans="1:5" x14ac:dyDescent="0.2">
      <c r="A169" t="s">
        <v>119</v>
      </c>
      <c r="B169" t="s">
        <v>124</v>
      </c>
      <c r="C169" t="s">
        <v>5467</v>
      </c>
      <c r="D169" t="s">
        <v>309</v>
      </c>
      <c r="E169">
        <v>48</v>
      </c>
    </row>
    <row r="170" spans="1:5" x14ac:dyDescent="0.2">
      <c r="A170" t="s">
        <v>119</v>
      </c>
      <c r="B170" t="s">
        <v>124</v>
      </c>
      <c r="C170" t="s">
        <v>5468</v>
      </c>
      <c r="D170" t="s">
        <v>155</v>
      </c>
      <c r="E170">
        <v>504</v>
      </c>
    </row>
    <row r="171" spans="1:5" x14ac:dyDescent="0.2">
      <c r="A171" t="s">
        <v>119</v>
      </c>
      <c r="B171" t="s">
        <v>124</v>
      </c>
      <c r="C171" t="s">
        <v>5468</v>
      </c>
      <c r="D171" t="s">
        <v>135</v>
      </c>
      <c r="E171">
        <v>1396</v>
      </c>
    </row>
    <row r="172" spans="1:5" x14ac:dyDescent="0.2">
      <c r="A172" t="s">
        <v>119</v>
      </c>
      <c r="B172" t="s">
        <v>124</v>
      </c>
      <c r="C172" t="s">
        <v>5469</v>
      </c>
      <c r="D172">
        <v>1</v>
      </c>
      <c r="E172">
        <v>424</v>
      </c>
    </row>
    <row r="173" spans="1:5" x14ac:dyDescent="0.2">
      <c r="A173" t="s">
        <v>119</v>
      </c>
      <c r="B173" t="s">
        <v>124</v>
      </c>
      <c r="C173" t="s">
        <v>5469</v>
      </c>
      <c r="D173">
        <v>2</v>
      </c>
      <c r="E173">
        <v>192</v>
      </c>
    </row>
    <row r="174" spans="1:5" x14ac:dyDescent="0.2">
      <c r="A174" t="s">
        <v>119</v>
      </c>
      <c r="B174" t="s">
        <v>124</v>
      </c>
      <c r="C174" t="s">
        <v>5469</v>
      </c>
      <c r="D174">
        <v>3</v>
      </c>
      <c r="E174">
        <v>892</v>
      </c>
    </row>
    <row r="175" spans="1:5" x14ac:dyDescent="0.2">
      <c r="A175" t="s">
        <v>119</v>
      </c>
      <c r="B175" t="s">
        <v>124</v>
      </c>
      <c r="C175" t="s">
        <v>5499</v>
      </c>
      <c r="D175" t="s">
        <v>5438</v>
      </c>
      <c r="E175">
        <v>167</v>
      </c>
    </row>
    <row r="176" spans="1:5" x14ac:dyDescent="0.2">
      <c r="A176" t="s">
        <v>119</v>
      </c>
      <c r="B176" t="s">
        <v>124</v>
      </c>
      <c r="C176" t="s">
        <v>5499</v>
      </c>
      <c r="D176" t="s">
        <v>5437</v>
      </c>
      <c r="E176">
        <v>374</v>
      </c>
    </row>
    <row r="177" spans="1:5" x14ac:dyDescent="0.2">
      <c r="A177" t="s">
        <v>119</v>
      </c>
      <c r="B177" t="s">
        <v>124</v>
      </c>
      <c r="C177" t="s">
        <v>5499</v>
      </c>
      <c r="D177" t="s">
        <v>5440</v>
      </c>
      <c r="E177">
        <v>65</v>
      </c>
    </row>
    <row r="178" spans="1:5" x14ac:dyDescent="0.2">
      <c r="A178" t="s">
        <v>119</v>
      </c>
      <c r="B178" t="s">
        <v>124</v>
      </c>
      <c r="C178" t="s">
        <v>5499</v>
      </c>
      <c r="D178" t="s">
        <v>5439</v>
      </c>
      <c r="E178">
        <v>144</v>
      </c>
    </row>
    <row r="179" spans="1:5" x14ac:dyDescent="0.2">
      <c r="A179" t="s">
        <v>119</v>
      </c>
      <c r="B179" t="s">
        <v>124</v>
      </c>
      <c r="C179" t="s">
        <v>5499</v>
      </c>
      <c r="D179" t="s">
        <v>5442</v>
      </c>
      <c r="E179">
        <v>288</v>
      </c>
    </row>
    <row r="180" spans="1:5" x14ac:dyDescent="0.2">
      <c r="A180" t="s">
        <v>119</v>
      </c>
      <c r="B180" t="s">
        <v>124</v>
      </c>
      <c r="C180" t="s">
        <v>5499</v>
      </c>
      <c r="D180" t="s">
        <v>5441</v>
      </c>
      <c r="E180">
        <v>762</v>
      </c>
    </row>
    <row r="181" spans="1:5" x14ac:dyDescent="0.2">
      <c r="A181" t="s">
        <v>119</v>
      </c>
      <c r="B181" t="s">
        <v>124</v>
      </c>
      <c r="C181" t="s">
        <v>5499</v>
      </c>
      <c r="D181" t="s">
        <v>125</v>
      </c>
      <c r="E181">
        <v>584</v>
      </c>
    </row>
    <row r="182" spans="1:5" x14ac:dyDescent="0.2">
      <c r="A182" t="s">
        <v>119</v>
      </c>
      <c r="B182" t="s">
        <v>124</v>
      </c>
      <c r="C182" t="s">
        <v>5476</v>
      </c>
      <c r="D182" t="s">
        <v>149</v>
      </c>
      <c r="E182">
        <v>1</v>
      </c>
    </row>
    <row r="183" spans="1:5" x14ac:dyDescent="0.2">
      <c r="A183" t="s">
        <v>119</v>
      </c>
      <c r="B183" t="s">
        <v>124</v>
      </c>
      <c r="C183" t="s">
        <v>5500</v>
      </c>
      <c r="D183" t="s">
        <v>5515</v>
      </c>
      <c r="E183">
        <v>3</v>
      </c>
    </row>
    <row r="184" spans="1:5" x14ac:dyDescent="0.2">
      <c r="A184" t="s">
        <v>119</v>
      </c>
      <c r="B184" t="s">
        <v>124</v>
      </c>
      <c r="C184" t="s">
        <v>5500</v>
      </c>
      <c r="D184" t="s">
        <v>5501</v>
      </c>
      <c r="E184">
        <v>1</v>
      </c>
    </row>
    <row r="185" spans="1:5" x14ac:dyDescent="0.2">
      <c r="A185" t="s">
        <v>119</v>
      </c>
      <c r="B185" t="s">
        <v>124</v>
      </c>
      <c r="C185" t="s">
        <v>5500</v>
      </c>
      <c r="D185" t="s">
        <v>5502</v>
      </c>
      <c r="E185">
        <v>27</v>
      </c>
    </row>
    <row r="186" spans="1:5" x14ac:dyDescent="0.2">
      <c r="A186" t="s">
        <v>119</v>
      </c>
      <c r="B186" t="s">
        <v>124</v>
      </c>
      <c r="C186" t="s">
        <v>5500</v>
      </c>
      <c r="D186" t="s">
        <v>5503</v>
      </c>
      <c r="E186">
        <v>200</v>
      </c>
    </row>
    <row r="187" spans="1:5" x14ac:dyDescent="0.2">
      <c r="A187" t="s">
        <v>119</v>
      </c>
      <c r="B187" t="s">
        <v>124</v>
      </c>
      <c r="C187" t="s">
        <v>5500</v>
      </c>
      <c r="D187" t="s">
        <v>5504</v>
      </c>
      <c r="E187">
        <v>62</v>
      </c>
    </row>
    <row r="188" spans="1:5" x14ac:dyDescent="0.2">
      <c r="A188" t="s">
        <v>119</v>
      </c>
      <c r="B188" t="s">
        <v>124</v>
      </c>
      <c r="C188" t="s">
        <v>5500</v>
      </c>
      <c r="D188" t="s">
        <v>5505</v>
      </c>
      <c r="E188">
        <v>236</v>
      </c>
    </row>
    <row r="189" spans="1:5" x14ac:dyDescent="0.2">
      <c r="A189" t="s">
        <v>119</v>
      </c>
      <c r="B189" t="s">
        <v>124</v>
      </c>
      <c r="C189" t="s">
        <v>5500</v>
      </c>
      <c r="D189" t="s">
        <v>5506</v>
      </c>
      <c r="E189">
        <v>11</v>
      </c>
    </row>
    <row r="190" spans="1:5" x14ac:dyDescent="0.2">
      <c r="A190" t="s">
        <v>119</v>
      </c>
      <c r="B190" t="s">
        <v>124</v>
      </c>
      <c r="C190" t="s">
        <v>5500</v>
      </c>
      <c r="D190" t="s">
        <v>5507</v>
      </c>
      <c r="E190">
        <v>1664</v>
      </c>
    </row>
    <row r="191" spans="1:5" x14ac:dyDescent="0.2">
      <c r="A191" t="s">
        <v>119</v>
      </c>
      <c r="B191" t="s">
        <v>124</v>
      </c>
      <c r="C191" t="s">
        <v>5500</v>
      </c>
      <c r="D191" t="s">
        <v>5516</v>
      </c>
      <c r="E191">
        <v>135</v>
      </c>
    </row>
    <row r="192" spans="1:5" x14ac:dyDescent="0.2">
      <c r="A192" t="s">
        <v>119</v>
      </c>
      <c r="B192" t="s">
        <v>124</v>
      </c>
      <c r="C192" t="s">
        <v>5500</v>
      </c>
      <c r="D192" t="s">
        <v>5517</v>
      </c>
      <c r="E192">
        <v>1</v>
      </c>
    </row>
    <row r="193" spans="1:5" x14ac:dyDescent="0.2">
      <c r="A193" t="s">
        <v>119</v>
      </c>
      <c r="B193" t="s">
        <v>124</v>
      </c>
      <c r="C193" t="s">
        <v>5500</v>
      </c>
      <c r="D193" t="s">
        <v>5508</v>
      </c>
      <c r="E193">
        <v>3</v>
      </c>
    </row>
    <row r="194" spans="1:5" x14ac:dyDescent="0.2">
      <c r="A194" t="s">
        <v>119</v>
      </c>
      <c r="B194" t="s">
        <v>124</v>
      </c>
      <c r="C194" t="s">
        <v>5500</v>
      </c>
      <c r="D194" t="s">
        <v>5509</v>
      </c>
      <c r="E194">
        <v>9</v>
      </c>
    </row>
    <row r="195" spans="1:5" x14ac:dyDescent="0.2">
      <c r="A195" t="s">
        <v>119</v>
      </c>
      <c r="B195" t="s">
        <v>124</v>
      </c>
      <c r="C195" t="s">
        <v>5500</v>
      </c>
      <c r="D195" t="s">
        <v>5510</v>
      </c>
      <c r="E195">
        <v>1</v>
      </c>
    </row>
    <row r="196" spans="1:5" x14ac:dyDescent="0.2">
      <c r="A196" t="s">
        <v>119</v>
      </c>
      <c r="B196" t="s">
        <v>124</v>
      </c>
      <c r="C196" t="s">
        <v>5500</v>
      </c>
      <c r="D196" t="s">
        <v>5511</v>
      </c>
      <c r="E196">
        <v>29</v>
      </c>
    </row>
    <row r="197" spans="1:5" x14ac:dyDescent="0.2">
      <c r="A197" t="s">
        <v>119</v>
      </c>
      <c r="B197" t="s">
        <v>124</v>
      </c>
      <c r="C197" t="s">
        <v>5500</v>
      </c>
      <c r="D197" t="s">
        <v>5512</v>
      </c>
      <c r="E197">
        <v>2</v>
      </c>
    </row>
    <row r="198" spans="1:5" x14ac:dyDescent="0.2">
      <c r="A198" t="s">
        <v>119</v>
      </c>
      <c r="B198" t="s">
        <v>124</v>
      </c>
      <c r="C198" t="s">
        <v>5470</v>
      </c>
      <c r="D198" t="s">
        <v>903</v>
      </c>
      <c r="E198">
        <v>27</v>
      </c>
    </row>
    <row r="199" spans="1:5" x14ac:dyDescent="0.2">
      <c r="A199" t="s">
        <v>119</v>
      </c>
      <c r="B199" t="s">
        <v>124</v>
      </c>
      <c r="C199" t="s">
        <v>5470</v>
      </c>
      <c r="D199" t="s">
        <v>209</v>
      </c>
      <c r="E199">
        <v>201</v>
      </c>
    </row>
    <row r="200" spans="1:5" x14ac:dyDescent="0.2">
      <c r="A200" t="s">
        <v>119</v>
      </c>
      <c r="B200" t="s">
        <v>124</v>
      </c>
      <c r="C200" t="s">
        <v>5470</v>
      </c>
      <c r="D200" t="s">
        <v>143</v>
      </c>
      <c r="E200">
        <v>345</v>
      </c>
    </row>
    <row r="201" spans="1:5" x14ac:dyDescent="0.2">
      <c r="A201" t="s">
        <v>119</v>
      </c>
      <c r="B201" t="s">
        <v>124</v>
      </c>
      <c r="C201" t="s">
        <v>5470</v>
      </c>
      <c r="D201" t="s">
        <v>136</v>
      </c>
      <c r="E201">
        <v>1269</v>
      </c>
    </row>
    <row r="202" spans="1:5" x14ac:dyDescent="0.2">
      <c r="A202" t="s">
        <v>119</v>
      </c>
      <c r="B202" t="s">
        <v>124</v>
      </c>
      <c r="C202" t="s">
        <v>5471</v>
      </c>
      <c r="D202" t="s">
        <v>137</v>
      </c>
      <c r="E202">
        <v>1508</v>
      </c>
    </row>
    <row r="203" spans="1:5" x14ac:dyDescent="0.2">
      <c r="A203" t="s">
        <v>119</v>
      </c>
      <c r="B203" t="s">
        <v>124</v>
      </c>
      <c r="C203" t="s">
        <v>5471</v>
      </c>
      <c r="D203" t="s">
        <v>394</v>
      </c>
      <c r="E203">
        <v>44</v>
      </c>
    </row>
    <row r="204" spans="1:5" x14ac:dyDescent="0.2">
      <c r="A204" t="s">
        <v>119</v>
      </c>
      <c r="B204" t="s">
        <v>124</v>
      </c>
      <c r="C204" t="s">
        <v>5471</v>
      </c>
      <c r="D204" t="s">
        <v>128</v>
      </c>
      <c r="E204">
        <v>362</v>
      </c>
    </row>
    <row r="205" spans="1:5" x14ac:dyDescent="0.2">
      <c r="A205" t="s">
        <v>119</v>
      </c>
      <c r="B205" t="s">
        <v>124</v>
      </c>
      <c r="C205" t="s">
        <v>5471</v>
      </c>
      <c r="D205" t="s">
        <v>144</v>
      </c>
      <c r="E205">
        <v>335</v>
      </c>
    </row>
    <row r="206" spans="1:5" x14ac:dyDescent="0.2">
      <c r="A206" t="s">
        <v>5477</v>
      </c>
      <c r="B206" t="s">
        <v>131</v>
      </c>
      <c r="C206" t="s">
        <v>5474</v>
      </c>
      <c r="D206" t="s">
        <v>142</v>
      </c>
      <c r="E206">
        <v>12</v>
      </c>
    </row>
    <row r="207" spans="1:5" x14ac:dyDescent="0.2">
      <c r="A207" t="s">
        <v>5477</v>
      </c>
      <c r="B207" t="s">
        <v>131</v>
      </c>
      <c r="C207" t="s">
        <v>5474</v>
      </c>
      <c r="D207" t="s">
        <v>154</v>
      </c>
      <c r="E207">
        <v>36</v>
      </c>
    </row>
    <row r="208" spans="1:5" x14ac:dyDescent="0.2">
      <c r="A208" t="s">
        <v>5477</v>
      </c>
      <c r="B208" t="s">
        <v>131</v>
      </c>
      <c r="C208" t="s">
        <v>5467</v>
      </c>
      <c r="D208" t="s">
        <v>134</v>
      </c>
      <c r="E208">
        <v>44</v>
      </c>
    </row>
    <row r="209" spans="1:5" x14ac:dyDescent="0.2">
      <c r="A209" t="s">
        <v>5477</v>
      </c>
      <c r="B209" t="s">
        <v>131</v>
      </c>
      <c r="C209" t="s">
        <v>5467</v>
      </c>
      <c r="D209" t="s">
        <v>149</v>
      </c>
      <c r="E209">
        <v>487</v>
      </c>
    </row>
    <row r="210" spans="1:5" x14ac:dyDescent="0.2">
      <c r="A210" t="s">
        <v>5477</v>
      </c>
      <c r="B210" t="s">
        <v>131</v>
      </c>
      <c r="C210" t="s">
        <v>5467</v>
      </c>
      <c r="D210" t="s">
        <v>309</v>
      </c>
      <c r="E210">
        <v>54</v>
      </c>
    </row>
    <row r="211" spans="1:5" x14ac:dyDescent="0.2">
      <c r="A211" t="s">
        <v>5477</v>
      </c>
      <c r="B211" t="s">
        <v>131</v>
      </c>
      <c r="C211" t="s">
        <v>5468</v>
      </c>
      <c r="D211" t="s">
        <v>155</v>
      </c>
      <c r="E211">
        <v>246</v>
      </c>
    </row>
    <row r="212" spans="1:5" x14ac:dyDescent="0.2">
      <c r="A212" t="s">
        <v>5477</v>
      </c>
      <c r="B212" t="s">
        <v>131</v>
      </c>
      <c r="C212" t="s">
        <v>5468</v>
      </c>
      <c r="D212" t="s">
        <v>135</v>
      </c>
      <c r="E212">
        <v>387</v>
      </c>
    </row>
    <row r="213" spans="1:5" x14ac:dyDescent="0.2">
      <c r="A213" t="s">
        <v>5477</v>
      </c>
      <c r="B213" t="s">
        <v>131</v>
      </c>
      <c r="C213" t="s">
        <v>5469</v>
      </c>
      <c r="D213">
        <v>1</v>
      </c>
      <c r="E213">
        <v>127</v>
      </c>
    </row>
    <row r="214" spans="1:5" x14ac:dyDescent="0.2">
      <c r="A214" t="s">
        <v>5477</v>
      </c>
      <c r="B214" t="s">
        <v>131</v>
      </c>
      <c r="C214" t="s">
        <v>5469</v>
      </c>
      <c r="D214">
        <v>2</v>
      </c>
      <c r="E214">
        <v>2</v>
      </c>
    </row>
    <row r="215" spans="1:5" x14ac:dyDescent="0.2">
      <c r="A215" t="s">
        <v>5477</v>
      </c>
      <c r="B215" t="s">
        <v>131</v>
      </c>
      <c r="C215" t="s">
        <v>5469</v>
      </c>
      <c r="D215">
        <v>3</v>
      </c>
      <c r="E215">
        <v>456</v>
      </c>
    </row>
    <row r="216" spans="1:5" x14ac:dyDescent="0.2">
      <c r="A216" t="s">
        <v>5477</v>
      </c>
      <c r="B216" t="s">
        <v>131</v>
      </c>
      <c r="C216" t="s">
        <v>5470</v>
      </c>
      <c r="D216" t="s">
        <v>903</v>
      </c>
      <c r="E216">
        <v>21</v>
      </c>
    </row>
    <row r="217" spans="1:5" x14ac:dyDescent="0.2">
      <c r="A217" t="s">
        <v>5477</v>
      </c>
      <c r="B217" t="s">
        <v>131</v>
      </c>
      <c r="C217" t="s">
        <v>5470</v>
      </c>
      <c r="D217" t="s">
        <v>209</v>
      </c>
      <c r="E217">
        <v>33</v>
      </c>
    </row>
    <row r="218" spans="1:5" x14ac:dyDescent="0.2">
      <c r="A218" t="s">
        <v>5477</v>
      </c>
      <c r="B218" t="s">
        <v>131</v>
      </c>
      <c r="C218" t="s">
        <v>5470</v>
      </c>
      <c r="D218" t="s">
        <v>143</v>
      </c>
      <c r="E218">
        <v>48</v>
      </c>
    </row>
    <row r="219" spans="1:5" x14ac:dyDescent="0.2">
      <c r="A219" t="s">
        <v>5477</v>
      </c>
      <c r="B219" t="s">
        <v>131</v>
      </c>
      <c r="C219" t="s">
        <v>5470</v>
      </c>
      <c r="D219" t="s">
        <v>136</v>
      </c>
      <c r="E219">
        <v>531</v>
      </c>
    </row>
    <row r="220" spans="1:5" x14ac:dyDescent="0.2">
      <c r="A220" t="s">
        <v>5477</v>
      </c>
      <c r="B220" t="s">
        <v>131</v>
      </c>
      <c r="C220" t="s">
        <v>5471</v>
      </c>
      <c r="D220" t="s">
        <v>137</v>
      </c>
      <c r="E220">
        <v>585</v>
      </c>
    </row>
    <row r="221" spans="1:5" x14ac:dyDescent="0.2">
      <c r="A221" t="s">
        <v>5477</v>
      </c>
      <c r="B221" t="s">
        <v>131</v>
      </c>
      <c r="C221" t="s">
        <v>5471</v>
      </c>
      <c r="D221" t="s">
        <v>394</v>
      </c>
      <c r="E221">
        <v>4</v>
      </c>
    </row>
    <row r="222" spans="1:5" x14ac:dyDescent="0.2">
      <c r="A222" t="s">
        <v>5477</v>
      </c>
      <c r="B222" t="s">
        <v>131</v>
      </c>
      <c r="C222" t="s">
        <v>5471</v>
      </c>
      <c r="D222" t="s">
        <v>128</v>
      </c>
      <c r="E222">
        <v>59</v>
      </c>
    </row>
    <row r="223" spans="1:5" x14ac:dyDescent="0.2">
      <c r="A223" t="s">
        <v>5477</v>
      </c>
      <c r="B223" t="s">
        <v>131</v>
      </c>
      <c r="C223" t="s">
        <v>5471</v>
      </c>
      <c r="D223" t="s">
        <v>144</v>
      </c>
      <c r="E223">
        <v>48</v>
      </c>
    </row>
    <row r="224" spans="1:5" x14ac:dyDescent="0.2">
      <c r="A224" t="s">
        <v>5477</v>
      </c>
      <c r="B224" t="s">
        <v>124</v>
      </c>
      <c r="C224" t="s">
        <v>5474</v>
      </c>
      <c r="D224" t="s">
        <v>142</v>
      </c>
      <c r="E224">
        <v>120</v>
      </c>
    </row>
    <row r="225" spans="1:5" x14ac:dyDescent="0.2">
      <c r="A225" t="s">
        <v>5477</v>
      </c>
      <c r="B225" t="s">
        <v>124</v>
      </c>
      <c r="C225" t="s">
        <v>5474</v>
      </c>
      <c r="D225" t="s">
        <v>154</v>
      </c>
      <c r="E225">
        <v>423</v>
      </c>
    </row>
    <row r="226" spans="1:5" x14ac:dyDescent="0.2">
      <c r="A226" t="s">
        <v>5477</v>
      </c>
      <c r="B226" t="s">
        <v>124</v>
      </c>
      <c r="C226" t="s">
        <v>5497</v>
      </c>
      <c r="D226" t="s">
        <v>5458</v>
      </c>
      <c r="E226">
        <v>25</v>
      </c>
    </row>
    <row r="227" spans="1:5" x14ac:dyDescent="0.2">
      <c r="A227" t="s">
        <v>5477</v>
      </c>
      <c r="B227" t="s">
        <v>124</v>
      </c>
      <c r="C227" t="s">
        <v>5497</v>
      </c>
      <c r="D227" t="s">
        <v>5455</v>
      </c>
      <c r="E227">
        <v>96</v>
      </c>
    </row>
    <row r="228" spans="1:5" x14ac:dyDescent="0.2">
      <c r="A228" t="s">
        <v>5477</v>
      </c>
      <c r="B228" t="s">
        <v>124</v>
      </c>
      <c r="C228" t="s">
        <v>5497</v>
      </c>
      <c r="D228" t="s">
        <v>5518</v>
      </c>
      <c r="E228">
        <v>1</v>
      </c>
    </row>
    <row r="229" spans="1:5" x14ac:dyDescent="0.2">
      <c r="A229" t="s">
        <v>5477</v>
      </c>
      <c r="B229" t="s">
        <v>124</v>
      </c>
      <c r="C229" t="s">
        <v>5497</v>
      </c>
      <c r="D229" t="s">
        <v>5459</v>
      </c>
      <c r="E229">
        <v>54</v>
      </c>
    </row>
    <row r="230" spans="1:5" x14ac:dyDescent="0.2">
      <c r="A230" t="s">
        <v>5477</v>
      </c>
      <c r="B230" t="s">
        <v>124</v>
      </c>
      <c r="C230" t="s">
        <v>5497</v>
      </c>
      <c r="D230" t="s">
        <v>5457</v>
      </c>
      <c r="E230">
        <v>8</v>
      </c>
    </row>
    <row r="231" spans="1:5" x14ac:dyDescent="0.2">
      <c r="A231" t="s">
        <v>5477</v>
      </c>
      <c r="B231" t="s">
        <v>124</v>
      </c>
      <c r="C231" t="s">
        <v>5497</v>
      </c>
      <c r="D231" t="s">
        <v>5456</v>
      </c>
      <c r="E231">
        <v>975</v>
      </c>
    </row>
    <row r="232" spans="1:5" x14ac:dyDescent="0.2">
      <c r="A232" t="s">
        <v>5477</v>
      </c>
      <c r="B232" t="s">
        <v>124</v>
      </c>
      <c r="C232" t="s">
        <v>5497</v>
      </c>
      <c r="D232" t="s">
        <v>5460</v>
      </c>
      <c r="E232">
        <v>646</v>
      </c>
    </row>
    <row r="233" spans="1:5" x14ac:dyDescent="0.2">
      <c r="A233" t="s">
        <v>5477</v>
      </c>
      <c r="B233" t="s">
        <v>124</v>
      </c>
      <c r="C233" t="s">
        <v>5497</v>
      </c>
      <c r="D233" t="s">
        <v>5461</v>
      </c>
      <c r="E233">
        <v>211</v>
      </c>
    </row>
    <row r="234" spans="1:5" x14ac:dyDescent="0.2">
      <c r="A234" t="s">
        <v>5477</v>
      </c>
      <c r="B234" t="s">
        <v>124</v>
      </c>
      <c r="C234" t="s">
        <v>5497</v>
      </c>
      <c r="D234" t="s">
        <v>5498</v>
      </c>
      <c r="E234">
        <v>24</v>
      </c>
    </row>
    <row r="235" spans="1:5" x14ac:dyDescent="0.2">
      <c r="A235" t="s">
        <v>5477</v>
      </c>
      <c r="B235" t="s">
        <v>124</v>
      </c>
      <c r="C235" t="s">
        <v>5467</v>
      </c>
      <c r="D235" t="s">
        <v>134</v>
      </c>
      <c r="E235">
        <v>21</v>
      </c>
    </row>
    <row r="236" spans="1:5" x14ac:dyDescent="0.2">
      <c r="A236" t="s">
        <v>5477</v>
      </c>
      <c r="B236" t="s">
        <v>124</v>
      </c>
      <c r="C236" t="s">
        <v>5467</v>
      </c>
      <c r="D236" t="s">
        <v>209</v>
      </c>
      <c r="E236">
        <v>8</v>
      </c>
    </row>
    <row r="237" spans="1:5" x14ac:dyDescent="0.2">
      <c r="A237" t="s">
        <v>5477</v>
      </c>
      <c r="B237" t="s">
        <v>124</v>
      </c>
      <c r="C237" t="s">
        <v>5467</v>
      </c>
      <c r="D237" t="s">
        <v>149</v>
      </c>
      <c r="E237">
        <v>702</v>
      </c>
    </row>
    <row r="238" spans="1:5" x14ac:dyDescent="0.2">
      <c r="A238" t="s">
        <v>5477</v>
      </c>
      <c r="B238" t="s">
        <v>124</v>
      </c>
      <c r="C238" t="s">
        <v>5467</v>
      </c>
      <c r="D238" t="s">
        <v>309</v>
      </c>
      <c r="E238">
        <v>76</v>
      </c>
    </row>
    <row r="239" spans="1:5" x14ac:dyDescent="0.2">
      <c r="A239" t="s">
        <v>5477</v>
      </c>
      <c r="B239" t="s">
        <v>124</v>
      </c>
      <c r="C239" t="s">
        <v>5468</v>
      </c>
      <c r="D239" t="s">
        <v>155</v>
      </c>
      <c r="E239">
        <v>390</v>
      </c>
    </row>
    <row r="240" spans="1:5" x14ac:dyDescent="0.2">
      <c r="A240" t="s">
        <v>5477</v>
      </c>
      <c r="B240" t="s">
        <v>124</v>
      </c>
      <c r="C240" t="s">
        <v>5468</v>
      </c>
      <c r="D240" t="s">
        <v>135</v>
      </c>
      <c r="E240">
        <v>968</v>
      </c>
    </row>
    <row r="241" spans="1:5" x14ac:dyDescent="0.2">
      <c r="A241" t="s">
        <v>5477</v>
      </c>
      <c r="B241" t="s">
        <v>124</v>
      </c>
      <c r="C241" t="s">
        <v>5469</v>
      </c>
      <c r="D241">
        <v>1</v>
      </c>
      <c r="E241">
        <v>222</v>
      </c>
    </row>
    <row r="242" spans="1:5" x14ac:dyDescent="0.2">
      <c r="A242" t="s">
        <v>5477</v>
      </c>
      <c r="B242" t="s">
        <v>124</v>
      </c>
      <c r="C242" t="s">
        <v>5469</v>
      </c>
      <c r="D242">
        <v>2</v>
      </c>
      <c r="E242">
        <v>15</v>
      </c>
    </row>
    <row r="243" spans="1:5" x14ac:dyDescent="0.2">
      <c r="A243" t="s">
        <v>5477</v>
      </c>
      <c r="B243" t="s">
        <v>124</v>
      </c>
      <c r="C243" t="s">
        <v>5469</v>
      </c>
      <c r="D243">
        <v>3</v>
      </c>
      <c r="E243">
        <v>570</v>
      </c>
    </row>
    <row r="244" spans="1:5" x14ac:dyDescent="0.2">
      <c r="A244" t="s">
        <v>5477</v>
      </c>
      <c r="B244" t="s">
        <v>124</v>
      </c>
      <c r="C244" t="s">
        <v>5499</v>
      </c>
      <c r="D244" t="s">
        <v>5438</v>
      </c>
      <c r="E244">
        <v>116</v>
      </c>
    </row>
    <row r="245" spans="1:5" x14ac:dyDescent="0.2">
      <c r="A245" t="s">
        <v>5477</v>
      </c>
      <c r="B245" t="s">
        <v>124</v>
      </c>
      <c r="C245" t="s">
        <v>5499</v>
      </c>
      <c r="D245" t="s">
        <v>5437</v>
      </c>
      <c r="E245">
        <v>172</v>
      </c>
    </row>
    <row r="246" spans="1:5" x14ac:dyDescent="0.2">
      <c r="A246" t="s">
        <v>5477</v>
      </c>
      <c r="B246" t="s">
        <v>124</v>
      </c>
      <c r="C246" t="s">
        <v>5499</v>
      </c>
      <c r="D246" t="s">
        <v>5440</v>
      </c>
      <c r="E246">
        <v>7</v>
      </c>
    </row>
    <row r="247" spans="1:5" x14ac:dyDescent="0.2">
      <c r="A247" t="s">
        <v>5477</v>
      </c>
      <c r="B247" t="s">
        <v>124</v>
      </c>
      <c r="C247" t="s">
        <v>5499</v>
      </c>
      <c r="D247" t="s">
        <v>5439</v>
      </c>
      <c r="E247">
        <v>9</v>
      </c>
    </row>
    <row r="248" spans="1:5" x14ac:dyDescent="0.2">
      <c r="A248" t="s">
        <v>5477</v>
      </c>
      <c r="B248" t="s">
        <v>124</v>
      </c>
      <c r="C248" t="s">
        <v>5499</v>
      </c>
      <c r="D248" t="s">
        <v>5442</v>
      </c>
      <c r="E248">
        <v>245</v>
      </c>
    </row>
    <row r="249" spans="1:5" x14ac:dyDescent="0.2">
      <c r="A249" t="s">
        <v>5477</v>
      </c>
      <c r="B249" t="s">
        <v>124</v>
      </c>
      <c r="C249" t="s">
        <v>5499</v>
      </c>
      <c r="D249" t="s">
        <v>5441</v>
      </c>
      <c r="E249">
        <v>579</v>
      </c>
    </row>
    <row r="250" spans="1:5" x14ac:dyDescent="0.2">
      <c r="A250" t="s">
        <v>5477</v>
      </c>
      <c r="B250" t="s">
        <v>124</v>
      </c>
      <c r="C250" t="s">
        <v>5499</v>
      </c>
      <c r="D250" t="s">
        <v>125</v>
      </c>
      <c r="E250">
        <v>912</v>
      </c>
    </row>
    <row r="251" spans="1:5" x14ac:dyDescent="0.2">
      <c r="A251" t="s">
        <v>5477</v>
      </c>
      <c r="B251" t="s">
        <v>124</v>
      </c>
      <c r="C251" t="s">
        <v>5500</v>
      </c>
      <c r="D251" t="s">
        <v>5501</v>
      </c>
      <c r="E251">
        <v>6</v>
      </c>
    </row>
    <row r="252" spans="1:5" x14ac:dyDescent="0.2">
      <c r="A252" t="s">
        <v>5477</v>
      </c>
      <c r="B252" t="s">
        <v>124</v>
      </c>
      <c r="C252" t="s">
        <v>5500</v>
      </c>
      <c r="D252" t="s">
        <v>5502</v>
      </c>
      <c r="E252">
        <v>35</v>
      </c>
    </row>
    <row r="253" spans="1:5" x14ac:dyDescent="0.2">
      <c r="A253" t="s">
        <v>5477</v>
      </c>
      <c r="B253" t="s">
        <v>124</v>
      </c>
      <c r="C253" t="s">
        <v>5500</v>
      </c>
      <c r="D253" t="s">
        <v>5503</v>
      </c>
      <c r="E253">
        <v>45</v>
      </c>
    </row>
    <row r="254" spans="1:5" x14ac:dyDescent="0.2">
      <c r="A254" t="s">
        <v>5477</v>
      </c>
      <c r="B254" t="s">
        <v>124</v>
      </c>
      <c r="C254" t="s">
        <v>5500</v>
      </c>
      <c r="D254" t="s">
        <v>5504</v>
      </c>
      <c r="E254">
        <v>260</v>
      </c>
    </row>
    <row r="255" spans="1:5" x14ac:dyDescent="0.2">
      <c r="A255" t="s">
        <v>5477</v>
      </c>
      <c r="B255" t="s">
        <v>124</v>
      </c>
      <c r="C255" t="s">
        <v>5500</v>
      </c>
      <c r="D255" t="s">
        <v>5505</v>
      </c>
      <c r="E255">
        <v>255</v>
      </c>
    </row>
    <row r="256" spans="1:5" x14ac:dyDescent="0.2">
      <c r="A256" t="s">
        <v>5477</v>
      </c>
      <c r="B256" t="s">
        <v>124</v>
      </c>
      <c r="C256" t="s">
        <v>5500</v>
      </c>
      <c r="D256" t="s">
        <v>5506</v>
      </c>
      <c r="E256">
        <v>3</v>
      </c>
    </row>
    <row r="257" spans="1:5" x14ac:dyDescent="0.2">
      <c r="A257" t="s">
        <v>5477</v>
      </c>
      <c r="B257" t="s">
        <v>124</v>
      </c>
      <c r="C257" t="s">
        <v>5500</v>
      </c>
      <c r="D257" t="s">
        <v>143</v>
      </c>
      <c r="E257">
        <v>1</v>
      </c>
    </row>
    <row r="258" spans="1:5" x14ac:dyDescent="0.2">
      <c r="A258" t="s">
        <v>5477</v>
      </c>
      <c r="B258" t="s">
        <v>124</v>
      </c>
      <c r="C258" t="s">
        <v>5500</v>
      </c>
      <c r="D258" t="s">
        <v>5507</v>
      </c>
      <c r="E258">
        <v>1393</v>
      </c>
    </row>
    <row r="259" spans="1:5" x14ac:dyDescent="0.2">
      <c r="A259" t="s">
        <v>5477</v>
      </c>
      <c r="B259" t="s">
        <v>124</v>
      </c>
      <c r="C259" t="s">
        <v>5500</v>
      </c>
      <c r="D259" t="s">
        <v>5519</v>
      </c>
      <c r="E259">
        <v>2</v>
      </c>
    </row>
    <row r="260" spans="1:5" x14ac:dyDescent="0.2">
      <c r="A260" t="s">
        <v>5477</v>
      </c>
      <c r="B260" t="s">
        <v>124</v>
      </c>
      <c r="C260" t="s">
        <v>5500</v>
      </c>
      <c r="D260" t="s">
        <v>5508</v>
      </c>
      <c r="E260">
        <v>1</v>
      </c>
    </row>
    <row r="261" spans="1:5" x14ac:dyDescent="0.2">
      <c r="A261" t="s">
        <v>5477</v>
      </c>
      <c r="B261" t="s">
        <v>124</v>
      </c>
      <c r="C261" t="s">
        <v>5500</v>
      </c>
      <c r="D261" t="s">
        <v>5509</v>
      </c>
      <c r="E261">
        <v>21</v>
      </c>
    </row>
    <row r="262" spans="1:5" x14ac:dyDescent="0.2">
      <c r="A262" t="s">
        <v>5477</v>
      </c>
      <c r="B262" t="s">
        <v>124</v>
      </c>
      <c r="C262" t="s">
        <v>5500</v>
      </c>
      <c r="D262" t="s">
        <v>5510</v>
      </c>
      <c r="E262">
        <v>6</v>
      </c>
    </row>
    <row r="263" spans="1:5" x14ac:dyDescent="0.2">
      <c r="A263" t="s">
        <v>5477</v>
      </c>
      <c r="B263" t="s">
        <v>124</v>
      </c>
      <c r="C263" t="s">
        <v>5500</v>
      </c>
      <c r="D263" t="s">
        <v>5511</v>
      </c>
      <c r="E263">
        <v>12</v>
      </c>
    </row>
    <row r="264" spans="1:5" x14ac:dyDescent="0.2">
      <c r="A264" t="s">
        <v>5477</v>
      </c>
      <c r="B264" t="s">
        <v>124</v>
      </c>
      <c r="C264" t="s">
        <v>5470</v>
      </c>
      <c r="D264" t="s">
        <v>903</v>
      </c>
      <c r="E264">
        <v>35</v>
      </c>
    </row>
    <row r="265" spans="1:5" x14ac:dyDescent="0.2">
      <c r="A265" t="s">
        <v>5477</v>
      </c>
      <c r="B265" t="s">
        <v>124</v>
      </c>
      <c r="C265" t="s">
        <v>5470</v>
      </c>
      <c r="D265" t="s">
        <v>209</v>
      </c>
      <c r="E265">
        <v>45</v>
      </c>
    </row>
    <row r="266" spans="1:5" x14ac:dyDescent="0.2">
      <c r="A266" t="s">
        <v>5477</v>
      </c>
      <c r="B266" t="s">
        <v>124</v>
      </c>
      <c r="C266" t="s">
        <v>5470</v>
      </c>
      <c r="D266" t="s">
        <v>143</v>
      </c>
      <c r="E266">
        <v>543</v>
      </c>
    </row>
    <row r="267" spans="1:5" x14ac:dyDescent="0.2">
      <c r="A267" t="s">
        <v>5477</v>
      </c>
      <c r="B267" t="s">
        <v>124</v>
      </c>
      <c r="C267" t="s">
        <v>5470</v>
      </c>
      <c r="D267" t="s">
        <v>136</v>
      </c>
      <c r="E267">
        <v>735</v>
      </c>
    </row>
    <row r="268" spans="1:5" x14ac:dyDescent="0.2">
      <c r="A268" t="s">
        <v>5477</v>
      </c>
      <c r="B268" t="s">
        <v>124</v>
      </c>
      <c r="C268" t="s">
        <v>5471</v>
      </c>
      <c r="D268" t="s">
        <v>137</v>
      </c>
      <c r="E268">
        <v>808</v>
      </c>
    </row>
    <row r="269" spans="1:5" x14ac:dyDescent="0.2">
      <c r="A269" t="s">
        <v>5477</v>
      </c>
      <c r="B269" t="s">
        <v>124</v>
      </c>
      <c r="C269" t="s">
        <v>5471</v>
      </c>
      <c r="D269" t="s">
        <v>394</v>
      </c>
      <c r="E269">
        <v>75</v>
      </c>
    </row>
    <row r="270" spans="1:5" x14ac:dyDescent="0.2">
      <c r="A270" t="s">
        <v>5477</v>
      </c>
      <c r="B270" t="s">
        <v>124</v>
      </c>
      <c r="C270" t="s">
        <v>5471</v>
      </c>
      <c r="D270" t="s">
        <v>128</v>
      </c>
      <c r="E270">
        <v>607</v>
      </c>
    </row>
    <row r="271" spans="1:5" x14ac:dyDescent="0.2">
      <c r="A271" t="s">
        <v>5477</v>
      </c>
      <c r="B271" t="s">
        <v>124</v>
      </c>
      <c r="C271" t="s">
        <v>5471</v>
      </c>
      <c r="D271" t="s">
        <v>144</v>
      </c>
      <c r="E271">
        <v>550</v>
      </c>
    </row>
    <row r="272" spans="1:5" x14ac:dyDescent="0.2">
      <c r="A272" t="s">
        <v>5478</v>
      </c>
      <c r="B272" t="s">
        <v>131</v>
      </c>
      <c r="C272" t="s">
        <v>5474</v>
      </c>
      <c r="D272" t="s">
        <v>142</v>
      </c>
      <c r="E272">
        <v>4</v>
      </c>
    </row>
    <row r="273" spans="1:5" x14ac:dyDescent="0.2">
      <c r="A273" t="s">
        <v>5478</v>
      </c>
      <c r="B273" t="s">
        <v>131</v>
      </c>
      <c r="C273" t="s">
        <v>5474</v>
      </c>
      <c r="D273" t="s">
        <v>154</v>
      </c>
      <c r="E273">
        <v>14</v>
      </c>
    </row>
    <row r="274" spans="1:5" x14ac:dyDescent="0.2">
      <c r="A274" t="s">
        <v>5478</v>
      </c>
      <c r="B274" t="s">
        <v>131</v>
      </c>
      <c r="C274" t="s">
        <v>5467</v>
      </c>
      <c r="D274" t="s">
        <v>134</v>
      </c>
      <c r="E274">
        <v>14</v>
      </c>
    </row>
    <row r="275" spans="1:5" x14ac:dyDescent="0.2">
      <c r="A275" t="s">
        <v>5478</v>
      </c>
      <c r="B275" t="s">
        <v>131</v>
      </c>
      <c r="C275" t="s">
        <v>5467</v>
      </c>
      <c r="D275" t="s">
        <v>209</v>
      </c>
      <c r="E275">
        <v>1</v>
      </c>
    </row>
    <row r="276" spans="1:5" x14ac:dyDescent="0.2">
      <c r="A276" t="s">
        <v>5478</v>
      </c>
      <c r="B276" t="s">
        <v>131</v>
      </c>
      <c r="C276" t="s">
        <v>5467</v>
      </c>
      <c r="D276" t="s">
        <v>149</v>
      </c>
      <c r="E276">
        <v>254</v>
      </c>
    </row>
    <row r="277" spans="1:5" x14ac:dyDescent="0.2">
      <c r="A277" t="s">
        <v>5478</v>
      </c>
      <c r="B277" t="s">
        <v>131</v>
      </c>
      <c r="C277" t="s">
        <v>5467</v>
      </c>
      <c r="D277" t="s">
        <v>309</v>
      </c>
      <c r="E277">
        <v>16</v>
      </c>
    </row>
    <row r="278" spans="1:5" x14ac:dyDescent="0.2">
      <c r="A278" t="s">
        <v>5478</v>
      </c>
      <c r="B278" t="s">
        <v>131</v>
      </c>
      <c r="C278" t="s">
        <v>5468</v>
      </c>
      <c r="D278" t="s">
        <v>155</v>
      </c>
      <c r="E278">
        <v>88</v>
      </c>
    </row>
    <row r="279" spans="1:5" x14ac:dyDescent="0.2">
      <c r="A279" t="s">
        <v>5478</v>
      </c>
      <c r="B279" t="s">
        <v>131</v>
      </c>
      <c r="C279" t="s">
        <v>5468</v>
      </c>
      <c r="D279" t="s">
        <v>135</v>
      </c>
      <c r="E279">
        <v>216</v>
      </c>
    </row>
    <row r="280" spans="1:5" x14ac:dyDescent="0.2">
      <c r="A280" t="s">
        <v>5478</v>
      </c>
      <c r="B280" t="s">
        <v>131</v>
      </c>
      <c r="C280" t="s">
        <v>5469</v>
      </c>
      <c r="D280">
        <v>1</v>
      </c>
      <c r="E280">
        <v>108</v>
      </c>
    </row>
    <row r="281" spans="1:5" x14ac:dyDescent="0.2">
      <c r="A281" t="s">
        <v>5478</v>
      </c>
      <c r="B281" t="s">
        <v>131</v>
      </c>
      <c r="C281" t="s">
        <v>5469</v>
      </c>
      <c r="D281">
        <v>2</v>
      </c>
      <c r="E281">
        <v>14</v>
      </c>
    </row>
    <row r="282" spans="1:5" x14ac:dyDescent="0.2">
      <c r="A282" t="s">
        <v>5478</v>
      </c>
      <c r="B282" t="s">
        <v>131</v>
      </c>
      <c r="C282" t="s">
        <v>5469</v>
      </c>
      <c r="D282">
        <v>3</v>
      </c>
      <c r="E282">
        <v>164</v>
      </c>
    </row>
    <row r="283" spans="1:5" x14ac:dyDescent="0.2">
      <c r="A283" t="s">
        <v>5478</v>
      </c>
      <c r="B283" t="s">
        <v>131</v>
      </c>
      <c r="C283" t="s">
        <v>5470</v>
      </c>
      <c r="D283" t="s">
        <v>903</v>
      </c>
      <c r="E283">
        <v>2</v>
      </c>
    </row>
    <row r="284" spans="1:5" x14ac:dyDescent="0.2">
      <c r="A284" t="s">
        <v>5478</v>
      </c>
      <c r="B284" t="s">
        <v>131</v>
      </c>
      <c r="C284" t="s">
        <v>5470</v>
      </c>
      <c r="D284" t="s">
        <v>209</v>
      </c>
      <c r="E284">
        <v>32</v>
      </c>
    </row>
    <row r="285" spans="1:5" x14ac:dyDescent="0.2">
      <c r="A285" t="s">
        <v>5478</v>
      </c>
      <c r="B285" t="s">
        <v>131</v>
      </c>
      <c r="C285" t="s">
        <v>5470</v>
      </c>
      <c r="D285" t="s">
        <v>143</v>
      </c>
      <c r="E285">
        <v>2</v>
      </c>
    </row>
    <row r="286" spans="1:5" x14ac:dyDescent="0.2">
      <c r="A286" t="s">
        <v>5478</v>
      </c>
      <c r="B286" t="s">
        <v>131</v>
      </c>
      <c r="C286" t="s">
        <v>5470</v>
      </c>
      <c r="D286" t="s">
        <v>136</v>
      </c>
      <c r="E286">
        <v>249</v>
      </c>
    </row>
    <row r="287" spans="1:5" x14ac:dyDescent="0.2">
      <c r="A287" t="s">
        <v>5478</v>
      </c>
      <c r="B287" t="s">
        <v>131</v>
      </c>
      <c r="C287" t="s">
        <v>5471</v>
      </c>
      <c r="D287" t="s">
        <v>137</v>
      </c>
      <c r="E287">
        <v>29</v>
      </c>
    </row>
    <row r="288" spans="1:5" x14ac:dyDescent="0.2">
      <c r="A288" t="s">
        <v>5478</v>
      </c>
      <c r="B288" t="s">
        <v>131</v>
      </c>
      <c r="C288" t="s">
        <v>5471</v>
      </c>
      <c r="D288" t="s">
        <v>128</v>
      </c>
      <c r="E288">
        <v>14</v>
      </c>
    </row>
    <row r="289" spans="1:5" x14ac:dyDescent="0.2">
      <c r="A289" t="s">
        <v>5478</v>
      </c>
      <c r="B289" t="s">
        <v>131</v>
      </c>
      <c r="C289" t="s">
        <v>5471</v>
      </c>
      <c r="D289" t="s">
        <v>144</v>
      </c>
      <c r="E289">
        <v>21</v>
      </c>
    </row>
    <row r="290" spans="1:5" x14ac:dyDescent="0.2">
      <c r="A290" t="s">
        <v>5478</v>
      </c>
      <c r="B290" t="s">
        <v>131</v>
      </c>
      <c r="C290" t="s">
        <v>5481</v>
      </c>
      <c r="D290" t="s">
        <v>5482</v>
      </c>
      <c r="E290">
        <v>10</v>
      </c>
    </row>
    <row r="291" spans="1:5" x14ac:dyDescent="0.2">
      <c r="A291" t="s">
        <v>5478</v>
      </c>
      <c r="B291" t="s">
        <v>124</v>
      </c>
      <c r="C291" t="s">
        <v>5483</v>
      </c>
      <c r="D291" t="s">
        <v>209</v>
      </c>
      <c r="E291">
        <v>1</v>
      </c>
    </row>
    <row r="292" spans="1:5" x14ac:dyDescent="0.2">
      <c r="A292" t="s">
        <v>5478</v>
      </c>
      <c r="B292" t="s">
        <v>124</v>
      </c>
      <c r="C292" t="s">
        <v>5479</v>
      </c>
      <c r="D292" t="s">
        <v>5484</v>
      </c>
      <c r="E292">
        <v>5</v>
      </c>
    </row>
    <row r="293" spans="1:5" x14ac:dyDescent="0.2">
      <c r="A293" t="s">
        <v>5478</v>
      </c>
      <c r="B293" t="s">
        <v>124</v>
      </c>
      <c r="C293" t="s">
        <v>5479</v>
      </c>
      <c r="D293" t="s">
        <v>5480</v>
      </c>
      <c r="E293">
        <v>8</v>
      </c>
    </row>
    <row r="294" spans="1:5" x14ac:dyDescent="0.2">
      <c r="A294" t="s">
        <v>5478</v>
      </c>
      <c r="B294" t="s">
        <v>124</v>
      </c>
      <c r="C294" t="s">
        <v>5485</v>
      </c>
      <c r="D294" t="s">
        <v>5486</v>
      </c>
      <c r="E294">
        <v>6</v>
      </c>
    </row>
    <row r="295" spans="1:5" x14ac:dyDescent="0.2">
      <c r="A295" t="s">
        <v>5478</v>
      </c>
      <c r="B295" t="s">
        <v>124</v>
      </c>
      <c r="C295" t="s">
        <v>5487</v>
      </c>
      <c r="D295" t="s">
        <v>5486</v>
      </c>
      <c r="E295">
        <v>3</v>
      </c>
    </row>
    <row r="296" spans="1:5" x14ac:dyDescent="0.2">
      <c r="A296" t="s">
        <v>5478</v>
      </c>
      <c r="B296" t="s">
        <v>124</v>
      </c>
      <c r="C296" t="s">
        <v>5474</v>
      </c>
      <c r="D296" t="s">
        <v>142</v>
      </c>
      <c r="E296">
        <v>47</v>
      </c>
    </row>
    <row r="297" spans="1:5" x14ac:dyDescent="0.2">
      <c r="A297" t="s">
        <v>5478</v>
      </c>
      <c r="B297" t="s">
        <v>124</v>
      </c>
      <c r="C297" t="s">
        <v>5474</v>
      </c>
      <c r="D297" t="s">
        <v>154</v>
      </c>
      <c r="E297">
        <v>98</v>
      </c>
    </row>
    <row r="298" spans="1:5" x14ac:dyDescent="0.2">
      <c r="A298" t="s">
        <v>5478</v>
      </c>
      <c r="B298" t="s">
        <v>124</v>
      </c>
      <c r="C298" t="s">
        <v>5497</v>
      </c>
      <c r="D298" t="s">
        <v>5455</v>
      </c>
      <c r="E298">
        <v>2</v>
      </c>
    </row>
    <row r="299" spans="1:5" x14ac:dyDescent="0.2">
      <c r="A299" t="s">
        <v>5478</v>
      </c>
      <c r="B299" t="s">
        <v>124</v>
      </c>
      <c r="C299" t="s">
        <v>5497</v>
      </c>
      <c r="D299" t="s">
        <v>5459</v>
      </c>
      <c r="E299">
        <v>28</v>
      </c>
    </row>
    <row r="300" spans="1:5" x14ac:dyDescent="0.2">
      <c r="A300" t="s">
        <v>5478</v>
      </c>
      <c r="B300" t="s">
        <v>124</v>
      </c>
      <c r="C300" t="s">
        <v>5497</v>
      </c>
      <c r="D300" t="s">
        <v>5514</v>
      </c>
      <c r="E300">
        <v>693</v>
      </c>
    </row>
    <row r="301" spans="1:5" x14ac:dyDescent="0.2">
      <c r="A301" t="s">
        <v>5478</v>
      </c>
      <c r="B301" t="s">
        <v>124</v>
      </c>
      <c r="C301" t="s">
        <v>5497</v>
      </c>
      <c r="D301" t="s">
        <v>5456</v>
      </c>
      <c r="E301">
        <v>47</v>
      </c>
    </row>
    <row r="302" spans="1:5" x14ac:dyDescent="0.2">
      <c r="A302" t="s">
        <v>5478</v>
      </c>
      <c r="B302" t="s">
        <v>124</v>
      </c>
      <c r="C302" t="s">
        <v>5497</v>
      </c>
      <c r="D302" t="s">
        <v>5460</v>
      </c>
      <c r="E302">
        <v>321</v>
      </c>
    </row>
    <row r="303" spans="1:5" x14ac:dyDescent="0.2">
      <c r="A303" t="s">
        <v>5478</v>
      </c>
      <c r="B303" t="s">
        <v>124</v>
      </c>
      <c r="C303" t="s">
        <v>5497</v>
      </c>
      <c r="D303" t="s">
        <v>5461</v>
      </c>
      <c r="E303">
        <v>203</v>
      </c>
    </row>
    <row r="304" spans="1:5" x14ac:dyDescent="0.2">
      <c r="A304" t="s">
        <v>5478</v>
      </c>
      <c r="B304" t="s">
        <v>124</v>
      </c>
      <c r="C304" t="s">
        <v>5497</v>
      </c>
      <c r="D304" t="s">
        <v>5498</v>
      </c>
      <c r="E304">
        <v>28</v>
      </c>
    </row>
    <row r="305" spans="1:5" x14ac:dyDescent="0.2">
      <c r="A305" t="s">
        <v>5478</v>
      </c>
      <c r="B305" t="s">
        <v>124</v>
      </c>
      <c r="C305" t="s">
        <v>5467</v>
      </c>
      <c r="D305" t="s">
        <v>134</v>
      </c>
      <c r="E305">
        <v>17</v>
      </c>
    </row>
    <row r="306" spans="1:5" x14ac:dyDescent="0.2">
      <c r="A306" t="s">
        <v>5478</v>
      </c>
      <c r="B306" t="s">
        <v>124</v>
      </c>
      <c r="C306" t="s">
        <v>5467</v>
      </c>
      <c r="D306" t="s">
        <v>209</v>
      </c>
      <c r="E306">
        <v>25</v>
      </c>
    </row>
    <row r="307" spans="1:5" x14ac:dyDescent="0.2">
      <c r="A307" t="s">
        <v>5478</v>
      </c>
      <c r="B307" t="s">
        <v>124</v>
      </c>
      <c r="C307" t="s">
        <v>5467</v>
      </c>
      <c r="D307" t="s">
        <v>149</v>
      </c>
      <c r="E307">
        <v>599</v>
      </c>
    </row>
    <row r="308" spans="1:5" x14ac:dyDescent="0.2">
      <c r="A308" t="s">
        <v>5478</v>
      </c>
      <c r="B308" t="s">
        <v>124</v>
      </c>
      <c r="C308" t="s">
        <v>5467</v>
      </c>
      <c r="D308" t="s">
        <v>5488</v>
      </c>
      <c r="E308">
        <v>1</v>
      </c>
    </row>
    <row r="309" spans="1:5" x14ac:dyDescent="0.2">
      <c r="A309" t="s">
        <v>5478</v>
      </c>
      <c r="B309" t="s">
        <v>124</v>
      </c>
      <c r="C309" t="s">
        <v>5467</v>
      </c>
      <c r="D309" t="s">
        <v>309</v>
      </c>
      <c r="E309">
        <v>33</v>
      </c>
    </row>
    <row r="310" spans="1:5" x14ac:dyDescent="0.2">
      <c r="A310" t="s">
        <v>5478</v>
      </c>
      <c r="B310" t="s">
        <v>124</v>
      </c>
      <c r="C310" t="s">
        <v>5468</v>
      </c>
      <c r="D310" t="s">
        <v>5489</v>
      </c>
      <c r="E310">
        <v>1</v>
      </c>
    </row>
    <row r="311" spans="1:5" x14ac:dyDescent="0.2">
      <c r="A311" t="s">
        <v>5478</v>
      </c>
      <c r="B311" t="s">
        <v>124</v>
      </c>
      <c r="C311" t="s">
        <v>5468</v>
      </c>
      <c r="D311" t="s">
        <v>155</v>
      </c>
      <c r="E311">
        <v>272</v>
      </c>
    </row>
    <row r="312" spans="1:5" x14ac:dyDescent="0.2">
      <c r="A312" t="s">
        <v>5478</v>
      </c>
      <c r="B312" t="s">
        <v>124</v>
      </c>
      <c r="C312" t="s">
        <v>5468</v>
      </c>
      <c r="D312" t="s">
        <v>135</v>
      </c>
      <c r="E312">
        <v>551</v>
      </c>
    </row>
    <row r="313" spans="1:5" x14ac:dyDescent="0.2">
      <c r="A313" t="s">
        <v>5478</v>
      </c>
      <c r="B313" t="s">
        <v>124</v>
      </c>
      <c r="C313" t="s">
        <v>5469</v>
      </c>
      <c r="D313">
        <v>1</v>
      </c>
      <c r="E313">
        <v>168</v>
      </c>
    </row>
    <row r="314" spans="1:5" x14ac:dyDescent="0.2">
      <c r="A314" t="s">
        <v>5478</v>
      </c>
      <c r="B314" t="s">
        <v>124</v>
      </c>
      <c r="C314" t="s">
        <v>5469</v>
      </c>
      <c r="D314">
        <v>2</v>
      </c>
      <c r="E314">
        <v>91</v>
      </c>
    </row>
    <row r="315" spans="1:5" x14ac:dyDescent="0.2">
      <c r="A315" t="s">
        <v>5478</v>
      </c>
      <c r="B315" t="s">
        <v>124</v>
      </c>
      <c r="C315" t="s">
        <v>5469</v>
      </c>
      <c r="D315">
        <v>3</v>
      </c>
      <c r="E315">
        <v>421</v>
      </c>
    </row>
    <row r="316" spans="1:5" x14ac:dyDescent="0.2">
      <c r="A316" t="s">
        <v>5478</v>
      </c>
      <c r="B316" t="s">
        <v>124</v>
      </c>
      <c r="C316" t="s">
        <v>5499</v>
      </c>
      <c r="D316" t="s">
        <v>5438</v>
      </c>
      <c r="E316">
        <v>49</v>
      </c>
    </row>
    <row r="317" spans="1:5" x14ac:dyDescent="0.2">
      <c r="A317" t="s">
        <v>5478</v>
      </c>
      <c r="B317" t="s">
        <v>124</v>
      </c>
      <c r="C317" t="s">
        <v>5499</v>
      </c>
      <c r="D317" t="s">
        <v>5437</v>
      </c>
      <c r="E317">
        <v>130</v>
      </c>
    </row>
    <row r="318" spans="1:5" x14ac:dyDescent="0.2">
      <c r="A318" t="s">
        <v>5478</v>
      </c>
      <c r="B318" t="s">
        <v>124</v>
      </c>
      <c r="C318" t="s">
        <v>5499</v>
      </c>
      <c r="D318" t="s">
        <v>5440</v>
      </c>
      <c r="E318">
        <v>47</v>
      </c>
    </row>
    <row r="319" spans="1:5" x14ac:dyDescent="0.2">
      <c r="A319" t="s">
        <v>5478</v>
      </c>
      <c r="B319" t="s">
        <v>124</v>
      </c>
      <c r="C319" t="s">
        <v>5499</v>
      </c>
      <c r="D319" t="s">
        <v>5439</v>
      </c>
      <c r="E319">
        <v>47</v>
      </c>
    </row>
    <row r="320" spans="1:5" x14ac:dyDescent="0.2">
      <c r="A320" t="s">
        <v>5478</v>
      </c>
      <c r="B320" t="s">
        <v>124</v>
      </c>
      <c r="C320" t="s">
        <v>5499</v>
      </c>
      <c r="D320" t="s">
        <v>5442</v>
      </c>
      <c r="E320">
        <v>143</v>
      </c>
    </row>
    <row r="321" spans="1:5" x14ac:dyDescent="0.2">
      <c r="A321" t="s">
        <v>5478</v>
      </c>
      <c r="B321" t="s">
        <v>124</v>
      </c>
      <c r="C321" t="s">
        <v>5499</v>
      </c>
      <c r="D321" t="s">
        <v>5441</v>
      </c>
      <c r="E321">
        <v>292</v>
      </c>
    </row>
    <row r="322" spans="1:5" x14ac:dyDescent="0.2">
      <c r="A322" t="s">
        <v>5478</v>
      </c>
      <c r="B322" t="s">
        <v>124</v>
      </c>
      <c r="C322" t="s">
        <v>5499</v>
      </c>
      <c r="D322" t="s">
        <v>125</v>
      </c>
      <c r="E322">
        <v>614</v>
      </c>
    </row>
    <row r="323" spans="1:5" x14ac:dyDescent="0.2">
      <c r="A323" t="s">
        <v>5478</v>
      </c>
      <c r="B323" t="s">
        <v>124</v>
      </c>
      <c r="C323" t="s">
        <v>5476</v>
      </c>
      <c r="D323" t="s">
        <v>5490</v>
      </c>
      <c r="E323">
        <v>10</v>
      </c>
    </row>
    <row r="324" spans="1:5" x14ac:dyDescent="0.2">
      <c r="A324" t="s">
        <v>5478</v>
      </c>
      <c r="B324" t="s">
        <v>124</v>
      </c>
      <c r="C324" t="s">
        <v>5500</v>
      </c>
      <c r="D324" t="s">
        <v>5502</v>
      </c>
      <c r="E324">
        <v>3</v>
      </c>
    </row>
    <row r="325" spans="1:5" x14ac:dyDescent="0.2">
      <c r="A325" t="s">
        <v>5478</v>
      </c>
      <c r="B325" t="s">
        <v>124</v>
      </c>
      <c r="C325" t="s">
        <v>5500</v>
      </c>
      <c r="D325" t="s">
        <v>5503</v>
      </c>
      <c r="E325">
        <v>6</v>
      </c>
    </row>
    <row r="326" spans="1:5" x14ac:dyDescent="0.2">
      <c r="A326" t="s">
        <v>5478</v>
      </c>
      <c r="B326" t="s">
        <v>124</v>
      </c>
      <c r="C326" t="s">
        <v>5500</v>
      </c>
      <c r="D326" t="s">
        <v>5506</v>
      </c>
      <c r="E326">
        <v>1</v>
      </c>
    </row>
    <row r="327" spans="1:5" x14ac:dyDescent="0.2">
      <c r="A327" t="s">
        <v>5478</v>
      </c>
      <c r="B327" t="s">
        <v>124</v>
      </c>
      <c r="C327" t="s">
        <v>5500</v>
      </c>
      <c r="D327" t="s">
        <v>5507</v>
      </c>
      <c r="E327">
        <v>388</v>
      </c>
    </row>
    <row r="328" spans="1:5" x14ac:dyDescent="0.2">
      <c r="A328" t="s">
        <v>5478</v>
      </c>
      <c r="B328" t="s">
        <v>124</v>
      </c>
      <c r="C328" t="s">
        <v>5500</v>
      </c>
      <c r="D328" t="s">
        <v>5516</v>
      </c>
      <c r="E328">
        <v>693</v>
      </c>
    </row>
    <row r="329" spans="1:5" x14ac:dyDescent="0.2">
      <c r="A329" t="s">
        <v>5478</v>
      </c>
      <c r="B329" t="s">
        <v>124</v>
      </c>
      <c r="C329" t="s">
        <v>5500</v>
      </c>
      <c r="D329" t="s">
        <v>5520</v>
      </c>
      <c r="E329">
        <v>203</v>
      </c>
    </row>
    <row r="330" spans="1:5" x14ac:dyDescent="0.2">
      <c r="A330" t="s">
        <v>5478</v>
      </c>
      <c r="B330" t="s">
        <v>124</v>
      </c>
      <c r="C330" t="s">
        <v>5500</v>
      </c>
      <c r="D330" t="s">
        <v>5509</v>
      </c>
      <c r="E330">
        <v>28</v>
      </c>
    </row>
    <row r="331" spans="1:5" x14ac:dyDescent="0.2">
      <c r="A331" t="s">
        <v>5478</v>
      </c>
      <c r="B331" t="s">
        <v>124</v>
      </c>
      <c r="C331" t="s">
        <v>5470</v>
      </c>
      <c r="D331" t="s">
        <v>903</v>
      </c>
      <c r="E331">
        <v>21</v>
      </c>
    </row>
    <row r="332" spans="1:5" x14ac:dyDescent="0.2">
      <c r="A332" t="s">
        <v>5478</v>
      </c>
      <c r="B332" t="s">
        <v>124</v>
      </c>
      <c r="C332" t="s">
        <v>5470</v>
      </c>
      <c r="D332" t="s">
        <v>209</v>
      </c>
      <c r="E332">
        <v>50</v>
      </c>
    </row>
    <row r="333" spans="1:5" x14ac:dyDescent="0.2">
      <c r="A333" t="s">
        <v>5478</v>
      </c>
      <c r="B333" t="s">
        <v>124</v>
      </c>
      <c r="C333" t="s">
        <v>5470</v>
      </c>
      <c r="D333" t="s">
        <v>143</v>
      </c>
      <c r="E333">
        <v>28</v>
      </c>
    </row>
    <row r="334" spans="1:5" x14ac:dyDescent="0.2">
      <c r="A334" t="s">
        <v>5478</v>
      </c>
      <c r="B334" t="s">
        <v>124</v>
      </c>
      <c r="C334" t="s">
        <v>5470</v>
      </c>
      <c r="D334" t="s">
        <v>136</v>
      </c>
      <c r="E334">
        <v>575</v>
      </c>
    </row>
    <row r="335" spans="1:5" x14ac:dyDescent="0.2">
      <c r="A335" t="s">
        <v>5478</v>
      </c>
      <c r="B335" t="s">
        <v>124</v>
      </c>
      <c r="C335" t="s">
        <v>5471</v>
      </c>
      <c r="D335" t="s">
        <v>137</v>
      </c>
      <c r="E335">
        <v>49</v>
      </c>
    </row>
    <row r="336" spans="1:5" x14ac:dyDescent="0.2">
      <c r="A336" t="s">
        <v>5478</v>
      </c>
      <c r="B336" t="s">
        <v>124</v>
      </c>
      <c r="C336" t="s">
        <v>5471</v>
      </c>
      <c r="D336" t="s">
        <v>394</v>
      </c>
      <c r="E336">
        <v>56</v>
      </c>
    </row>
    <row r="337" spans="1:5" x14ac:dyDescent="0.2">
      <c r="A337" t="s">
        <v>5478</v>
      </c>
      <c r="B337" t="s">
        <v>124</v>
      </c>
      <c r="C337" t="s">
        <v>5471</v>
      </c>
      <c r="D337" t="s">
        <v>128</v>
      </c>
      <c r="E337">
        <v>321</v>
      </c>
    </row>
    <row r="338" spans="1:5" x14ac:dyDescent="0.2">
      <c r="A338" t="s">
        <v>5478</v>
      </c>
      <c r="B338" t="s">
        <v>124</v>
      </c>
      <c r="C338" t="s">
        <v>5471</v>
      </c>
      <c r="D338" t="s">
        <v>144</v>
      </c>
      <c r="E338">
        <v>203</v>
      </c>
    </row>
    <row r="339" spans="1:5" x14ac:dyDescent="0.2">
      <c r="A339" t="s">
        <v>5478</v>
      </c>
      <c r="B339" t="s">
        <v>124</v>
      </c>
      <c r="C339" t="s">
        <v>5481</v>
      </c>
      <c r="D339" t="s">
        <v>5482</v>
      </c>
      <c r="E339">
        <v>4</v>
      </c>
    </row>
    <row r="340" spans="1:5" x14ac:dyDescent="0.2">
      <c r="A340" t="s">
        <v>5491</v>
      </c>
      <c r="B340" t="s">
        <v>131</v>
      </c>
      <c r="C340" t="s">
        <v>5474</v>
      </c>
      <c r="D340" t="s">
        <v>142</v>
      </c>
      <c r="E340">
        <v>2</v>
      </c>
    </row>
    <row r="341" spans="1:5" x14ac:dyDescent="0.2">
      <c r="A341" t="s">
        <v>5491</v>
      </c>
      <c r="B341" t="s">
        <v>131</v>
      </c>
      <c r="C341" t="s">
        <v>5474</v>
      </c>
      <c r="D341" t="s">
        <v>154</v>
      </c>
      <c r="E341">
        <v>4</v>
      </c>
    </row>
    <row r="342" spans="1:5" x14ac:dyDescent="0.2">
      <c r="A342" t="s">
        <v>5491</v>
      </c>
      <c r="B342" t="s">
        <v>131</v>
      </c>
      <c r="C342" t="s">
        <v>5467</v>
      </c>
      <c r="D342" t="s">
        <v>134</v>
      </c>
      <c r="E342">
        <v>7</v>
      </c>
    </row>
    <row r="343" spans="1:5" x14ac:dyDescent="0.2">
      <c r="A343" t="s">
        <v>5491</v>
      </c>
      <c r="B343" t="s">
        <v>131</v>
      </c>
      <c r="C343" t="s">
        <v>5467</v>
      </c>
      <c r="D343" t="s">
        <v>149</v>
      </c>
      <c r="E343">
        <v>131</v>
      </c>
    </row>
    <row r="344" spans="1:5" x14ac:dyDescent="0.2">
      <c r="A344" t="s">
        <v>5491</v>
      </c>
      <c r="B344" t="s">
        <v>131</v>
      </c>
      <c r="C344" t="s">
        <v>5467</v>
      </c>
      <c r="D344" t="s">
        <v>309</v>
      </c>
      <c r="E344">
        <v>3</v>
      </c>
    </row>
    <row r="345" spans="1:5" x14ac:dyDescent="0.2">
      <c r="A345" t="s">
        <v>5491</v>
      </c>
      <c r="B345" t="s">
        <v>131</v>
      </c>
      <c r="C345" t="s">
        <v>5468</v>
      </c>
      <c r="D345" t="s">
        <v>155</v>
      </c>
      <c r="E345">
        <v>20</v>
      </c>
    </row>
    <row r="346" spans="1:5" x14ac:dyDescent="0.2">
      <c r="A346" t="s">
        <v>5491</v>
      </c>
      <c r="B346" t="s">
        <v>131</v>
      </c>
      <c r="C346" t="s">
        <v>5468</v>
      </c>
      <c r="D346" t="s">
        <v>135</v>
      </c>
      <c r="E346">
        <v>127</v>
      </c>
    </row>
    <row r="347" spans="1:5" x14ac:dyDescent="0.2">
      <c r="A347" t="s">
        <v>5491</v>
      </c>
      <c r="B347" t="s">
        <v>131</v>
      </c>
      <c r="C347" t="s">
        <v>5469</v>
      </c>
      <c r="D347">
        <v>1</v>
      </c>
      <c r="E347">
        <v>76</v>
      </c>
    </row>
    <row r="348" spans="1:5" x14ac:dyDescent="0.2">
      <c r="A348" t="s">
        <v>5491</v>
      </c>
      <c r="B348" t="s">
        <v>131</v>
      </c>
      <c r="C348" t="s">
        <v>5469</v>
      </c>
      <c r="D348">
        <v>2</v>
      </c>
      <c r="E348">
        <v>4</v>
      </c>
    </row>
    <row r="349" spans="1:5" x14ac:dyDescent="0.2">
      <c r="A349" t="s">
        <v>5491</v>
      </c>
      <c r="B349" t="s">
        <v>131</v>
      </c>
      <c r="C349" t="s">
        <v>5469</v>
      </c>
      <c r="D349">
        <v>3</v>
      </c>
      <c r="E349">
        <v>61</v>
      </c>
    </row>
    <row r="350" spans="1:5" x14ac:dyDescent="0.2">
      <c r="A350" t="s">
        <v>5491</v>
      </c>
      <c r="B350" t="s">
        <v>131</v>
      </c>
      <c r="C350" t="s">
        <v>5470</v>
      </c>
      <c r="D350" t="s">
        <v>903</v>
      </c>
      <c r="E350">
        <v>2</v>
      </c>
    </row>
    <row r="351" spans="1:5" x14ac:dyDescent="0.2">
      <c r="A351" t="s">
        <v>5491</v>
      </c>
      <c r="B351" t="s">
        <v>131</v>
      </c>
      <c r="C351" t="s">
        <v>5470</v>
      </c>
      <c r="D351" t="s">
        <v>209</v>
      </c>
      <c r="E351">
        <v>21</v>
      </c>
    </row>
    <row r="352" spans="1:5" x14ac:dyDescent="0.2">
      <c r="A352" t="s">
        <v>5491</v>
      </c>
      <c r="B352" t="s">
        <v>131</v>
      </c>
      <c r="C352" t="s">
        <v>5470</v>
      </c>
      <c r="D352" t="s">
        <v>143</v>
      </c>
      <c r="E352">
        <v>2</v>
      </c>
    </row>
    <row r="353" spans="1:5" x14ac:dyDescent="0.2">
      <c r="A353" t="s">
        <v>5491</v>
      </c>
      <c r="B353" t="s">
        <v>131</v>
      </c>
      <c r="C353" t="s">
        <v>5470</v>
      </c>
      <c r="D353" t="s">
        <v>136</v>
      </c>
      <c r="E353">
        <v>116</v>
      </c>
    </row>
    <row r="354" spans="1:5" x14ac:dyDescent="0.2">
      <c r="A354" t="s">
        <v>5491</v>
      </c>
      <c r="B354" t="s">
        <v>131</v>
      </c>
      <c r="C354" t="s">
        <v>5471</v>
      </c>
      <c r="D354" t="s">
        <v>137</v>
      </c>
      <c r="E354">
        <v>29</v>
      </c>
    </row>
    <row r="355" spans="1:5" x14ac:dyDescent="0.2">
      <c r="A355" t="s">
        <v>5491</v>
      </c>
      <c r="B355" t="s">
        <v>131</v>
      </c>
      <c r="C355" t="s">
        <v>5471</v>
      </c>
      <c r="D355" t="s">
        <v>128</v>
      </c>
      <c r="E355">
        <v>11</v>
      </c>
    </row>
    <row r="356" spans="1:5" x14ac:dyDescent="0.2">
      <c r="A356" t="s">
        <v>5491</v>
      </c>
      <c r="B356" t="s">
        <v>131</v>
      </c>
      <c r="C356" t="s">
        <v>5471</v>
      </c>
      <c r="D356" t="s">
        <v>144</v>
      </c>
      <c r="E356">
        <v>8</v>
      </c>
    </row>
    <row r="357" spans="1:5" x14ac:dyDescent="0.2">
      <c r="A357" t="s">
        <v>5491</v>
      </c>
      <c r="B357" t="s">
        <v>131</v>
      </c>
      <c r="C357" t="s">
        <v>5481</v>
      </c>
      <c r="D357" t="s">
        <v>5482</v>
      </c>
      <c r="E357">
        <v>3</v>
      </c>
    </row>
    <row r="358" spans="1:5" x14ac:dyDescent="0.2">
      <c r="A358" t="s">
        <v>5491</v>
      </c>
      <c r="B358" t="s">
        <v>124</v>
      </c>
      <c r="C358" t="s">
        <v>5483</v>
      </c>
      <c r="D358" t="s">
        <v>209</v>
      </c>
      <c r="E358">
        <v>1</v>
      </c>
    </row>
    <row r="359" spans="1:5" x14ac:dyDescent="0.2">
      <c r="A359" t="s">
        <v>5491</v>
      </c>
      <c r="B359" t="s">
        <v>124</v>
      </c>
      <c r="C359" t="s">
        <v>5479</v>
      </c>
      <c r="D359" t="s">
        <v>5484</v>
      </c>
      <c r="E359">
        <v>3</v>
      </c>
    </row>
    <row r="360" spans="1:5" x14ac:dyDescent="0.2">
      <c r="A360" t="s">
        <v>5491</v>
      </c>
      <c r="B360" t="s">
        <v>124</v>
      </c>
      <c r="C360" t="s">
        <v>5479</v>
      </c>
      <c r="D360" t="s">
        <v>5480</v>
      </c>
      <c r="E360">
        <v>7</v>
      </c>
    </row>
    <row r="361" spans="1:5" x14ac:dyDescent="0.2">
      <c r="A361" t="s">
        <v>5491</v>
      </c>
      <c r="B361" t="s">
        <v>124</v>
      </c>
      <c r="C361" t="s">
        <v>5485</v>
      </c>
      <c r="D361" t="s">
        <v>5486</v>
      </c>
      <c r="E361">
        <v>6</v>
      </c>
    </row>
    <row r="362" spans="1:5" x14ac:dyDescent="0.2">
      <c r="A362" t="s">
        <v>5491</v>
      </c>
      <c r="B362" t="s">
        <v>124</v>
      </c>
      <c r="C362" t="s">
        <v>5487</v>
      </c>
      <c r="D362" t="s">
        <v>5486</v>
      </c>
      <c r="E362">
        <v>1</v>
      </c>
    </row>
    <row r="363" spans="1:5" x14ac:dyDescent="0.2">
      <c r="A363" t="s">
        <v>5491</v>
      </c>
      <c r="B363" t="s">
        <v>124</v>
      </c>
      <c r="C363" t="s">
        <v>5474</v>
      </c>
      <c r="D363" t="s">
        <v>142</v>
      </c>
      <c r="E363">
        <v>29</v>
      </c>
    </row>
    <row r="364" spans="1:5" x14ac:dyDescent="0.2">
      <c r="A364" t="s">
        <v>5491</v>
      </c>
      <c r="B364" t="s">
        <v>124</v>
      </c>
      <c r="C364" t="s">
        <v>5474</v>
      </c>
      <c r="D364" t="s">
        <v>154</v>
      </c>
      <c r="E364">
        <v>51</v>
      </c>
    </row>
    <row r="365" spans="1:5" x14ac:dyDescent="0.2">
      <c r="A365" t="s">
        <v>5491</v>
      </c>
      <c r="B365" t="s">
        <v>124</v>
      </c>
      <c r="C365" t="s">
        <v>5497</v>
      </c>
      <c r="D365" t="s">
        <v>5455</v>
      </c>
      <c r="E365">
        <v>2</v>
      </c>
    </row>
    <row r="366" spans="1:5" x14ac:dyDescent="0.2">
      <c r="A366" t="s">
        <v>5491</v>
      </c>
      <c r="B366" t="s">
        <v>124</v>
      </c>
      <c r="C366" t="s">
        <v>5497</v>
      </c>
      <c r="D366" t="s">
        <v>5459</v>
      </c>
      <c r="E366">
        <v>11</v>
      </c>
    </row>
    <row r="367" spans="1:5" x14ac:dyDescent="0.2">
      <c r="A367" t="s">
        <v>5491</v>
      </c>
      <c r="B367" t="s">
        <v>124</v>
      </c>
      <c r="C367" t="s">
        <v>5497</v>
      </c>
      <c r="D367" t="s">
        <v>5514</v>
      </c>
      <c r="E367">
        <v>260</v>
      </c>
    </row>
    <row r="368" spans="1:5" x14ac:dyDescent="0.2">
      <c r="A368" t="s">
        <v>5491</v>
      </c>
      <c r="B368" t="s">
        <v>124</v>
      </c>
      <c r="C368" t="s">
        <v>5497</v>
      </c>
      <c r="D368" t="s">
        <v>5456</v>
      </c>
      <c r="E368">
        <v>47</v>
      </c>
    </row>
    <row r="369" spans="1:5" x14ac:dyDescent="0.2">
      <c r="A369" t="s">
        <v>5491</v>
      </c>
      <c r="B369" t="s">
        <v>124</v>
      </c>
      <c r="C369" t="s">
        <v>5497</v>
      </c>
      <c r="D369" t="s">
        <v>5460</v>
      </c>
      <c r="E369">
        <v>144</v>
      </c>
    </row>
    <row r="370" spans="1:5" x14ac:dyDescent="0.2">
      <c r="A370" t="s">
        <v>5491</v>
      </c>
      <c r="B370" t="s">
        <v>124</v>
      </c>
      <c r="C370" t="s">
        <v>5497</v>
      </c>
      <c r="D370" t="s">
        <v>5461</v>
      </c>
      <c r="E370">
        <v>116</v>
      </c>
    </row>
    <row r="371" spans="1:5" x14ac:dyDescent="0.2">
      <c r="A371" t="s">
        <v>5491</v>
      </c>
      <c r="B371" t="s">
        <v>124</v>
      </c>
      <c r="C371" t="s">
        <v>5497</v>
      </c>
      <c r="D371" t="s">
        <v>5498</v>
      </c>
      <c r="E371">
        <v>11</v>
      </c>
    </row>
    <row r="372" spans="1:5" x14ac:dyDescent="0.2">
      <c r="A372" t="s">
        <v>5491</v>
      </c>
      <c r="B372" t="s">
        <v>124</v>
      </c>
      <c r="C372" t="s">
        <v>5467</v>
      </c>
      <c r="D372" t="s">
        <v>134</v>
      </c>
      <c r="E372">
        <v>2</v>
      </c>
    </row>
    <row r="373" spans="1:5" x14ac:dyDescent="0.2">
      <c r="A373" t="s">
        <v>5491</v>
      </c>
      <c r="B373" t="s">
        <v>124</v>
      </c>
      <c r="C373" t="s">
        <v>5467</v>
      </c>
      <c r="D373" t="s">
        <v>209</v>
      </c>
      <c r="E373">
        <v>6</v>
      </c>
    </row>
    <row r="374" spans="1:5" x14ac:dyDescent="0.2">
      <c r="A374" t="s">
        <v>5491</v>
      </c>
      <c r="B374" t="s">
        <v>124</v>
      </c>
      <c r="C374" t="s">
        <v>5467</v>
      </c>
      <c r="D374" t="s">
        <v>149</v>
      </c>
      <c r="E374">
        <v>259</v>
      </c>
    </row>
    <row r="375" spans="1:5" x14ac:dyDescent="0.2">
      <c r="A375" t="s">
        <v>5491</v>
      </c>
      <c r="B375" t="s">
        <v>124</v>
      </c>
      <c r="C375" t="s">
        <v>5467</v>
      </c>
      <c r="D375" t="s">
        <v>5488</v>
      </c>
      <c r="E375">
        <v>1</v>
      </c>
    </row>
    <row r="376" spans="1:5" x14ac:dyDescent="0.2">
      <c r="A376" t="s">
        <v>5491</v>
      </c>
      <c r="B376" t="s">
        <v>124</v>
      </c>
      <c r="C376" t="s">
        <v>5467</v>
      </c>
      <c r="D376" t="s">
        <v>309</v>
      </c>
      <c r="E376">
        <v>7</v>
      </c>
    </row>
    <row r="377" spans="1:5" x14ac:dyDescent="0.2">
      <c r="A377" t="s">
        <v>5491</v>
      </c>
      <c r="B377" t="s">
        <v>124</v>
      </c>
      <c r="C377" t="s">
        <v>5468</v>
      </c>
      <c r="D377" t="s">
        <v>5489</v>
      </c>
      <c r="E377">
        <v>1</v>
      </c>
    </row>
    <row r="378" spans="1:5" x14ac:dyDescent="0.2">
      <c r="A378" t="s">
        <v>5491</v>
      </c>
      <c r="B378" t="s">
        <v>124</v>
      </c>
      <c r="C378" t="s">
        <v>5468</v>
      </c>
      <c r="D378" t="s">
        <v>155</v>
      </c>
      <c r="E378">
        <v>63</v>
      </c>
    </row>
    <row r="379" spans="1:5" x14ac:dyDescent="0.2">
      <c r="A379" t="s">
        <v>5491</v>
      </c>
      <c r="B379" t="s">
        <v>124</v>
      </c>
      <c r="C379" t="s">
        <v>5468</v>
      </c>
      <c r="D379" t="s">
        <v>135</v>
      </c>
      <c r="E379">
        <v>293</v>
      </c>
    </row>
    <row r="380" spans="1:5" x14ac:dyDescent="0.2">
      <c r="A380" t="s">
        <v>5491</v>
      </c>
      <c r="B380" t="s">
        <v>124</v>
      </c>
      <c r="C380" t="s">
        <v>5469</v>
      </c>
      <c r="D380">
        <v>1</v>
      </c>
      <c r="E380">
        <v>89</v>
      </c>
    </row>
    <row r="381" spans="1:5" x14ac:dyDescent="0.2">
      <c r="A381" t="s">
        <v>5491</v>
      </c>
      <c r="B381" t="s">
        <v>124</v>
      </c>
      <c r="C381" t="s">
        <v>5469</v>
      </c>
      <c r="D381">
        <v>2</v>
      </c>
      <c r="E381">
        <v>40</v>
      </c>
    </row>
    <row r="382" spans="1:5" x14ac:dyDescent="0.2">
      <c r="A382" t="s">
        <v>5491</v>
      </c>
      <c r="B382" t="s">
        <v>124</v>
      </c>
      <c r="C382" t="s">
        <v>5469</v>
      </c>
      <c r="D382">
        <v>3</v>
      </c>
      <c r="E382">
        <v>150</v>
      </c>
    </row>
    <row r="383" spans="1:5" x14ac:dyDescent="0.2">
      <c r="A383" t="s">
        <v>5491</v>
      </c>
      <c r="B383" t="s">
        <v>124</v>
      </c>
      <c r="C383" t="s">
        <v>5499</v>
      </c>
      <c r="D383" t="s">
        <v>5438</v>
      </c>
      <c r="E383">
        <v>10</v>
      </c>
    </row>
    <row r="384" spans="1:5" x14ac:dyDescent="0.2">
      <c r="A384" t="s">
        <v>5491</v>
      </c>
      <c r="B384" t="s">
        <v>124</v>
      </c>
      <c r="C384" t="s">
        <v>5499</v>
      </c>
      <c r="D384" t="s">
        <v>5437</v>
      </c>
      <c r="E384">
        <v>88</v>
      </c>
    </row>
    <row r="385" spans="1:5" x14ac:dyDescent="0.2">
      <c r="A385" t="s">
        <v>5491</v>
      </c>
      <c r="B385" t="s">
        <v>124</v>
      </c>
      <c r="C385" t="s">
        <v>5499</v>
      </c>
      <c r="D385" t="s">
        <v>5440</v>
      </c>
      <c r="E385">
        <v>8</v>
      </c>
    </row>
    <row r="386" spans="1:5" x14ac:dyDescent="0.2">
      <c r="A386" t="s">
        <v>5491</v>
      </c>
      <c r="B386" t="s">
        <v>124</v>
      </c>
      <c r="C386" t="s">
        <v>5499</v>
      </c>
      <c r="D386" t="s">
        <v>5439</v>
      </c>
      <c r="E386">
        <v>32</v>
      </c>
    </row>
    <row r="387" spans="1:5" x14ac:dyDescent="0.2">
      <c r="A387" t="s">
        <v>5491</v>
      </c>
      <c r="B387" t="s">
        <v>124</v>
      </c>
      <c r="C387" t="s">
        <v>5499</v>
      </c>
      <c r="D387" t="s">
        <v>5442</v>
      </c>
      <c r="E387">
        <v>24</v>
      </c>
    </row>
    <row r="388" spans="1:5" x14ac:dyDescent="0.2">
      <c r="A388" t="s">
        <v>5491</v>
      </c>
      <c r="B388" t="s">
        <v>124</v>
      </c>
      <c r="C388" t="s">
        <v>5499</v>
      </c>
      <c r="D388" t="s">
        <v>5441</v>
      </c>
      <c r="E388">
        <v>128</v>
      </c>
    </row>
    <row r="389" spans="1:5" x14ac:dyDescent="0.2">
      <c r="A389" t="s">
        <v>5491</v>
      </c>
      <c r="B389" t="s">
        <v>124</v>
      </c>
      <c r="C389" t="s">
        <v>5499</v>
      </c>
      <c r="D389" t="s">
        <v>125</v>
      </c>
      <c r="E389">
        <v>301</v>
      </c>
    </row>
    <row r="390" spans="1:5" x14ac:dyDescent="0.2">
      <c r="A390" t="s">
        <v>5491</v>
      </c>
      <c r="B390" t="s">
        <v>124</v>
      </c>
      <c r="C390" t="s">
        <v>5476</v>
      </c>
      <c r="D390" t="s">
        <v>5490</v>
      </c>
      <c r="E390">
        <v>7</v>
      </c>
    </row>
    <row r="391" spans="1:5" x14ac:dyDescent="0.2">
      <c r="A391" t="s">
        <v>5491</v>
      </c>
      <c r="B391" t="s">
        <v>124</v>
      </c>
      <c r="C391" t="s">
        <v>5500</v>
      </c>
      <c r="D391" t="s">
        <v>5502</v>
      </c>
      <c r="E391">
        <v>3</v>
      </c>
    </row>
    <row r="392" spans="1:5" x14ac:dyDescent="0.2">
      <c r="A392" t="s">
        <v>5491</v>
      </c>
      <c r="B392" t="s">
        <v>124</v>
      </c>
      <c r="C392" t="s">
        <v>5500</v>
      </c>
      <c r="D392" t="s">
        <v>5503</v>
      </c>
      <c r="E392">
        <v>6</v>
      </c>
    </row>
    <row r="393" spans="1:5" x14ac:dyDescent="0.2">
      <c r="A393" t="s">
        <v>5491</v>
      </c>
      <c r="B393" t="s">
        <v>124</v>
      </c>
      <c r="C393" t="s">
        <v>5500</v>
      </c>
      <c r="D393" t="s">
        <v>5506</v>
      </c>
      <c r="E393">
        <v>1</v>
      </c>
    </row>
    <row r="394" spans="1:5" x14ac:dyDescent="0.2">
      <c r="A394" t="s">
        <v>5491</v>
      </c>
      <c r="B394" t="s">
        <v>124</v>
      </c>
      <c r="C394" t="s">
        <v>5500</v>
      </c>
      <c r="D394" t="s">
        <v>5507</v>
      </c>
      <c r="E394">
        <v>194</v>
      </c>
    </row>
    <row r="395" spans="1:5" x14ac:dyDescent="0.2">
      <c r="A395" t="s">
        <v>5491</v>
      </c>
      <c r="B395" t="s">
        <v>124</v>
      </c>
      <c r="C395" t="s">
        <v>5500</v>
      </c>
      <c r="D395" t="s">
        <v>5516</v>
      </c>
      <c r="E395">
        <v>260</v>
      </c>
    </row>
    <row r="396" spans="1:5" x14ac:dyDescent="0.2">
      <c r="A396" t="s">
        <v>5491</v>
      </c>
      <c r="B396" t="s">
        <v>124</v>
      </c>
      <c r="C396" t="s">
        <v>5500</v>
      </c>
      <c r="D396" t="s">
        <v>5520</v>
      </c>
      <c r="E396">
        <v>116</v>
      </c>
    </row>
    <row r="397" spans="1:5" x14ac:dyDescent="0.2">
      <c r="A397" t="s">
        <v>5491</v>
      </c>
      <c r="B397" t="s">
        <v>124</v>
      </c>
      <c r="C397" t="s">
        <v>5500</v>
      </c>
      <c r="D397" t="s">
        <v>5509</v>
      </c>
      <c r="E397">
        <v>11</v>
      </c>
    </row>
    <row r="398" spans="1:5" x14ac:dyDescent="0.2">
      <c r="A398" t="s">
        <v>5491</v>
      </c>
      <c r="B398" t="s">
        <v>124</v>
      </c>
      <c r="C398" t="s">
        <v>5470</v>
      </c>
      <c r="D398" t="s">
        <v>903</v>
      </c>
      <c r="E398">
        <v>14</v>
      </c>
    </row>
    <row r="399" spans="1:5" x14ac:dyDescent="0.2">
      <c r="A399" t="s">
        <v>5491</v>
      </c>
      <c r="B399" t="s">
        <v>124</v>
      </c>
      <c r="C399" t="s">
        <v>5470</v>
      </c>
      <c r="D399" t="s">
        <v>209</v>
      </c>
      <c r="E399">
        <v>35</v>
      </c>
    </row>
    <row r="400" spans="1:5" x14ac:dyDescent="0.2">
      <c r="A400" t="s">
        <v>5491</v>
      </c>
      <c r="B400" t="s">
        <v>124</v>
      </c>
      <c r="C400" t="s">
        <v>5470</v>
      </c>
      <c r="D400" t="s">
        <v>143</v>
      </c>
      <c r="E400">
        <v>28</v>
      </c>
    </row>
    <row r="401" spans="1:5" x14ac:dyDescent="0.2">
      <c r="A401" t="s">
        <v>5491</v>
      </c>
      <c r="B401" t="s">
        <v>124</v>
      </c>
      <c r="C401" t="s">
        <v>5470</v>
      </c>
      <c r="D401" t="s">
        <v>136</v>
      </c>
      <c r="E401">
        <v>197</v>
      </c>
    </row>
    <row r="402" spans="1:5" x14ac:dyDescent="0.2">
      <c r="A402" t="s">
        <v>5491</v>
      </c>
      <c r="B402" t="s">
        <v>124</v>
      </c>
      <c r="C402" t="s">
        <v>5471</v>
      </c>
      <c r="D402" t="s">
        <v>137</v>
      </c>
      <c r="E402">
        <v>49</v>
      </c>
    </row>
    <row r="403" spans="1:5" x14ac:dyDescent="0.2">
      <c r="A403" t="s">
        <v>5491</v>
      </c>
      <c r="B403" t="s">
        <v>124</v>
      </c>
      <c r="C403" t="s">
        <v>5471</v>
      </c>
      <c r="D403" t="s">
        <v>394</v>
      </c>
      <c r="E403">
        <v>22</v>
      </c>
    </row>
    <row r="404" spans="1:5" x14ac:dyDescent="0.2">
      <c r="A404" t="s">
        <v>5491</v>
      </c>
      <c r="B404" t="s">
        <v>124</v>
      </c>
      <c r="C404" t="s">
        <v>5471</v>
      </c>
      <c r="D404" t="s">
        <v>128</v>
      </c>
      <c r="E404">
        <v>144</v>
      </c>
    </row>
    <row r="405" spans="1:5" x14ac:dyDescent="0.2">
      <c r="A405" t="s">
        <v>5491</v>
      </c>
      <c r="B405" t="s">
        <v>124</v>
      </c>
      <c r="C405" t="s">
        <v>5471</v>
      </c>
      <c r="D405" t="s">
        <v>144</v>
      </c>
      <c r="E405">
        <v>116</v>
      </c>
    </row>
    <row r="406" spans="1:5" x14ac:dyDescent="0.2">
      <c r="A406" t="s">
        <v>5491</v>
      </c>
      <c r="B406" t="s">
        <v>124</v>
      </c>
      <c r="C406" t="s">
        <v>5481</v>
      </c>
      <c r="D406" t="s">
        <v>5482</v>
      </c>
      <c r="E406">
        <v>1</v>
      </c>
    </row>
    <row r="407" spans="1:5" x14ac:dyDescent="0.2">
      <c r="A407" t="s">
        <v>5492</v>
      </c>
      <c r="B407" t="s">
        <v>131</v>
      </c>
      <c r="C407" t="s">
        <v>5474</v>
      </c>
      <c r="D407" t="s">
        <v>142</v>
      </c>
      <c r="E407">
        <v>2</v>
      </c>
    </row>
    <row r="408" spans="1:5" x14ac:dyDescent="0.2">
      <c r="A408" t="s">
        <v>5492</v>
      </c>
      <c r="B408" t="s">
        <v>131</v>
      </c>
      <c r="C408" t="s">
        <v>5474</v>
      </c>
      <c r="D408" t="s">
        <v>154</v>
      </c>
      <c r="E408">
        <v>10</v>
      </c>
    </row>
    <row r="409" spans="1:5" x14ac:dyDescent="0.2">
      <c r="A409" t="s">
        <v>5492</v>
      </c>
      <c r="B409" t="s">
        <v>131</v>
      </c>
      <c r="C409" t="s">
        <v>5467</v>
      </c>
      <c r="D409" t="s">
        <v>134</v>
      </c>
      <c r="E409">
        <v>7</v>
      </c>
    </row>
    <row r="410" spans="1:5" x14ac:dyDescent="0.2">
      <c r="A410" t="s">
        <v>5492</v>
      </c>
      <c r="B410" t="s">
        <v>131</v>
      </c>
      <c r="C410" t="s">
        <v>5467</v>
      </c>
      <c r="D410" t="s">
        <v>209</v>
      </c>
      <c r="E410">
        <v>1</v>
      </c>
    </row>
    <row r="411" spans="1:5" x14ac:dyDescent="0.2">
      <c r="A411" t="s">
        <v>5492</v>
      </c>
      <c r="B411" t="s">
        <v>131</v>
      </c>
      <c r="C411" t="s">
        <v>5467</v>
      </c>
      <c r="D411" t="s">
        <v>149</v>
      </c>
      <c r="E411">
        <v>123</v>
      </c>
    </row>
    <row r="412" spans="1:5" x14ac:dyDescent="0.2">
      <c r="A412" t="s">
        <v>5492</v>
      </c>
      <c r="B412" t="s">
        <v>131</v>
      </c>
      <c r="C412" t="s">
        <v>5467</v>
      </c>
      <c r="D412" t="s">
        <v>309</v>
      </c>
      <c r="E412">
        <v>13</v>
      </c>
    </row>
    <row r="413" spans="1:5" x14ac:dyDescent="0.2">
      <c r="A413" t="s">
        <v>5492</v>
      </c>
      <c r="B413" t="s">
        <v>131</v>
      </c>
      <c r="C413" t="s">
        <v>5468</v>
      </c>
      <c r="D413" t="s">
        <v>155</v>
      </c>
      <c r="E413">
        <v>68</v>
      </c>
    </row>
    <row r="414" spans="1:5" x14ac:dyDescent="0.2">
      <c r="A414" t="s">
        <v>5492</v>
      </c>
      <c r="B414" t="s">
        <v>131</v>
      </c>
      <c r="C414" t="s">
        <v>5468</v>
      </c>
      <c r="D414" t="s">
        <v>135</v>
      </c>
      <c r="E414">
        <v>89</v>
      </c>
    </row>
    <row r="415" spans="1:5" x14ac:dyDescent="0.2">
      <c r="A415" t="s">
        <v>5492</v>
      </c>
      <c r="B415" t="s">
        <v>131</v>
      </c>
      <c r="C415" t="s">
        <v>5469</v>
      </c>
      <c r="D415">
        <v>1</v>
      </c>
      <c r="E415">
        <v>32</v>
      </c>
    </row>
    <row r="416" spans="1:5" x14ac:dyDescent="0.2">
      <c r="A416" t="s">
        <v>5492</v>
      </c>
      <c r="B416" t="s">
        <v>131</v>
      </c>
      <c r="C416" t="s">
        <v>5469</v>
      </c>
      <c r="D416">
        <v>2</v>
      </c>
      <c r="E416">
        <v>10</v>
      </c>
    </row>
    <row r="417" spans="1:5" x14ac:dyDescent="0.2">
      <c r="A417" t="s">
        <v>5492</v>
      </c>
      <c r="B417" t="s">
        <v>131</v>
      </c>
      <c r="C417" t="s">
        <v>5469</v>
      </c>
      <c r="D417">
        <v>3</v>
      </c>
      <c r="E417">
        <v>103</v>
      </c>
    </row>
    <row r="418" spans="1:5" x14ac:dyDescent="0.2">
      <c r="A418" t="s">
        <v>5492</v>
      </c>
      <c r="B418" t="s">
        <v>131</v>
      </c>
      <c r="C418" t="s">
        <v>5470</v>
      </c>
      <c r="D418" t="s">
        <v>209</v>
      </c>
      <c r="E418">
        <v>11</v>
      </c>
    </row>
    <row r="419" spans="1:5" x14ac:dyDescent="0.2">
      <c r="A419" t="s">
        <v>5492</v>
      </c>
      <c r="B419" t="s">
        <v>131</v>
      </c>
      <c r="C419" t="s">
        <v>5470</v>
      </c>
      <c r="D419" t="s">
        <v>136</v>
      </c>
      <c r="E419">
        <v>133</v>
      </c>
    </row>
    <row r="420" spans="1:5" x14ac:dyDescent="0.2">
      <c r="A420" t="s">
        <v>5492</v>
      </c>
      <c r="B420" t="s">
        <v>131</v>
      </c>
      <c r="C420" t="s">
        <v>5471</v>
      </c>
      <c r="D420" t="s">
        <v>128</v>
      </c>
      <c r="E420">
        <v>3</v>
      </c>
    </row>
    <row r="421" spans="1:5" x14ac:dyDescent="0.2">
      <c r="A421" t="s">
        <v>5492</v>
      </c>
      <c r="B421" t="s">
        <v>131</v>
      </c>
      <c r="C421" t="s">
        <v>5471</v>
      </c>
      <c r="D421" t="s">
        <v>144</v>
      </c>
      <c r="E421">
        <v>13</v>
      </c>
    </row>
    <row r="422" spans="1:5" x14ac:dyDescent="0.2">
      <c r="A422" t="s">
        <v>5492</v>
      </c>
      <c r="B422" t="s">
        <v>131</v>
      </c>
      <c r="C422" t="s">
        <v>5481</v>
      </c>
      <c r="D422" t="s">
        <v>5482</v>
      </c>
      <c r="E422">
        <v>7</v>
      </c>
    </row>
    <row r="423" spans="1:5" x14ac:dyDescent="0.2">
      <c r="A423" t="s">
        <v>5492</v>
      </c>
      <c r="B423" t="s">
        <v>124</v>
      </c>
      <c r="C423" t="s">
        <v>5479</v>
      </c>
      <c r="D423" t="s">
        <v>5484</v>
      </c>
      <c r="E423">
        <v>2</v>
      </c>
    </row>
    <row r="424" spans="1:5" x14ac:dyDescent="0.2">
      <c r="A424" t="s">
        <v>5492</v>
      </c>
      <c r="B424" t="s">
        <v>124</v>
      </c>
      <c r="C424" t="s">
        <v>5479</v>
      </c>
      <c r="D424" t="s">
        <v>5480</v>
      </c>
      <c r="E424">
        <v>1</v>
      </c>
    </row>
    <row r="425" spans="1:5" x14ac:dyDescent="0.2">
      <c r="A425" t="s">
        <v>5492</v>
      </c>
      <c r="B425" t="s">
        <v>124</v>
      </c>
      <c r="C425" t="s">
        <v>5487</v>
      </c>
      <c r="D425" t="s">
        <v>5486</v>
      </c>
      <c r="E425">
        <v>2</v>
      </c>
    </row>
    <row r="426" spans="1:5" x14ac:dyDescent="0.2">
      <c r="A426" t="s">
        <v>5492</v>
      </c>
      <c r="B426" t="s">
        <v>124</v>
      </c>
      <c r="C426" t="s">
        <v>5474</v>
      </c>
      <c r="D426" t="s">
        <v>142</v>
      </c>
      <c r="E426">
        <v>18</v>
      </c>
    </row>
    <row r="427" spans="1:5" x14ac:dyDescent="0.2">
      <c r="A427" t="s">
        <v>5492</v>
      </c>
      <c r="B427" t="s">
        <v>124</v>
      </c>
      <c r="C427" t="s">
        <v>5474</v>
      </c>
      <c r="D427" t="s">
        <v>154</v>
      </c>
      <c r="E427">
        <v>47</v>
      </c>
    </row>
    <row r="428" spans="1:5" x14ac:dyDescent="0.2">
      <c r="A428" t="s">
        <v>5492</v>
      </c>
      <c r="B428" t="s">
        <v>124</v>
      </c>
      <c r="C428" t="s">
        <v>5497</v>
      </c>
      <c r="D428" t="s">
        <v>5459</v>
      </c>
      <c r="E428">
        <v>17</v>
      </c>
    </row>
    <row r="429" spans="1:5" x14ac:dyDescent="0.2">
      <c r="A429" t="s">
        <v>5492</v>
      </c>
      <c r="B429" t="s">
        <v>124</v>
      </c>
      <c r="C429" t="s">
        <v>5497</v>
      </c>
      <c r="D429" t="s">
        <v>5514</v>
      </c>
      <c r="E429">
        <v>433</v>
      </c>
    </row>
    <row r="430" spans="1:5" x14ac:dyDescent="0.2">
      <c r="A430" t="s">
        <v>5492</v>
      </c>
      <c r="B430" t="s">
        <v>124</v>
      </c>
      <c r="C430" t="s">
        <v>5497</v>
      </c>
      <c r="D430" t="s">
        <v>5460</v>
      </c>
      <c r="E430">
        <v>177</v>
      </c>
    </row>
    <row r="431" spans="1:5" x14ac:dyDescent="0.2">
      <c r="A431" t="s">
        <v>5492</v>
      </c>
      <c r="B431" t="s">
        <v>124</v>
      </c>
      <c r="C431" t="s">
        <v>5497</v>
      </c>
      <c r="D431" t="s">
        <v>5461</v>
      </c>
      <c r="E431">
        <v>87</v>
      </c>
    </row>
    <row r="432" spans="1:5" x14ac:dyDescent="0.2">
      <c r="A432" t="s">
        <v>5492</v>
      </c>
      <c r="B432" t="s">
        <v>124</v>
      </c>
      <c r="C432" t="s">
        <v>5497</v>
      </c>
      <c r="D432" t="s">
        <v>5498</v>
      </c>
      <c r="E432">
        <v>17</v>
      </c>
    </row>
    <row r="433" spans="1:5" x14ac:dyDescent="0.2">
      <c r="A433" t="s">
        <v>5492</v>
      </c>
      <c r="B433" t="s">
        <v>124</v>
      </c>
      <c r="C433" t="s">
        <v>5467</v>
      </c>
      <c r="D433" t="s">
        <v>134</v>
      </c>
      <c r="E433">
        <v>15</v>
      </c>
    </row>
    <row r="434" spans="1:5" x14ac:dyDescent="0.2">
      <c r="A434" t="s">
        <v>5492</v>
      </c>
      <c r="B434" t="s">
        <v>124</v>
      </c>
      <c r="C434" t="s">
        <v>5467</v>
      </c>
      <c r="D434" t="s">
        <v>209</v>
      </c>
      <c r="E434">
        <v>19</v>
      </c>
    </row>
    <row r="435" spans="1:5" x14ac:dyDescent="0.2">
      <c r="A435" t="s">
        <v>5492</v>
      </c>
      <c r="B435" t="s">
        <v>124</v>
      </c>
      <c r="C435" t="s">
        <v>5467</v>
      </c>
      <c r="D435" t="s">
        <v>149</v>
      </c>
      <c r="E435">
        <v>340</v>
      </c>
    </row>
    <row r="436" spans="1:5" x14ac:dyDescent="0.2">
      <c r="A436" t="s">
        <v>5492</v>
      </c>
      <c r="B436" t="s">
        <v>124</v>
      </c>
      <c r="C436" t="s">
        <v>5467</v>
      </c>
      <c r="D436" t="s">
        <v>309</v>
      </c>
      <c r="E436">
        <v>26</v>
      </c>
    </row>
    <row r="437" spans="1:5" x14ac:dyDescent="0.2">
      <c r="A437" t="s">
        <v>5492</v>
      </c>
      <c r="B437" t="s">
        <v>124</v>
      </c>
      <c r="C437" t="s">
        <v>5468</v>
      </c>
      <c r="D437" t="s">
        <v>155</v>
      </c>
      <c r="E437">
        <v>209</v>
      </c>
    </row>
    <row r="438" spans="1:5" x14ac:dyDescent="0.2">
      <c r="A438" t="s">
        <v>5492</v>
      </c>
      <c r="B438" t="s">
        <v>124</v>
      </c>
      <c r="C438" t="s">
        <v>5468</v>
      </c>
      <c r="D438" t="s">
        <v>135</v>
      </c>
      <c r="E438">
        <v>258</v>
      </c>
    </row>
    <row r="439" spans="1:5" x14ac:dyDescent="0.2">
      <c r="A439" t="s">
        <v>5492</v>
      </c>
      <c r="B439" t="s">
        <v>124</v>
      </c>
      <c r="C439" t="s">
        <v>5469</v>
      </c>
      <c r="D439">
        <v>1</v>
      </c>
      <c r="E439">
        <v>79</v>
      </c>
    </row>
    <row r="440" spans="1:5" x14ac:dyDescent="0.2">
      <c r="A440" t="s">
        <v>5492</v>
      </c>
      <c r="B440" t="s">
        <v>124</v>
      </c>
      <c r="C440" t="s">
        <v>5469</v>
      </c>
      <c r="D440">
        <v>2</v>
      </c>
      <c r="E440">
        <v>51</v>
      </c>
    </row>
    <row r="441" spans="1:5" x14ac:dyDescent="0.2">
      <c r="A441" t="s">
        <v>5492</v>
      </c>
      <c r="B441" t="s">
        <v>124</v>
      </c>
      <c r="C441" t="s">
        <v>5469</v>
      </c>
      <c r="D441">
        <v>3</v>
      </c>
      <c r="E441">
        <v>271</v>
      </c>
    </row>
    <row r="442" spans="1:5" x14ac:dyDescent="0.2">
      <c r="A442" t="s">
        <v>5492</v>
      </c>
      <c r="B442" t="s">
        <v>124</v>
      </c>
      <c r="C442" t="s">
        <v>5499</v>
      </c>
      <c r="D442" t="s">
        <v>5438</v>
      </c>
      <c r="E442">
        <v>39</v>
      </c>
    </row>
    <row r="443" spans="1:5" x14ac:dyDescent="0.2">
      <c r="A443" t="s">
        <v>5492</v>
      </c>
      <c r="B443" t="s">
        <v>124</v>
      </c>
      <c r="C443" t="s">
        <v>5499</v>
      </c>
      <c r="D443" t="s">
        <v>5437</v>
      </c>
      <c r="E443">
        <v>42</v>
      </c>
    </row>
    <row r="444" spans="1:5" x14ac:dyDescent="0.2">
      <c r="A444" t="s">
        <v>5492</v>
      </c>
      <c r="B444" t="s">
        <v>124</v>
      </c>
      <c r="C444" t="s">
        <v>5499</v>
      </c>
      <c r="D444" t="s">
        <v>5440</v>
      </c>
      <c r="E444">
        <v>39</v>
      </c>
    </row>
    <row r="445" spans="1:5" x14ac:dyDescent="0.2">
      <c r="A445" t="s">
        <v>5492</v>
      </c>
      <c r="B445" t="s">
        <v>124</v>
      </c>
      <c r="C445" t="s">
        <v>5499</v>
      </c>
      <c r="D445" t="s">
        <v>5439</v>
      </c>
      <c r="E445">
        <v>15</v>
      </c>
    </row>
    <row r="446" spans="1:5" x14ac:dyDescent="0.2">
      <c r="A446" t="s">
        <v>5492</v>
      </c>
      <c r="B446" t="s">
        <v>124</v>
      </c>
      <c r="C446" t="s">
        <v>5499</v>
      </c>
      <c r="D446" t="s">
        <v>5442</v>
      </c>
      <c r="E446">
        <v>119</v>
      </c>
    </row>
    <row r="447" spans="1:5" x14ac:dyDescent="0.2">
      <c r="A447" t="s">
        <v>5492</v>
      </c>
      <c r="B447" t="s">
        <v>124</v>
      </c>
      <c r="C447" t="s">
        <v>5499</v>
      </c>
      <c r="D447" t="s">
        <v>5441</v>
      </c>
      <c r="E447">
        <v>164</v>
      </c>
    </row>
    <row r="448" spans="1:5" x14ac:dyDescent="0.2">
      <c r="A448" t="s">
        <v>5492</v>
      </c>
      <c r="B448" t="s">
        <v>124</v>
      </c>
      <c r="C448" t="s">
        <v>5499</v>
      </c>
      <c r="D448" t="s">
        <v>125</v>
      </c>
      <c r="E448">
        <v>313</v>
      </c>
    </row>
    <row r="449" spans="1:5" x14ac:dyDescent="0.2">
      <c r="A449" t="s">
        <v>5492</v>
      </c>
      <c r="B449" t="s">
        <v>124</v>
      </c>
      <c r="C449" t="s">
        <v>5476</v>
      </c>
      <c r="D449" t="s">
        <v>5490</v>
      </c>
      <c r="E449">
        <v>3</v>
      </c>
    </row>
    <row r="450" spans="1:5" x14ac:dyDescent="0.2">
      <c r="A450" t="s">
        <v>5492</v>
      </c>
      <c r="B450" t="s">
        <v>124</v>
      </c>
      <c r="C450" t="s">
        <v>5500</v>
      </c>
      <c r="D450" t="s">
        <v>5507</v>
      </c>
      <c r="E450">
        <v>194</v>
      </c>
    </row>
    <row r="451" spans="1:5" x14ac:dyDescent="0.2">
      <c r="A451" t="s">
        <v>5492</v>
      </c>
      <c r="B451" t="s">
        <v>124</v>
      </c>
      <c r="C451" t="s">
        <v>5500</v>
      </c>
      <c r="D451" t="s">
        <v>5516</v>
      </c>
      <c r="E451">
        <v>433</v>
      </c>
    </row>
    <row r="452" spans="1:5" x14ac:dyDescent="0.2">
      <c r="A452" t="s">
        <v>5492</v>
      </c>
      <c r="B452" t="s">
        <v>124</v>
      </c>
      <c r="C452" t="s">
        <v>5500</v>
      </c>
      <c r="D452" t="s">
        <v>5520</v>
      </c>
      <c r="E452">
        <v>87</v>
      </c>
    </row>
    <row r="453" spans="1:5" x14ac:dyDescent="0.2">
      <c r="A453" t="s">
        <v>5492</v>
      </c>
      <c r="B453" t="s">
        <v>124</v>
      </c>
      <c r="C453" t="s">
        <v>5500</v>
      </c>
      <c r="D453" t="s">
        <v>5509</v>
      </c>
      <c r="E453">
        <v>17</v>
      </c>
    </row>
    <row r="454" spans="1:5" x14ac:dyDescent="0.2">
      <c r="A454" t="s">
        <v>5492</v>
      </c>
      <c r="B454" t="s">
        <v>124</v>
      </c>
      <c r="C454" t="s">
        <v>5470</v>
      </c>
      <c r="D454" t="s">
        <v>903</v>
      </c>
      <c r="E454">
        <v>7</v>
      </c>
    </row>
    <row r="455" spans="1:5" x14ac:dyDescent="0.2">
      <c r="A455" t="s">
        <v>5492</v>
      </c>
      <c r="B455" t="s">
        <v>124</v>
      </c>
      <c r="C455" t="s">
        <v>5470</v>
      </c>
      <c r="D455" t="s">
        <v>209</v>
      </c>
      <c r="E455">
        <v>15</v>
      </c>
    </row>
    <row r="456" spans="1:5" x14ac:dyDescent="0.2">
      <c r="A456" t="s">
        <v>5492</v>
      </c>
      <c r="B456" t="s">
        <v>124</v>
      </c>
      <c r="C456" t="s">
        <v>5470</v>
      </c>
      <c r="D456" t="s">
        <v>136</v>
      </c>
      <c r="E456">
        <v>378</v>
      </c>
    </row>
    <row r="457" spans="1:5" x14ac:dyDescent="0.2">
      <c r="A457" t="s">
        <v>5492</v>
      </c>
      <c r="B457" t="s">
        <v>124</v>
      </c>
      <c r="C457" t="s">
        <v>5471</v>
      </c>
      <c r="D457" t="s">
        <v>394</v>
      </c>
      <c r="E457">
        <v>34</v>
      </c>
    </row>
    <row r="458" spans="1:5" x14ac:dyDescent="0.2">
      <c r="A458" t="s">
        <v>5492</v>
      </c>
      <c r="B458" t="s">
        <v>124</v>
      </c>
      <c r="C458" t="s">
        <v>5471</v>
      </c>
      <c r="D458" t="s">
        <v>128</v>
      </c>
      <c r="E458">
        <v>177</v>
      </c>
    </row>
    <row r="459" spans="1:5" x14ac:dyDescent="0.2">
      <c r="A459" t="s">
        <v>5492</v>
      </c>
      <c r="B459" t="s">
        <v>124</v>
      </c>
      <c r="C459" t="s">
        <v>5471</v>
      </c>
      <c r="D459" t="s">
        <v>144</v>
      </c>
      <c r="E459">
        <v>87</v>
      </c>
    </row>
    <row r="460" spans="1:5" x14ac:dyDescent="0.2">
      <c r="A460" t="s">
        <v>5492</v>
      </c>
      <c r="B460" t="s">
        <v>124</v>
      </c>
      <c r="C460" t="s">
        <v>5481</v>
      </c>
      <c r="D460" t="s">
        <v>5482</v>
      </c>
      <c r="E460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4E34-843A-D044-945D-AC7ED2550518}">
  <dimension ref="A27:B32"/>
  <sheetViews>
    <sheetView topLeftCell="A15" workbookViewId="0">
      <selection activeCell="A27" sqref="A27:B32"/>
    </sheetView>
  </sheetViews>
  <sheetFormatPr baseColWidth="10" defaultRowHeight="16" x14ac:dyDescent="0.2"/>
  <sheetData>
    <row r="27" spans="1:2" x14ac:dyDescent="0.2">
      <c r="B27" t="s">
        <v>5525</v>
      </c>
    </row>
    <row r="28" spans="1:2" x14ac:dyDescent="0.2">
      <c r="A28" t="s">
        <v>5443</v>
      </c>
      <c r="B28">
        <v>37.83</v>
      </c>
    </row>
    <row r="29" spans="1:2" x14ac:dyDescent="0.2">
      <c r="A29" t="s">
        <v>5444</v>
      </c>
      <c r="B29">
        <v>38.25</v>
      </c>
    </row>
    <row r="30" spans="1:2" x14ac:dyDescent="0.2">
      <c r="A30" t="s">
        <v>5524</v>
      </c>
      <c r="B30">
        <v>38.28</v>
      </c>
    </row>
    <row r="31" spans="1:2" x14ac:dyDescent="0.2">
      <c r="A31" t="s">
        <v>5447</v>
      </c>
      <c r="B31">
        <v>39.4</v>
      </c>
    </row>
    <row r="32" spans="1:2" x14ac:dyDescent="0.2">
      <c r="A32" t="s">
        <v>5448</v>
      </c>
      <c r="B32">
        <v>44.36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C745-0BDE-0C49-8F57-D0A48274E13D}">
  <dimension ref="A1:H20"/>
  <sheetViews>
    <sheetView workbookViewId="0">
      <selection activeCell="A16" sqref="A16:C20"/>
    </sheetView>
  </sheetViews>
  <sheetFormatPr baseColWidth="10" defaultRowHeight="16" x14ac:dyDescent="0.2"/>
  <sheetData>
    <row r="1" spans="1:8" x14ac:dyDescent="0.2">
      <c r="B1" t="s">
        <v>5526</v>
      </c>
      <c r="C1" t="s">
        <v>5527</v>
      </c>
      <c r="D1" t="s">
        <v>5528</v>
      </c>
      <c r="E1" t="s">
        <v>5529</v>
      </c>
      <c r="F1" t="s">
        <v>5526</v>
      </c>
      <c r="G1" t="s">
        <v>5527</v>
      </c>
      <c r="H1" t="s">
        <v>5528</v>
      </c>
    </row>
    <row r="2" spans="1:8" x14ac:dyDescent="0.2">
      <c r="A2">
        <v>0</v>
      </c>
      <c r="B2" t="s">
        <v>5530</v>
      </c>
      <c r="C2">
        <v>13407</v>
      </c>
      <c r="D2">
        <v>7081</v>
      </c>
      <c r="E2">
        <v>20488</v>
      </c>
      <c r="F2" t="s">
        <v>5530</v>
      </c>
      <c r="G2">
        <f>C2/E2*100</f>
        <v>65.438305349472856</v>
      </c>
      <c r="H2">
        <f>D2/E2*100</f>
        <v>34.561694650527137</v>
      </c>
    </row>
    <row r="3" spans="1:8" x14ac:dyDescent="0.2">
      <c r="A3">
        <v>1</v>
      </c>
      <c r="B3" t="s">
        <v>5531</v>
      </c>
      <c r="C3">
        <v>6257</v>
      </c>
      <c r="D3">
        <v>4000</v>
      </c>
      <c r="E3">
        <v>10257</v>
      </c>
      <c r="F3" t="s">
        <v>5531</v>
      </c>
      <c r="G3">
        <f t="shared" ref="G3:G11" si="0">C3/E3*100</f>
        <v>61.002242371063666</v>
      </c>
      <c r="H3">
        <f t="shared" ref="H3:H11" si="1">D3/E3*100</f>
        <v>38.997757628936334</v>
      </c>
    </row>
    <row r="4" spans="1:8" x14ac:dyDescent="0.2">
      <c r="A4">
        <v>2</v>
      </c>
      <c r="B4" t="s">
        <v>5466</v>
      </c>
      <c r="C4">
        <v>19196</v>
      </c>
      <c r="D4">
        <v>3482</v>
      </c>
      <c r="E4">
        <v>22678</v>
      </c>
      <c r="F4" t="s">
        <v>5466</v>
      </c>
      <c r="G4">
        <f t="shared" si="0"/>
        <v>84.645912337948673</v>
      </c>
      <c r="H4">
        <f t="shared" si="1"/>
        <v>15.354087662051327</v>
      </c>
    </row>
    <row r="5" spans="1:8" x14ac:dyDescent="0.2">
      <c r="A5">
        <v>3</v>
      </c>
      <c r="B5" t="s">
        <v>5475</v>
      </c>
      <c r="C5">
        <v>1475</v>
      </c>
      <c r="D5">
        <v>1002</v>
      </c>
      <c r="E5">
        <v>2477</v>
      </c>
      <c r="F5" t="s">
        <v>5475</v>
      </c>
      <c r="G5">
        <f t="shared" si="0"/>
        <v>59.547840129188536</v>
      </c>
      <c r="H5">
        <f t="shared" si="1"/>
        <v>40.452159870811464</v>
      </c>
    </row>
    <row r="6" spans="1:8" x14ac:dyDescent="0.2">
      <c r="A6">
        <v>4</v>
      </c>
      <c r="B6" t="s">
        <v>119</v>
      </c>
      <c r="C6">
        <v>3092</v>
      </c>
      <c r="D6">
        <v>1882</v>
      </c>
      <c r="E6">
        <v>4974</v>
      </c>
      <c r="F6" t="s">
        <v>119</v>
      </c>
      <c r="G6">
        <f t="shared" si="0"/>
        <v>62.163248894250103</v>
      </c>
      <c r="H6">
        <f t="shared" si="1"/>
        <v>37.836751105749897</v>
      </c>
    </row>
    <row r="7" spans="1:8" x14ac:dyDescent="0.2">
      <c r="A7">
        <v>5</v>
      </c>
      <c r="B7" t="s">
        <v>5477</v>
      </c>
      <c r="C7">
        <v>4392</v>
      </c>
      <c r="D7">
        <v>1139</v>
      </c>
      <c r="E7">
        <v>5531</v>
      </c>
      <c r="F7" t="s">
        <v>5477</v>
      </c>
      <c r="G7">
        <f t="shared" si="0"/>
        <v>79.406978846501545</v>
      </c>
      <c r="H7">
        <f t="shared" si="1"/>
        <v>20.593021153498466</v>
      </c>
    </row>
    <row r="8" spans="1:8" x14ac:dyDescent="0.2">
      <c r="A8">
        <v>6</v>
      </c>
      <c r="B8" t="s">
        <v>5532</v>
      </c>
      <c r="C8">
        <v>7150</v>
      </c>
      <c r="D8">
        <v>3081</v>
      </c>
      <c r="E8">
        <v>10231</v>
      </c>
      <c r="F8" t="s">
        <v>5532</v>
      </c>
      <c r="G8">
        <f t="shared" si="0"/>
        <v>69.885641677255407</v>
      </c>
      <c r="H8">
        <f t="shared" si="1"/>
        <v>30.1143583227446</v>
      </c>
    </row>
    <row r="9" spans="1:8" x14ac:dyDescent="0.2">
      <c r="A9">
        <v>7</v>
      </c>
      <c r="B9" t="s">
        <v>5478</v>
      </c>
      <c r="C9">
        <v>1789</v>
      </c>
      <c r="D9">
        <v>1003</v>
      </c>
      <c r="E9">
        <v>2792</v>
      </c>
      <c r="F9" t="s">
        <v>5478</v>
      </c>
      <c r="G9">
        <f t="shared" si="0"/>
        <v>64.075931232091691</v>
      </c>
      <c r="H9">
        <f t="shared" si="1"/>
        <v>35.924068767908309</v>
      </c>
    </row>
    <row r="10" spans="1:8" x14ac:dyDescent="0.2">
      <c r="A10">
        <v>8</v>
      </c>
      <c r="B10" t="s">
        <v>5491</v>
      </c>
      <c r="C10">
        <v>783</v>
      </c>
      <c r="D10">
        <v>447</v>
      </c>
      <c r="E10">
        <v>1230</v>
      </c>
      <c r="F10" t="s">
        <v>5491</v>
      </c>
      <c r="G10">
        <f t="shared" si="0"/>
        <v>63.658536585365852</v>
      </c>
      <c r="H10">
        <f t="shared" si="1"/>
        <v>36.341463414634148</v>
      </c>
    </row>
    <row r="11" spans="1:8" x14ac:dyDescent="0.2">
      <c r="A11">
        <v>9</v>
      </c>
      <c r="B11" t="s">
        <v>5492</v>
      </c>
      <c r="C11">
        <v>1006</v>
      </c>
      <c r="D11">
        <v>556</v>
      </c>
      <c r="E11">
        <v>1562</v>
      </c>
      <c r="F11" t="s">
        <v>5492</v>
      </c>
      <c r="G11">
        <f t="shared" si="0"/>
        <v>64.404609475032018</v>
      </c>
      <c r="H11">
        <f t="shared" si="1"/>
        <v>35.595390524967989</v>
      </c>
    </row>
    <row r="16" spans="1:8" x14ac:dyDescent="0.2">
      <c r="A16" t="s">
        <v>5526</v>
      </c>
      <c r="B16" t="s">
        <v>5527</v>
      </c>
      <c r="C16" t="s">
        <v>5528</v>
      </c>
    </row>
    <row r="17" spans="1:3" x14ac:dyDescent="0.2">
      <c r="A17" t="s">
        <v>5443</v>
      </c>
      <c r="B17">
        <v>62.163248894250103</v>
      </c>
      <c r="C17">
        <v>37.836751105749897</v>
      </c>
    </row>
    <row r="18" spans="1:3" x14ac:dyDescent="0.2">
      <c r="A18" t="s">
        <v>5445</v>
      </c>
      <c r="B18">
        <v>64.075931232091691</v>
      </c>
      <c r="C18">
        <v>35.924068767908309</v>
      </c>
    </row>
    <row r="19" spans="1:3" x14ac:dyDescent="0.2">
      <c r="A19" t="s">
        <v>5447</v>
      </c>
      <c r="B19">
        <v>79.406978846501545</v>
      </c>
      <c r="C19">
        <v>20.593021153498466</v>
      </c>
    </row>
    <row r="20" spans="1:3" x14ac:dyDescent="0.2">
      <c r="A20" t="s">
        <v>5448</v>
      </c>
      <c r="B20">
        <v>84.645912337948673</v>
      </c>
      <c r="C20">
        <v>15.354087662051327</v>
      </c>
    </row>
  </sheetData>
  <sortState xmlns:xlrd2="http://schemas.microsoft.com/office/spreadsheetml/2017/richdata2" ref="A17:C20">
    <sortCondition ref="B17:B20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54B2-61EF-2643-BD85-B753A07DAC43}">
  <dimension ref="A3:AE59"/>
  <sheetViews>
    <sheetView topLeftCell="D58" workbookViewId="0">
      <selection activeCell="O86" sqref="O86"/>
    </sheetView>
  </sheetViews>
  <sheetFormatPr baseColWidth="10" defaultRowHeight="16" x14ac:dyDescent="0.2"/>
  <cols>
    <col min="1" max="1" width="17.1640625" bestFit="1" customWidth="1"/>
    <col min="2" max="2" width="20" bestFit="1" customWidth="1"/>
    <col min="3" max="3" width="4.83203125" bestFit="1" customWidth="1"/>
    <col min="4" max="4" width="4.5" bestFit="1" customWidth="1"/>
    <col min="5" max="5" width="5.1640625" bestFit="1" customWidth="1"/>
    <col min="6" max="6" width="10.6640625" customWidth="1"/>
    <col min="7" max="7" width="6.33203125" bestFit="1" customWidth="1"/>
    <col min="8" max="8" width="5.1640625" bestFit="1" customWidth="1"/>
    <col min="9" max="9" width="6.1640625" bestFit="1" customWidth="1"/>
    <col min="10" max="10" width="7.33203125" bestFit="1" customWidth="1"/>
    <col min="11" max="11" width="6.83203125" bestFit="1" customWidth="1"/>
    <col min="12" max="12" width="5.6640625" bestFit="1" customWidth="1"/>
    <col min="13" max="13" width="3.1640625" bestFit="1" customWidth="1"/>
    <col min="14" max="14" width="12.83203125" bestFit="1" customWidth="1"/>
    <col min="15" max="15" width="10.5" bestFit="1" customWidth="1"/>
    <col min="16" max="16" width="4.83203125" bestFit="1" customWidth="1"/>
    <col min="17" max="17" width="7.1640625" bestFit="1" customWidth="1"/>
    <col min="18" max="18" width="4.33203125" bestFit="1" customWidth="1"/>
    <col min="19" max="19" width="4.5" bestFit="1" customWidth="1"/>
    <col min="20" max="20" width="6.33203125" bestFit="1" customWidth="1"/>
    <col min="21" max="21" width="5.1640625" bestFit="1" customWidth="1"/>
    <col min="22" max="22" width="6.1640625" bestFit="1" customWidth="1"/>
    <col min="23" max="23" width="7.33203125" bestFit="1" customWidth="1"/>
    <col min="24" max="24" width="6.83203125" bestFit="1" customWidth="1"/>
    <col min="25" max="25" width="4.6640625" bestFit="1" customWidth="1"/>
    <col min="26" max="26" width="5.6640625" bestFit="1" customWidth="1"/>
    <col min="27" max="27" width="2.1640625" bestFit="1" customWidth="1"/>
    <col min="28" max="28" width="13.83203125" bestFit="1" customWidth="1"/>
    <col min="29" max="29" width="9" bestFit="1" customWidth="1"/>
    <col min="30" max="30" width="12.33203125" bestFit="1" customWidth="1"/>
    <col min="31" max="31" width="17.1640625" bestFit="1" customWidth="1"/>
  </cols>
  <sheetData>
    <row r="3" spans="1:31" x14ac:dyDescent="0.2">
      <c r="A3" s="1" t="s">
        <v>5555</v>
      </c>
      <c r="B3" s="1" t="s">
        <v>5496</v>
      </c>
    </row>
    <row r="4" spans="1:31" x14ac:dyDescent="0.2">
      <c r="B4" t="s">
        <v>5547</v>
      </c>
      <c r="N4" t="s">
        <v>5556</v>
      </c>
      <c r="O4" t="s">
        <v>5540</v>
      </c>
      <c r="AB4" t="s">
        <v>5557</v>
      </c>
      <c r="AC4" t="s">
        <v>5554</v>
      </c>
      <c r="AD4" t="s">
        <v>5558</v>
      </c>
      <c r="AE4" t="s">
        <v>5494</v>
      </c>
    </row>
    <row r="5" spans="1:31" x14ac:dyDescent="0.2">
      <c r="A5" s="1" t="s">
        <v>5493</v>
      </c>
      <c r="B5" t="s">
        <v>5546</v>
      </c>
      <c r="C5" t="s">
        <v>5473</v>
      </c>
      <c r="D5" t="s">
        <v>131</v>
      </c>
      <c r="E5" t="s">
        <v>5549</v>
      </c>
      <c r="F5" t="s">
        <v>5550</v>
      </c>
      <c r="G5" t="s">
        <v>5543</v>
      </c>
      <c r="H5" t="s">
        <v>5548</v>
      </c>
      <c r="I5" t="s">
        <v>5541</v>
      </c>
      <c r="J5" t="s">
        <v>5542</v>
      </c>
      <c r="K5" t="s">
        <v>5545</v>
      </c>
      <c r="L5" t="s">
        <v>124</v>
      </c>
      <c r="M5" t="s">
        <v>5551</v>
      </c>
      <c r="O5" t="s">
        <v>5546</v>
      </c>
      <c r="P5" t="s">
        <v>5473</v>
      </c>
      <c r="Q5" t="s">
        <v>5544</v>
      </c>
      <c r="R5" t="s">
        <v>5549</v>
      </c>
      <c r="S5" t="s">
        <v>5550</v>
      </c>
      <c r="T5" t="s">
        <v>5543</v>
      </c>
      <c r="U5" t="s">
        <v>5548</v>
      </c>
      <c r="V5" t="s">
        <v>5541</v>
      </c>
      <c r="W5" t="s">
        <v>5542</v>
      </c>
      <c r="X5" t="s">
        <v>5545</v>
      </c>
      <c r="Y5" t="s">
        <v>5552</v>
      </c>
      <c r="Z5" t="s">
        <v>124</v>
      </c>
      <c r="AA5" t="s">
        <v>5551</v>
      </c>
      <c r="AC5" t="s">
        <v>5554</v>
      </c>
    </row>
    <row r="6" spans="1:31" x14ac:dyDescent="0.2">
      <c r="A6" s="2" t="s">
        <v>5466</v>
      </c>
      <c r="B6" s="3">
        <v>39</v>
      </c>
      <c r="C6" s="3">
        <v>4</v>
      </c>
      <c r="D6" s="3"/>
      <c r="E6" s="3"/>
      <c r="F6" s="3"/>
      <c r="G6" s="3">
        <v>1884</v>
      </c>
      <c r="H6" s="3">
        <v>12</v>
      </c>
      <c r="I6" s="3">
        <v>620</v>
      </c>
      <c r="J6" s="3">
        <v>112</v>
      </c>
      <c r="K6" s="3">
        <v>3</v>
      </c>
      <c r="L6" s="3">
        <v>374</v>
      </c>
      <c r="M6" s="3"/>
      <c r="N6" s="3">
        <v>3048</v>
      </c>
      <c r="O6" s="3">
        <v>14</v>
      </c>
      <c r="P6" s="3">
        <v>3</v>
      </c>
      <c r="Q6" s="3"/>
      <c r="R6" s="3"/>
      <c r="S6" s="3"/>
      <c r="T6" s="3">
        <v>1761</v>
      </c>
      <c r="U6" s="3">
        <v>28</v>
      </c>
      <c r="V6" s="3">
        <v>948</v>
      </c>
      <c r="W6" s="3">
        <v>622</v>
      </c>
      <c r="X6" s="3"/>
      <c r="Y6" s="3">
        <v>2</v>
      </c>
      <c r="Z6" s="3">
        <v>113</v>
      </c>
      <c r="AA6" s="3">
        <v>1</v>
      </c>
      <c r="AB6" s="3">
        <v>3492</v>
      </c>
      <c r="AC6" s="3"/>
      <c r="AD6" s="3"/>
      <c r="AE6" s="3">
        <v>6540</v>
      </c>
    </row>
    <row r="7" spans="1:31" x14ac:dyDescent="0.2">
      <c r="A7" s="2" t="s">
        <v>5553</v>
      </c>
      <c r="B7" s="3">
        <v>22</v>
      </c>
      <c r="C7" s="3">
        <v>9</v>
      </c>
      <c r="D7" s="3">
        <v>7</v>
      </c>
      <c r="E7" s="3">
        <v>12</v>
      </c>
      <c r="F7" s="3">
        <v>2</v>
      </c>
      <c r="G7" s="3">
        <v>507</v>
      </c>
      <c r="H7" s="3">
        <v>3</v>
      </c>
      <c r="I7" s="3">
        <v>387</v>
      </c>
      <c r="J7" s="3">
        <v>13</v>
      </c>
      <c r="K7" s="3">
        <v>40</v>
      </c>
      <c r="L7" s="3">
        <v>129</v>
      </c>
      <c r="M7" s="3">
        <v>20</v>
      </c>
      <c r="N7" s="3">
        <v>1151</v>
      </c>
      <c r="O7" s="3">
        <v>11</v>
      </c>
      <c r="P7" s="3">
        <v>3</v>
      </c>
      <c r="Q7" s="3">
        <v>1</v>
      </c>
      <c r="R7" s="3">
        <v>5</v>
      </c>
      <c r="S7" s="3">
        <v>1</v>
      </c>
      <c r="T7" s="3">
        <v>338</v>
      </c>
      <c r="U7" s="3">
        <v>2</v>
      </c>
      <c r="V7" s="3">
        <v>427</v>
      </c>
      <c r="W7" s="3">
        <v>49</v>
      </c>
      <c r="X7" s="3">
        <v>133</v>
      </c>
      <c r="Y7" s="3"/>
      <c r="Z7" s="3">
        <v>21</v>
      </c>
      <c r="AA7" s="3">
        <v>6</v>
      </c>
      <c r="AB7" s="3">
        <v>997</v>
      </c>
      <c r="AC7" s="3"/>
      <c r="AD7" s="3"/>
      <c r="AE7" s="3">
        <v>2148</v>
      </c>
    </row>
    <row r="8" spans="1:31" x14ac:dyDescent="0.2">
      <c r="A8" s="2" t="s">
        <v>5477</v>
      </c>
      <c r="B8" s="3">
        <v>11</v>
      </c>
      <c r="C8" s="3"/>
      <c r="D8" s="3">
        <v>3</v>
      </c>
      <c r="E8" s="3"/>
      <c r="F8" s="3"/>
      <c r="G8" s="3">
        <v>711</v>
      </c>
      <c r="H8" s="3">
        <v>1</v>
      </c>
      <c r="I8" s="3">
        <v>183</v>
      </c>
      <c r="J8" s="3">
        <v>3</v>
      </c>
      <c r="K8" s="3"/>
      <c r="L8" s="3">
        <v>179</v>
      </c>
      <c r="M8" s="3"/>
      <c r="N8" s="3">
        <v>1091</v>
      </c>
      <c r="O8" s="3">
        <v>7</v>
      </c>
      <c r="P8" s="3"/>
      <c r="Q8" s="3"/>
      <c r="R8" s="3"/>
      <c r="S8" s="3"/>
      <c r="T8" s="3">
        <v>520</v>
      </c>
      <c r="U8" s="3">
        <v>1</v>
      </c>
      <c r="V8" s="3">
        <v>363</v>
      </c>
      <c r="W8" s="3">
        <v>9</v>
      </c>
      <c r="X8" s="3"/>
      <c r="Y8" s="3"/>
      <c r="Z8" s="3">
        <v>46</v>
      </c>
      <c r="AA8" s="3"/>
      <c r="AB8" s="3">
        <v>946</v>
      </c>
      <c r="AC8" s="3"/>
      <c r="AD8" s="3"/>
      <c r="AE8" s="3">
        <v>2037</v>
      </c>
    </row>
    <row r="9" spans="1:31" x14ac:dyDescent="0.2">
      <c r="A9" s="2" t="s">
        <v>5478</v>
      </c>
      <c r="B9" s="3">
        <v>10</v>
      </c>
      <c r="C9" s="3">
        <v>6</v>
      </c>
      <c r="D9" s="3">
        <v>1</v>
      </c>
      <c r="E9" s="3">
        <v>4</v>
      </c>
      <c r="F9" s="3"/>
      <c r="G9" s="3">
        <v>376</v>
      </c>
      <c r="H9" s="3">
        <v>2</v>
      </c>
      <c r="I9" s="3">
        <v>192</v>
      </c>
      <c r="J9" s="3">
        <v>5</v>
      </c>
      <c r="K9" s="3">
        <v>1</v>
      </c>
      <c r="L9" s="3">
        <v>125</v>
      </c>
      <c r="M9" s="3"/>
      <c r="N9" s="3">
        <v>722</v>
      </c>
      <c r="O9" s="3">
        <v>6</v>
      </c>
      <c r="P9" s="3"/>
      <c r="Q9" s="3">
        <v>1</v>
      </c>
      <c r="R9" s="3">
        <v>3</v>
      </c>
      <c r="S9" s="3"/>
      <c r="T9" s="3">
        <v>217</v>
      </c>
      <c r="U9" s="3"/>
      <c r="V9" s="3">
        <v>300</v>
      </c>
      <c r="W9" s="3">
        <v>19</v>
      </c>
      <c r="X9" s="3">
        <v>8</v>
      </c>
      <c r="Y9" s="3"/>
      <c r="Z9" s="3">
        <v>24</v>
      </c>
      <c r="AA9" s="3">
        <v>1</v>
      </c>
      <c r="AB9" s="3">
        <v>579</v>
      </c>
      <c r="AC9" s="3"/>
      <c r="AD9" s="3"/>
      <c r="AE9" s="3">
        <v>1301</v>
      </c>
    </row>
    <row r="10" spans="1:31" x14ac:dyDescent="0.2">
      <c r="A10" s="2" t="s">
        <v>5491</v>
      </c>
      <c r="B10" s="3">
        <v>3</v>
      </c>
      <c r="C10" s="3">
        <v>4</v>
      </c>
      <c r="D10" s="3"/>
      <c r="E10" s="3">
        <v>3</v>
      </c>
      <c r="F10" s="3"/>
      <c r="G10" s="3">
        <v>168</v>
      </c>
      <c r="H10" s="3">
        <v>1</v>
      </c>
      <c r="I10" s="3">
        <v>84</v>
      </c>
      <c r="J10" s="3">
        <v>1</v>
      </c>
      <c r="K10" s="3">
        <v>1</v>
      </c>
      <c r="L10" s="3">
        <v>54</v>
      </c>
      <c r="M10" s="3"/>
      <c r="N10" s="3">
        <v>319</v>
      </c>
      <c r="O10" s="3">
        <v>2</v>
      </c>
      <c r="P10" s="3"/>
      <c r="Q10" s="3">
        <v>1</v>
      </c>
      <c r="R10" s="3"/>
      <c r="S10" s="3"/>
      <c r="T10" s="3">
        <v>67</v>
      </c>
      <c r="U10" s="3"/>
      <c r="V10" s="3">
        <v>123</v>
      </c>
      <c r="W10" s="3">
        <v>12</v>
      </c>
      <c r="X10" s="3">
        <v>4</v>
      </c>
      <c r="Y10" s="3"/>
      <c r="Z10" s="3">
        <v>12</v>
      </c>
      <c r="AA10" s="3"/>
      <c r="AB10" s="3">
        <v>221</v>
      </c>
      <c r="AC10" s="3"/>
      <c r="AD10" s="3"/>
      <c r="AE10" s="3">
        <v>540</v>
      </c>
    </row>
    <row r="11" spans="1:31" x14ac:dyDescent="0.2">
      <c r="A11" s="2" t="s">
        <v>5492</v>
      </c>
      <c r="B11" s="3">
        <v>7</v>
      </c>
      <c r="C11" s="3">
        <v>2</v>
      </c>
      <c r="D11" s="3">
        <v>1</v>
      </c>
      <c r="E11" s="3">
        <v>1</v>
      </c>
      <c r="F11" s="3"/>
      <c r="G11" s="3">
        <v>208</v>
      </c>
      <c r="H11" s="3">
        <v>1</v>
      </c>
      <c r="I11" s="3">
        <v>108</v>
      </c>
      <c r="J11" s="3">
        <v>4</v>
      </c>
      <c r="K11" s="3"/>
      <c r="L11" s="3">
        <v>71</v>
      </c>
      <c r="M11" s="3"/>
      <c r="N11" s="3">
        <v>403</v>
      </c>
      <c r="O11" s="3">
        <v>4</v>
      </c>
      <c r="P11" s="3"/>
      <c r="Q11" s="3"/>
      <c r="R11" s="3">
        <v>3</v>
      </c>
      <c r="S11" s="3"/>
      <c r="T11" s="3">
        <v>150</v>
      </c>
      <c r="U11" s="3"/>
      <c r="V11" s="3">
        <v>177</v>
      </c>
      <c r="W11" s="3">
        <v>7</v>
      </c>
      <c r="X11" s="3">
        <v>4</v>
      </c>
      <c r="Y11" s="3"/>
      <c r="Z11" s="3">
        <v>12</v>
      </c>
      <c r="AA11" s="3">
        <v>1</v>
      </c>
      <c r="AB11" s="3">
        <v>358</v>
      </c>
      <c r="AC11" s="3"/>
      <c r="AD11" s="3"/>
      <c r="AE11" s="3">
        <v>761</v>
      </c>
    </row>
    <row r="12" spans="1:31" x14ac:dyDescent="0.2">
      <c r="A12" s="2" t="s">
        <v>5554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">
      <c r="A13" s="2" t="s">
        <v>5494</v>
      </c>
      <c r="B13" s="3">
        <v>92</v>
      </c>
      <c r="C13" s="3">
        <v>25</v>
      </c>
      <c r="D13" s="3">
        <v>12</v>
      </c>
      <c r="E13" s="3">
        <v>20</v>
      </c>
      <c r="F13" s="3">
        <v>2</v>
      </c>
      <c r="G13" s="3">
        <v>3854</v>
      </c>
      <c r="H13" s="3">
        <v>20</v>
      </c>
      <c r="I13" s="3">
        <v>1574</v>
      </c>
      <c r="J13" s="3">
        <v>138</v>
      </c>
      <c r="K13" s="3">
        <v>45</v>
      </c>
      <c r="L13" s="3">
        <v>932</v>
      </c>
      <c r="M13" s="3">
        <v>20</v>
      </c>
      <c r="N13" s="3">
        <v>6734</v>
      </c>
      <c r="O13" s="3">
        <v>44</v>
      </c>
      <c r="P13" s="3">
        <v>6</v>
      </c>
      <c r="Q13" s="3">
        <v>3</v>
      </c>
      <c r="R13" s="3">
        <v>11</v>
      </c>
      <c r="S13" s="3">
        <v>1</v>
      </c>
      <c r="T13" s="3">
        <v>3053</v>
      </c>
      <c r="U13" s="3">
        <v>31</v>
      </c>
      <c r="V13" s="3">
        <v>2338</v>
      </c>
      <c r="W13" s="3">
        <v>718</v>
      </c>
      <c r="X13" s="3">
        <v>149</v>
      </c>
      <c r="Y13" s="3">
        <v>2</v>
      </c>
      <c r="Z13" s="3">
        <v>228</v>
      </c>
      <c r="AA13" s="3">
        <v>9</v>
      </c>
      <c r="AB13" s="3">
        <v>6593</v>
      </c>
      <c r="AC13" s="3"/>
      <c r="AD13" s="3"/>
      <c r="AE13" s="3">
        <v>13327</v>
      </c>
    </row>
    <row r="22" spans="1:10" x14ac:dyDescent="0.2">
      <c r="B22" t="s">
        <v>5559</v>
      </c>
      <c r="G22" t="s">
        <v>5560</v>
      </c>
    </row>
    <row r="23" spans="1:10" x14ac:dyDescent="0.2">
      <c r="A23" s="4" t="s">
        <v>5493</v>
      </c>
      <c r="B23" s="4" t="s">
        <v>5543</v>
      </c>
      <c r="C23" s="4" t="s">
        <v>5541</v>
      </c>
      <c r="D23" s="4" t="s">
        <v>5542</v>
      </c>
      <c r="E23" s="6" t="s">
        <v>5561</v>
      </c>
      <c r="G23" s="4" t="s">
        <v>5543</v>
      </c>
      <c r="H23" s="4" t="s">
        <v>5541</v>
      </c>
      <c r="I23" s="4" t="s">
        <v>5542</v>
      </c>
      <c r="J23" s="6" t="s">
        <v>5561</v>
      </c>
    </row>
    <row r="24" spans="1:10" x14ac:dyDescent="0.2">
      <c r="A24" s="2" t="s">
        <v>5466</v>
      </c>
      <c r="B24" s="3">
        <v>1884</v>
      </c>
      <c r="C24" s="3">
        <v>620</v>
      </c>
      <c r="D24" s="3">
        <v>112</v>
      </c>
      <c r="E24">
        <f>B24+D24</f>
        <v>1996</v>
      </c>
      <c r="G24" s="3">
        <v>1761</v>
      </c>
      <c r="H24" s="3">
        <v>948</v>
      </c>
      <c r="I24" s="3">
        <v>622</v>
      </c>
      <c r="J24">
        <f>G24+I24</f>
        <v>2383</v>
      </c>
    </row>
    <row r="25" spans="1:10" x14ac:dyDescent="0.2">
      <c r="A25" s="2" t="s">
        <v>5553</v>
      </c>
      <c r="B25" s="3">
        <v>507</v>
      </c>
      <c r="C25" s="3">
        <v>387</v>
      </c>
      <c r="D25" s="3">
        <v>13</v>
      </c>
      <c r="E25">
        <f t="shared" ref="E25:E29" si="0">B25+D25</f>
        <v>520</v>
      </c>
      <c r="G25" s="3">
        <v>338</v>
      </c>
      <c r="H25" s="3">
        <v>427</v>
      </c>
      <c r="I25" s="3">
        <v>49</v>
      </c>
      <c r="J25">
        <f t="shared" ref="J25:J29" si="1">G25+I25</f>
        <v>387</v>
      </c>
    </row>
    <row r="26" spans="1:10" x14ac:dyDescent="0.2">
      <c r="A26" s="2" t="s">
        <v>5477</v>
      </c>
      <c r="B26" s="3">
        <v>711</v>
      </c>
      <c r="C26" s="3">
        <v>183</v>
      </c>
      <c r="D26" s="3">
        <v>3</v>
      </c>
      <c r="E26">
        <f t="shared" si="0"/>
        <v>714</v>
      </c>
      <c r="G26" s="3">
        <v>520</v>
      </c>
      <c r="H26" s="3">
        <v>363</v>
      </c>
      <c r="I26" s="3">
        <v>9</v>
      </c>
      <c r="J26">
        <f t="shared" si="1"/>
        <v>529</v>
      </c>
    </row>
    <row r="27" spans="1:10" x14ac:dyDescent="0.2">
      <c r="A27" s="2" t="s">
        <v>5478</v>
      </c>
      <c r="B27" s="3">
        <v>376</v>
      </c>
      <c r="C27" s="3">
        <v>192</v>
      </c>
      <c r="D27" s="3">
        <v>5</v>
      </c>
      <c r="E27">
        <f t="shared" si="0"/>
        <v>381</v>
      </c>
      <c r="G27" s="3">
        <v>217</v>
      </c>
      <c r="H27" s="3">
        <v>300</v>
      </c>
      <c r="I27" s="3">
        <v>19</v>
      </c>
      <c r="J27">
        <f t="shared" si="1"/>
        <v>236</v>
      </c>
    </row>
    <row r="28" spans="1:10" x14ac:dyDescent="0.2">
      <c r="A28" s="2" t="s">
        <v>5491</v>
      </c>
      <c r="B28" s="3">
        <v>168</v>
      </c>
      <c r="C28" s="3">
        <v>84</v>
      </c>
      <c r="D28" s="3">
        <v>1</v>
      </c>
      <c r="E28">
        <f t="shared" si="0"/>
        <v>169</v>
      </c>
      <c r="G28" s="3">
        <v>67</v>
      </c>
      <c r="H28" s="3">
        <v>123</v>
      </c>
      <c r="I28" s="3">
        <v>12</v>
      </c>
      <c r="J28">
        <f t="shared" si="1"/>
        <v>79</v>
      </c>
    </row>
    <row r="29" spans="1:10" x14ac:dyDescent="0.2">
      <c r="A29" s="2" t="s">
        <v>5492</v>
      </c>
      <c r="B29" s="3">
        <v>208</v>
      </c>
      <c r="C29" s="3">
        <v>108</v>
      </c>
      <c r="D29" s="3">
        <v>4</v>
      </c>
      <c r="E29">
        <f t="shared" si="0"/>
        <v>212</v>
      </c>
      <c r="G29" s="3">
        <v>150</v>
      </c>
      <c r="H29" s="3">
        <v>177</v>
      </c>
      <c r="I29" s="3">
        <v>7</v>
      </c>
      <c r="J29">
        <f t="shared" si="1"/>
        <v>157</v>
      </c>
    </row>
    <row r="31" spans="1:10" x14ac:dyDescent="0.2">
      <c r="B31" t="s">
        <v>5559</v>
      </c>
      <c r="G31" t="s">
        <v>5560</v>
      </c>
    </row>
    <row r="32" spans="1:10" x14ac:dyDescent="0.2">
      <c r="B32" s="2" t="s">
        <v>5466</v>
      </c>
      <c r="C32">
        <f>C24/2616*100</f>
        <v>23.700305810397555</v>
      </c>
      <c r="E32">
        <f>E24/2616*100</f>
        <v>76.299694189602448</v>
      </c>
      <c r="G32" s="2" t="s">
        <v>5466</v>
      </c>
      <c r="H32">
        <f>H24/3331*100</f>
        <v>28.459921945361756</v>
      </c>
      <c r="J32">
        <f>J24/3331*100</f>
        <v>71.540078054638244</v>
      </c>
    </row>
    <row r="33" spans="1:10" x14ac:dyDescent="0.2">
      <c r="B33" s="2" t="s">
        <v>5553</v>
      </c>
      <c r="C33">
        <f>C25/907*100</f>
        <v>42.668136714443214</v>
      </c>
      <c r="E33">
        <f>E25/907*100</f>
        <v>57.331863285556786</v>
      </c>
      <c r="G33" s="2" t="s">
        <v>5553</v>
      </c>
      <c r="H33">
        <f>H25/814*100</f>
        <v>52.457002457002453</v>
      </c>
      <c r="J33">
        <f>J25/814*100</f>
        <v>47.542997542997547</v>
      </c>
    </row>
    <row r="34" spans="1:10" x14ac:dyDescent="0.2">
      <c r="B34" s="2" t="s">
        <v>5477</v>
      </c>
      <c r="C34">
        <f>C26/897*100</f>
        <v>20.401337792642142</v>
      </c>
      <c r="E34">
        <f>E26/897*100</f>
        <v>79.598662207357862</v>
      </c>
      <c r="G34" s="2" t="s">
        <v>5477</v>
      </c>
      <c r="H34">
        <f>H26/892*100</f>
        <v>40.695067264573993</v>
      </c>
      <c r="J34">
        <f>J26/892*100</f>
        <v>59.304932735426007</v>
      </c>
    </row>
    <row r="35" spans="1:10" x14ac:dyDescent="0.2">
      <c r="B35" s="2" t="s">
        <v>5478</v>
      </c>
      <c r="C35">
        <f>C27/573*100</f>
        <v>33.507853403141361</v>
      </c>
      <c r="E35">
        <f>E27/573*100</f>
        <v>66.492146596858632</v>
      </c>
      <c r="G35" s="2" t="s">
        <v>5478</v>
      </c>
      <c r="H35">
        <f>H27/536*100</f>
        <v>55.970149253731336</v>
      </c>
      <c r="J35">
        <f>J27/536*100</f>
        <v>44.029850746268657</v>
      </c>
    </row>
    <row r="36" spans="1:10" x14ac:dyDescent="0.2">
      <c r="B36" s="2" t="s">
        <v>5491</v>
      </c>
      <c r="C36">
        <f>C28/253*100</f>
        <v>33.201581027667984</v>
      </c>
      <c r="E36">
        <f>E28/253*100</f>
        <v>66.798418972332016</v>
      </c>
      <c r="G36" s="2" t="s">
        <v>5491</v>
      </c>
      <c r="H36">
        <f>H28/202*100</f>
        <v>60.89108910891089</v>
      </c>
      <c r="J36">
        <f>J28/202*100</f>
        <v>39.10891089108911</v>
      </c>
    </row>
    <row r="37" spans="1:10" x14ac:dyDescent="0.2">
      <c r="B37" s="2" t="s">
        <v>5492</v>
      </c>
      <c r="C37">
        <f>C29/320*100</f>
        <v>33.75</v>
      </c>
      <c r="E37">
        <f>E29/320*100</f>
        <v>66.25</v>
      </c>
      <c r="G37" s="2" t="s">
        <v>5492</v>
      </c>
      <c r="H37">
        <f>H29/334*100</f>
        <v>52.994011976047908</v>
      </c>
      <c r="J37">
        <f>J29/334*100</f>
        <v>47.005988023952092</v>
      </c>
    </row>
    <row r="44" spans="1:10" x14ac:dyDescent="0.2">
      <c r="A44" t="s">
        <v>5559</v>
      </c>
      <c r="B44" t="s">
        <v>5541</v>
      </c>
      <c r="C44" t="s">
        <v>5543</v>
      </c>
      <c r="F44" t="s">
        <v>5560</v>
      </c>
      <c r="G44" t="s">
        <v>5541</v>
      </c>
      <c r="H44" t="s">
        <v>5543</v>
      </c>
    </row>
    <row r="45" spans="1:10" x14ac:dyDescent="0.2">
      <c r="A45" t="s">
        <v>5447</v>
      </c>
      <c r="B45">
        <v>20.401337792642142</v>
      </c>
      <c r="C45">
        <v>79.598662207357862</v>
      </c>
      <c r="F45" t="s">
        <v>5448</v>
      </c>
      <c r="G45">
        <v>28.459921945361756</v>
      </c>
      <c r="H45">
        <v>71.540078054638244</v>
      </c>
    </row>
    <row r="46" spans="1:10" x14ac:dyDescent="0.2">
      <c r="A46" t="s">
        <v>5448</v>
      </c>
      <c r="B46">
        <v>23.700305810397555</v>
      </c>
      <c r="C46">
        <v>76.299694189602448</v>
      </c>
      <c r="F46" t="s">
        <v>5447</v>
      </c>
      <c r="G46">
        <v>40.695067264573993</v>
      </c>
      <c r="H46">
        <v>59.304932735426007</v>
      </c>
    </row>
    <row r="47" spans="1:10" x14ac:dyDescent="0.2">
      <c r="A47" t="s">
        <v>5444</v>
      </c>
      <c r="B47">
        <v>33.201581027667984</v>
      </c>
      <c r="C47">
        <v>66.798418972332016</v>
      </c>
      <c r="F47" t="s">
        <v>5443</v>
      </c>
      <c r="G47">
        <v>52.457002457002453</v>
      </c>
      <c r="H47">
        <v>47.542997542997547</v>
      </c>
    </row>
    <row r="48" spans="1:10" x14ac:dyDescent="0.2">
      <c r="A48" t="s">
        <v>5445</v>
      </c>
      <c r="B48">
        <v>33.507853403141361</v>
      </c>
      <c r="C48">
        <v>66.492146596858632</v>
      </c>
      <c r="F48" t="s">
        <v>5446</v>
      </c>
      <c r="G48">
        <v>52.994011976047908</v>
      </c>
      <c r="H48">
        <v>47.005988023952092</v>
      </c>
    </row>
    <row r="49" spans="1:8" x14ac:dyDescent="0.2">
      <c r="A49" t="s">
        <v>5446</v>
      </c>
      <c r="B49">
        <v>33.75</v>
      </c>
      <c r="C49">
        <v>66.25</v>
      </c>
      <c r="F49" t="s">
        <v>5444</v>
      </c>
      <c r="G49">
        <v>60.89108910891089</v>
      </c>
      <c r="H49">
        <v>39.10891089108911</v>
      </c>
    </row>
    <row r="50" spans="1:8" x14ac:dyDescent="0.2">
      <c r="A50" t="s">
        <v>5443</v>
      </c>
      <c r="B50">
        <v>42.668136714443214</v>
      </c>
      <c r="C50">
        <v>57.331863285556786</v>
      </c>
    </row>
    <row r="53" spans="1:8" x14ac:dyDescent="0.2">
      <c r="A53" t="s">
        <v>5559</v>
      </c>
      <c r="B53" t="s">
        <v>5541</v>
      </c>
      <c r="C53" t="s">
        <v>5543</v>
      </c>
      <c r="F53" t="s">
        <v>5560</v>
      </c>
      <c r="G53" t="s">
        <v>5541</v>
      </c>
      <c r="H53" t="s">
        <v>5543</v>
      </c>
    </row>
    <row r="54" spans="1:8" x14ac:dyDescent="0.2">
      <c r="A54" t="s">
        <v>5447</v>
      </c>
      <c r="B54">
        <f>ROUND(B45,2)</f>
        <v>20.399999999999999</v>
      </c>
      <c r="C54">
        <f t="shared" ref="C54:H54" si="2">ROUND(C45,2)</f>
        <v>79.599999999999994</v>
      </c>
      <c r="F54" t="s">
        <v>5448</v>
      </c>
      <c r="G54">
        <f t="shared" si="2"/>
        <v>28.46</v>
      </c>
      <c r="H54">
        <f t="shared" si="2"/>
        <v>71.540000000000006</v>
      </c>
    </row>
    <row r="55" spans="1:8" x14ac:dyDescent="0.2">
      <c r="A55" t="s">
        <v>5448</v>
      </c>
      <c r="B55">
        <f t="shared" ref="B55:H55" si="3">ROUND(B46,2)</f>
        <v>23.7</v>
      </c>
      <c r="C55">
        <f t="shared" si="3"/>
        <v>76.3</v>
      </c>
      <c r="F55" t="s">
        <v>5447</v>
      </c>
      <c r="G55">
        <f t="shared" si="3"/>
        <v>40.700000000000003</v>
      </c>
      <c r="H55">
        <f t="shared" si="3"/>
        <v>59.3</v>
      </c>
    </row>
    <row r="56" spans="1:8" x14ac:dyDescent="0.2">
      <c r="A56" t="s">
        <v>5444</v>
      </c>
      <c r="B56">
        <f t="shared" ref="B56:H56" si="4">ROUND(B47,2)</f>
        <v>33.200000000000003</v>
      </c>
      <c r="C56">
        <f t="shared" si="4"/>
        <v>66.8</v>
      </c>
      <c r="F56" t="s">
        <v>5443</v>
      </c>
      <c r="G56">
        <f t="shared" si="4"/>
        <v>52.46</v>
      </c>
      <c r="H56">
        <f t="shared" si="4"/>
        <v>47.54</v>
      </c>
    </row>
    <row r="57" spans="1:8" x14ac:dyDescent="0.2">
      <c r="A57" t="s">
        <v>5445</v>
      </c>
      <c r="B57">
        <f t="shared" ref="B57:H57" si="5">ROUND(B48,2)</f>
        <v>33.51</v>
      </c>
      <c r="C57">
        <f t="shared" si="5"/>
        <v>66.489999999999995</v>
      </c>
      <c r="F57" t="s">
        <v>5446</v>
      </c>
      <c r="G57">
        <f t="shared" si="5"/>
        <v>52.99</v>
      </c>
      <c r="H57">
        <f t="shared" si="5"/>
        <v>47.01</v>
      </c>
    </row>
    <row r="58" spans="1:8" x14ac:dyDescent="0.2">
      <c r="A58" t="s">
        <v>5446</v>
      </c>
      <c r="B58">
        <f t="shared" ref="B58:H58" si="6">ROUND(B49,2)</f>
        <v>33.75</v>
      </c>
      <c r="C58">
        <f t="shared" si="6"/>
        <v>66.25</v>
      </c>
      <c r="F58" t="s">
        <v>5444</v>
      </c>
      <c r="G58">
        <f t="shared" si="6"/>
        <v>60.89</v>
      </c>
      <c r="H58">
        <f t="shared" si="6"/>
        <v>39.11</v>
      </c>
    </row>
    <row r="59" spans="1:8" x14ac:dyDescent="0.2">
      <c r="A59" t="s">
        <v>5443</v>
      </c>
      <c r="B59">
        <f t="shared" ref="B59:H59" si="7">ROUND(B50,2)</f>
        <v>42.67</v>
      </c>
      <c r="C59">
        <f t="shared" si="7"/>
        <v>57.33</v>
      </c>
    </row>
  </sheetData>
  <sortState xmlns:xlrd2="http://schemas.microsoft.com/office/spreadsheetml/2017/richdata2" ref="A45:C50">
    <sortCondition ref="B45:B50"/>
  </sortState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E2E5-DE0B-0C49-B829-52E7C6416374}">
  <dimension ref="A1:H23"/>
  <sheetViews>
    <sheetView workbookViewId="0">
      <selection activeCell="C9" sqref="C9:H11"/>
    </sheetView>
  </sheetViews>
  <sheetFormatPr baseColWidth="10" defaultRowHeight="16" x14ac:dyDescent="0.2"/>
  <sheetData>
    <row r="1" spans="1:8" x14ac:dyDescent="0.2">
      <c r="A1" t="s">
        <v>5562</v>
      </c>
      <c r="C1" t="s">
        <v>5568</v>
      </c>
      <c r="D1" t="s">
        <v>5569</v>
      </c>
      <c r="E1" t="s">
        <v>5570</v>
      </c>
      <c r="F1" t="s">
        <v>5571</v>
      </c>
      <c r="G1" t="s">
        <v>5572</v>
      </c>
      <c r="H1" t="s">
        <v>5573</v>
      </c>
    </row>
    <row r="2" spans="1:8" x14ac:dyDescent="0.2">
      <c r="A2" t="s">
        <v>5563</v>
      </c>
      <c r="B2" t="s">
        <v>5564</v>
      </c>
    </row>
    <row r="3" spans="1:8" x14ac:dyDescent="0.2">
      <c r="A3" t="s">
        <v>5466</v>
      </c>
      <c r="B3" t="s">
        <v>5565</v>
      </c>
      <c r="C3">
        <v>2.4900000000000002</v>
      </c>
      <c r="D3">
        <v>20.94</v>
      </c>
      <c r="E3">
        <v>15.67</v>
      </c>
      <c r="F3">
        <v>18.010000000000002</v>
      </c>
      <c r="G3">
        <v>31.47</v>
      </c>
      <c r="H3">
        <v>11.42</v>
      </c>
    </row>
    <row r="4" spans="1:8" x14ac:dyDescent="0.2">
      <c r="B4" t="s">
        <v>5566</v>
      </c>
      <c r="C4">
        <v>2.68</v>
      </c>
      <c r="D4">
        <v>32.72</v>
      </c>
      <c r="E4">
        <v>8.36</v>
      </c>
      <c r="F4">
        <v>24.06</v>
      </c>
      <c r="G4">
        <v>8.4700000000000006</v>
      </c>
      <c r="H4">
        <v>23.71</v>
      </c>
    </row>
    <row r="5" spans="1:8" x14ac:dyDescent="0.2">
      <c r="B5" t="s">
        <v>5567</v>
      </c>
      <c r="C5">
        <v>2.52</v>
      </c>
      <c r="D5">
        <v>26.87</v>
      </c>
      <c r="E5">
        <v>7.57</v>
      </c>
      <c r="F5">
        <v>23.94</v>
      </c>
      <c r="G5">
        <v>11.9</v>
      </c>
      <c r="H5">
        <v>27.2</v>
      </c>
    </row>
    <row r="6" spans="1:8" x14ac:dyDescent="0.2">
      <c r="A6" t="s">
        <v>5475</v>
      </c>
      <c r="B6" t="s">
        <v>5565</v>
      </c>
      <c r="C6">
        <v>1.75</v>
      </c>
      <c r="D6">
        <v>8.82</v>
      </c>
      <c r="E6">
        <v>6.28</v>
      </c>
      <c r="F6">
        <v>16</v>
      </c>
      <c r="G6">
        <v>31.16</v>
      </c>
      <c r="H6">
        <v>35.99</v>
      </c>
    </row>
    <row r="7" spans="1:8" x14ac:dyDescent="0.2">
      <c r="B7" t="s">
        <v>5566</v>
      </c>
      <c r="C7">
        <v>1.61</v>
      </c>
      <c r="D7">
        <v>12.87</v>
      </c>
      <c r="E7">
        <v>3.68</v>
      </c>
      <c r="F7">
        <v>25.29</v>
      </c>
      <c r="G7">
        <v>9.43</v>
      </c>
      <c r="H7">
        <v>47.13</v>
      </c>
    </row>
    <row r="8" spans="1:8" x14ac:dyDescent="0.2">
      <c r="B8" t="s">
        <v>5567</v>
      </c>
      <c r="C8">
        <v>4.1500000000000004</v>
      </c>
      <c r="D8">
        <v>8.5500000000000007</v>
      </c>
      <c r="E8">
        <v>3.11</v>
      </c>
      <c r="F8">
        <v>16.32</v>
      </c>
      <c r="G8">
        <v>15.8</v>
      </c>
      <c r="H8">
        <v>52.07</v>
      </c>
    </row>
    <row r="9" spans="1:8" x14ac:dyDescent="0.2">
      <c r="A9" t="s">
        <v>5553</v>
      </c>
      <c r="B9" t="s">
        <v>5565</v>
      </c>
      <c r="C9">
        <v>2.58</v>
      </c>
      <c r="D9">
        <v>13.5</v>
      </c>
      <c r="E9">
        <v>8.24</v>
      </c>
      <c r="F9">
        <v>16.940000000000001</v>
      </c>
      <c r="G9">
        <v>25.98</v>
      </c>
      <c r="H9">
        <v>32.770000000000003</v>
      </c>
    </row>
    <row r="10" spans="1:8" x14ac:dyDescent="0.2">
      <c r="B10" t="s">
        <v>5566</v>
      </c>
      <c r="C10">
        <v>2.35</v>
      </c>
      <c r="D10">
        <v>18.27</v>
      </c>
      <c r="E10">
        <v>4.04</v>
      </c>
      <c r="F10">
        <v>23.43</v>
      </c>
      <c r="G10">
        <v>8.6300000000000008</v>
      </c>
      <c r="H10">
        <v>43.27</v>
      </c>
    </row>
    <row r="11" spans="1:8" x14ac:dyDescent="0.2">
      <c r="B11" t="s">
        <v>5567</v>
      </c>
      <c r="C11">
        <v>4.34</v>
      </c>
      <c r="D11">
        <v>12.91</v>
      </c>
      <c r="E11">
        <v>1.93</v>
      </c>
      <c r="F11">
        <v>19.54</v>
      </c>
      <c r="G11">
        <v>9.41</v>
      </c>
      <c r="H11">
        <v>51.87</v>
      </c>
    </row>
    <row r="12" spans="1:8" x14ac:dyDescent="0.2">
      <c r="A12" t="s">
        <v>5477</v>
      </c>
      <c r="B12" t="s">
        <v>5565</v>
      </c>
      <c r="C12">
        <v>0</v>
      </c>
      <c r="D12">
        <v>25.76</v>
      </c>
      <c r="E12">
        <v>13.24</v>
      </c>
      <c r="F12">
        <v>24.45</v>
      </c>
      <c r="G12">
        <v>20.7</v>
      </c>
      <c r="H12">
        <v>15.85</v>
      </c>
    </row>
    <row r="13" spans="1:8" x14ac:dyDescent="0.2">
      <c r="B13" t="s">
        <v>5566</v>
      </c>
      <c r="C13">
        <v>0</v>
      </c>
      <c r="D13">
        <v>36.119999999999997</v>
      </c>
      <c r="E13">
        <v>9.26</v>
      </c>
      <c r="F13">
        <v>27.54</v>
      </c>
      <c r="G13">
        <v>6.66</v>
      </c>
      <c r="H13">
        <v>20.43</v>
      </c>
    </row>
    <row r="14" spans="1:8" x14ac:dyDescent="0.2">
      <c r="B14" t="s">
        <v>5567</v>
      </c>
      <c r="C14">
        <v>0</v>
      </c>
      <c r="D14">
        <v>24.47</v>
      </c>
      <c r="E14">
        <v>2.69</v>
      </c>
      <c r="F14">
        <v>30.19</v>
      </c>
      <c r="G14">
        <v>1.91</v>
      </c>
      <c r="H14">
        <v>40.74</v>
      </c>
    </row>
    <row r="15" spans="1:8" x14ac:dyDescent="0.2">
      <c r="A15" t="s">
        <v>5478</v>
      </c>
      <c r="B15" t="s">
        <v>5565</v>
      </c>
      <c r="C15">
        <v>4.3499999999999996</v>
      </c>
      <c r="D15">
        <v>13.65</v>
      </c>
      <c r="E15">
        <v>6.26</v>
      </c>
      <c r="F15">
        <v>23.06</v>
      </c>
      <c r="G15">
        <v>22.53</v>
      </c>
      <c r="H15">
        <v>30.15</v>
      </c>
    </row>
    <row r="16" spans="1:8" x14ac:dyDescent="0.2">
      <c r="B16" t="s">
        <v>5566</v>
      </c>
      <c r="C16">
        <v>5.12</v>
      </c>
      <c r="D16">
        <v>16.64</v>
      </c>
      <c r="E16">
        <v>4.75</v>
      </c>
      <c r="F16">
        <v>29.07</v>
      </c>
      <c r="G16">
        <v>9.8699999999999992</v>
      </c>
      <c r="H16">
        <v>34.549999999999997</v>
      </c>
    </row>
    <row r="17" spans="1:8" x14ac:dyDescent="0.2">
      <c r="B17" t="s">
        <v>5567</v>
      </c>
      <c r="C17">
        <v>3.7</v>
      </c>
      <c r="D17">
        <v>8.82</v>
      </c>
      <c r="E17">
        <v>1.23</v>
      </c>
      <c r="F17">
        <v>26.28</v>
      </c>
      <c r="G17">
        <v>5.64</v>
      </c>
      <c r="H17">
        <v>54.32</v>
      </c>
    </row>
    <row r="18" spans="1:8" x14ac:dyDescent="0.2">
      <c r="A18" t="s">
        <v>5491</v>
      </c>
      <c r="B18" t="s">
        <v>5565</v>
      </c>
      <c r="C18">
        <v>4.29</v>
      </c>
      <c r="D18">
        <v>12.09</v>
      </c>
      <c r="E18">
        <v>6.63</v>
      </c>
      <c r="F18">
        <v>23.8</v>
      </c>
      <c r="G18">
        <v>22.24</v>
      </c>
      <c r="H18">
        <v>30.95</v>
      </c>
    </row>
    <row r="19" spans="1:8" x14ac:dyDescent="0.2">
      <c r="B19" t="s">
        <v>5566</v>
      </c>
      <c r="C19">
        <v>6.12</v>
      </c>
      <c r="D19">
        <v>17.14</v>
      </c>
      <c r="E19">
        <v>3.27</v>
      </c>
      <c r="F19">
        <v>30.2</v>
      </c>
      <c r="G19">
        <v>9.39</v>
      </c>
      <c r="H19">
        <v>33.880000000000003</v>
      </c>
    </row>
    <row r="20" spans="1:8" x14ac:dyDescent="0.2">
      <c r="B20" t="s">
        <v>5567</v>
      </c>
      <c r="C20">
        <v>2.78</v>
      </c>
      <c r="D20">
        <v>9.26</v>
      </c>
      <c r="E20">
        <v>1.39</v>
      </c>
      <c r="F20">
        <v>21.3</v>
      </c>
      <c r="G20">
        <v>6.94</v>
      </c>
      <c r="H20">
        <v>58.33</v>
      </c>
    </row>
    <row r="21" spans="1:8" x14ac:dyDescent="0.2">
      <c r="A21" t="s">
        <v>5492</v>
      </c>
      <c r="B21" t="s">
        <v>5565</v>
      </c>
      <c r="C21">
        <v>4.4000000000000004</v>
      </c>
      <c r="D21">
        <v>14.96</v>
      </c>
      <c r="E21">
        <v>5.94</v>
      </c>
      <c r="F21">
        <v>22.44</v>
      </c>
      <c r="G21">
        <v>22.77</v>
      </c>
      <c r="H21">
        <v>29.48</v>
      </c>
    </row>
    <row r="22" spans="1:8" x14ac:dyDescent="0.2">
      <c r="B22" t="s">
        <v>5566</v>
      </c>
      <c r="C22">
        <v>4.3</v>
      </c>
      <c r="D22">
        <v>16.23</v>
      </c>
      <c r="E22">
        <v>5.96</v>
      </c>
      <c r="F22">
        <v>28.15</v>
      </c>
      <c r="G22">
        <v>10.26</v>
      </c>
      <c r="H22">
        <v>35.1</v>
      </c>
    </row>
    <row r="23" spans="1:8" x14ac:dyDescent="0.2">
      <c r="B23" t="s">
        <v>5567</v>
      </c>
      <c r="C23">
        <v>4.2699999999999996</v>
      </c>
      <c r="D23">
        <v>8.5500000000000007</v>
      </c>
      <c r="E23">
        <v>1.1399999999999999</v>
      </c>
      <c r="F23">
        <v>29.34</v>
      </c>
      <c r="G23">
        <v>4.84</v>
      </c>
      <c r="H23">
        <v>51.85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6F9F-4318-F94E-9FCB-7057D86E8466}">
  <dimension ref="A1:G5"/>
  <sheetViews>
    <sheetView workbookViewId="0">
      <selection activeCell="I3" sqref="I3"/>
    </sheetView>
  </sheetViews>
  <sheetFormatPr baseColWidth="10" defaultRowHeight="16" x14ac:dyDescent="0.2"/>
  <sheetData>
    <row r="1" spans="1:7" x14ac:dyDescent="0.2">
      <c r="A1" t="s">
        <v>5526</v>
      </c>
      <c r="B1" t="s">
        <v>5575</v>
      </c>
      <c r="C1" t="s">
        <v>5574</v>
      </c>
      <c r="D1" t="s">
        <v>5576</v>
      </c>
      <c r="E1" t="s">
        <v>5575</v>
      </c>
      <c r="F1" t="s">
        <v>5574</v>
      </c>
      <c r="G1" t="s">
        <v>5576</v>
      </c>
    </row>
    <row r="2" spans="1:7" x14ac:dyDescent="0.2">
      <c r="A2" t="s">
        <v>5445</v>
      </c>
      <c r="B2">
        <v>119</v>
      </c>
      <c r="C2">
        <v>759</v>
      </c>
      <c r="D2">
        <v>468</v>
      </c>
      <c r="E2">
        <v>71</v>
      </c>
      <c r="F2">
        <v>14</v>
      </c>
      <c r="G2">
        <v>1</v>
      </c>
    </row>
    <row r="3" spans="1:7" x14ac:dyDescent="0.2">
      <c r="A3" t="s">
        <v>5443</v>
      </c>
      <c r="B3">
        <v>247</v>
      </c>
      <c r="C3">
        <v>1099</v>
      </c>
      <c r="D3">
        <v>780</v>
      </c>
      <c r="E3">
        <v>104</v>
      </c>
      <c r="F3">
        <v>40</v>
      </c>
      <c r="G3">
        <v>12</v>
      </c>
    </row>
    <row r="4" spans="1:7" x14ac:dyDescent="0.2">
      <c r="A4" t="s">
        <v>5447</v>
      </c>
      <c r="B4">
        <v>519</v>
      </c>
      <c r="C4">
        <v>1343</v>
      </c>
      <c r="D4">
        <v>1727</v>
      </c>
      <c r="E4">
        <v>122</v>
      </c>
      <c r="F4">
        <v>46</v>
      </c>
      <c r="G4">
        <v>13</v>
      </c>
    </row>
    <row r="5" spans="1:7" x14ac:dyDescent="0.2">
      <c r="A5" t="s">
        <v>5448</v>
      </c>
      <c r="B5">
        <v>2327</v>
      </c>
      <c r="C5">
        <v>5266</v>
      </c>
      <c r="D5">
        <v>6007</v>
      </c>
      <c r="E5">
        <v>352</v>
      </c>
      <c r="F5">
        <v>110</v>
      </c>
      <c r="G5">
        <v>34</v>
      </c>
    </row>
  </sheetData>
  <sortState xmlns:xlrd2="http://schemas.microsoft.com/office/spreadsheetml/2017/richdata2" ref="A2:G5">
    <sortCondition ref="B2:B5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FF4C-1E56-4F45-B506-ED0AD5AEE4C0}">
  <dimension ref="A3:O75"/>
  <sheetViews>
    <sheetView topLeftCell="A50" workbookViewId="0">
      <selection activeCell="J59" sqref="J59:O69"/>
    </sheetView>
  </sheetViews>
  <sheetFormatPr baseColWidth="10" defaultRowHeight="16" x14ac:dyDescent="0.2"/>
  <cols>
    <col min="1" max="1" width="17.1640625" bestFit="1" customWidth="1"/>
    <col min="2" max="3" width="12.1640625" bestFit="1" customWidth="1"/>
    <col min="4" max="5" width="11.83203125" bestFit="1" customWidth="1"/>
    <col min="6" max="6" width="13.5" bestFit="1" customWidth="1"/>
  </cols>
  <sheetData>
    <row r="3" spans="1:6" x14ac:dyDescent="0.2">
      <c r="A3" s="1" t="s">
        <v>5493</v>
      </c>
      <c r="B3" t="s">
        <v>5580</v>
      </c>
      <c r="C3" t="s">
        <v>5579</v>
      </c>
      <c r="D3" t="s">
        <v>5578</v>
      </c>
      <c r="E3" t="s">
        <v>5577</v>
      </c>
      <c r="F3" t="s">
        <v>5555</v>
      </c>
    </row>
    <row r="4" spans="1:6" x14ac:dyDescent="0.2">
      <c r="A4" s="2" t="s">
        <v>5543</v>
      </c>
      <c r="B4" s="3">
        <v>4037</v>
      </c>
      <c r="C4" s="3">
        <v>52</v>
      </c>
      <c r="D4" s="3">
        <v>1046</v>
      </c>
      <c r="E4" s="3">
        <v>2145</v>
      </c>
      <c r="F4" s="3">
        <v>7280</v>
      </c>
    </row>
    <row r="5" spans="1:6" x14ac:dyDescent="0.2">
      <c r="A5" s="5" t="s">
        <v>5466</v>
      </c>
      <c r="B5" s="3">
        <v>1870</v>
      </c>
      <c r="C5" s="3">
        <v>14</v>
      </c>
      <c r="D5" s="3">
        <v>478</v>
      </c>
      <c r="E5" s="3">
        <v>1283</v>
      </c>
      <c r="F5" s="3">
        <v>3645</v>
      </c>
    </row>
    <row r="6" spans="1:6" x14ac:dyDescent="0.2">
      <c r="A6" s="5" t="s">
        <v>5475</v>
      </c>
      <c r="B6" s="3">
        <v>228</v>
      </c>
      <c r="C6" s="3">
        <v>7</v>
      </c>
      <c r="D6" s="3">
        <v>88</v>
      </c>
      <c r="E6" s="3">
        <v>50</v>
      </c>
      <c r="F6" s="3">
        <v>373</v>
      </c>
    </row>
    <row r="7" spans="1:6" x14ac:dyDescent="0.2">
      <c r="A7" s="5" t="s">
        <v>5553</v>
      </c>
      <c r="B7" s="3">
        <v>497</v>
      </c>
      <c r="C7" s="3">
        <v>10</v>
      </c>
      <c r="D7" s="3">
        <v>190</v>
      </c>
      <c r="E7" s="3">
        <v>148</v>
      </c>
      <c r="F7" s="3">
        <v>845</v>
      </c>
    </row>
    <row r="8" spans="1:6" x14ac:dyDescent="0.2">
      <c r="A8" s="5" t="s">
        <v>5477</v>
      </c>
      <c r="B8" s="3">
        <v>706</v>
      </c>
      <c r="C8" s="3">
        <v>5</v>
      </c>
      <c r="D8" s="3">
        <v>174</v>
      </c>
      <c r="E8" s="3">
        <v>346</v>
      </c>
      <c r="F8" s="3">
        <v>1231</v>
      </c>
    </row>
    <row r="9" spans="1:6" x14ac:dyDescent="0.2">
      <c r="A9" s="5" t="s">
        <v>5478</v>
      </c>
      <c r="B9" s="3">
        <v>368</v>
      </c>
      <c r="C9" s="3">
        <v>8</v>
      </c>
      <c r="D9" s="3">
        <v>58</v>
      </c>
      <c r="E9" s="3">
        <v>159</v>
      </c>
      <c r="F9" s="3">
        <v>593</v>
      </c>
    </row>
    <row r="10" spans="1:6" x14ac:dyDescent="0.2">
      <c r="A10" s="5" t="s">
        <v>5491</v>
      </c>
      <c r="B10" s="3">
        <v>163</v>
      </c>
      <c r="C10" s="3">
        <v>5</v>
      </c>
      <c r="D10" s="3">
        <v>24</v>
      </c>
      <c r="E10" s="3">
        <v>43</v>
      </c>
      <c r="F10" s="3">
        <v>235</v>
      </c>
    </row>
    <row r="11" spans="1:6" x14ac:dyDescent="0.2">
      <c r="A11" s="5" t="s">
        <v>5492</v>
      </c>
      <c r="B11" s="3">
        <v>205</v>
      </c>
      <c r="C11" s="3">
        <v>3</v>
      </c>
      <c r="D11" s="3">
        <v>34</v>
      </c>
      <c r="E11" s="3">
        <v>116</v>
      </c>
      <c r="F11" s="3">
        <v>358</v>
      </c>
    </row>
    <row r="12" spans="1:6" x14ac:dyDescent="0.2">
      <c r="A12" s="2" t="s">
        <v>5541</v>
      </c>
      <c r="B12" s="3">
        <v>580</v>
      </c>
      <c r="C12" s="3">
        <v>1199</v>
      </c>
      <c r="D12" s="3">
        <v>221</v>
      </c>
      <c r="E12" s="3">
        <v>2316</v>
      </c>
      <c r="F12" s="3">
        <v>4316</v>
      </c>
    </row>
    <row r="13" spans="1:6" x14ac:dyDescent="0.2">
      <c r="A13" s="5" t="s">
        <v>5466</v>
      </c>
      <c r="B13" s="3">
        <v>229</v>
      </c>
      <c r="C13" s="3">
        <v>391</v>
      </c>
      <c r="D13" s="3">
        <v>71</v>
      </c>
      <c r="E13" s="3">
        <v>877</v>
      </c>
      <c r="F13" s="3">
        <v>1568</v>
      </c>
    </row>
    <row r="14" spans="1:6" x14ac:dyDescent="0.2">
      <c r="A14" s="5" t="s">
        <v>5475</v>
      </c>
      <c r="B14" s="3">
        <v>51</v>
      </c>
      <c r="C14" s="3">
        <v>154</v>
      </c>
      <c r="D14" s="3">
        <v>40</v>
      </c>
      <c r="E14" s="3">
        <v>159</v>
      </c>
      <c r="F14" s="3">
        <v>404</v>
      </c>
    </row>
    <row r="15" spans="1:6" x14ac:dyDescent="0.2">
      <c r="A15" s="5" t="s">
        <v>5553</v>
      </c>
      <c r="B15" s="3">
        <v>101</v>
      </c>
      <c r="C15" s="3">
        <v>286</v>
      </c>
      <c r="D15" s="3">
        <v>78</v>
      </c>
      <c r="E15" s="3">
        <v>349</v>
      </c>
      <c r="F15" s="3">
        <v>814</v>
      </c>
    </row>
    <row r="16" spans="1:6" x14ac:dyDescent="0.2">
      <c r="A16" s="5" t="s">
        <v>5477</v>
      </c>
      <c r="B16" s="3">
        <v>63</v>
      </c>
      <c r="C16" s="3">
        <v>120</v>
      </c>
      <c r="D16" s="3">
        <v>8</v>
      </c>
      <c r="E16" s="3">
        <v>355</v>
      </c>
      <c r="F16" s="3">
        <v>546</v>
      </c>
    </row>
    <row r="17" spans="1:6" x14ac:dyDescent="0.2">
      <c r="A17" s="5" t="s">
        <v>5478</v>
      </c>
      <c r="B17" s="3">
        <v>68</v>
      </c>
      <c r="C17" s="3">
        <v>124</v>
      </c>
      <c r="D17" s="3">
        <v>12</v>
      </c>
      <c r="E17" s="3">
        <v>288</v>
      </c>
      <c r="F17" s="3">
        <v>492</v>
      </c>
    </row>
    <row r="18" spans="1:6" x14ac:dyDescent="0.2">
      <c r="A18" s="5" t="s">
        <v>5491</v>
      </c>
      <c r="B18" s="3">
        <v>24</v>
      </c>
      <c r="C18" s="3">
        <v>60</v>
      </c>
      <c r="D18" s="3">
        <v>2</v>
      </c>
      <c r="E18" s="3">
        <v>121</v>
      </c>
      <c r="F18" s="3">
        <v>207</v>
      </c>
    </row>
    <row r="19" spans="1:6" x14ac:dyDescent="0.2">
      <c r="A19" s="5" t="s">
        <v>5492</v>
      </c>
      <c r="B19" s="3">
        <v>44</v>
      </c>
      <c r="C19" s="3">
        <v>64</v>
      </c>
      <c r="D19" s="3">
        <v>10</v>
      </c>
      <c r="E19" s="3">
        <v>167</v>
      </c>
      <c r="F19" s="3">
        <v>285</v>
      </c>
    </row>
    <row r="20" spans="1:6" x14ac:dyDescent="0.2">
      <c r="A20" s="2" t="s">
        <v>5494</v>
      </c>
      <c r="B20" s="3">
        <v>4617</v>
      </c>
      <c r="C20" s="3">
        <v>1251</v>
      </c>
      <c r="D20" s="3">
        <v>1267</v>
      </c>
      <c r="E20" s="3">
        <v>4461</v>
      </c>
      <c r="F20" s="3">
        <v>11596</v>
      </c>
    </row>
    <row r="41" spans="1:7" x14ac:dyDescent="0.2">
      <c r="A41" s="4" t="s">
        <v>5493</v>
      </c>
      <c r="B41" s="4" t="s">
        <v>5580</v>
      </c>
      <c r="C41" s="4" t="s">
        <v>5579</v>
      </c>
      <c r="E41" s="4" t="s">
        <v>5578</v>
      </c>
      <c r="F41" s="4" t="s">
        <v>5577</v>
      </c>
    </row>
    <row r="42" spans="1:7" x14ac:dyDescent="0.2">
      <c r="A42" s="7" t="s">
        <v>5543</v>
      </c>
      <c r="B42" s="8">
        <v>4037</v>
      </c>
      <c r="C42" s="8">
        <v>52</v>
      </c>
      <c r="D42">
        <f>B42+C42</f>
        <v>4089</v>
      </c>
      <c r="E42" s="8">
        <v>1046</v>
      </c>
      <c r="F42" s="8">
        <v>2145</v>
      </c>
      <c r="G42">
        <f>E42+F42</f>
        <v>3191</v>
      </c>
    </row>
    <row r="43" spans="1:7" x14ac:dyDescent="0.2">
      <c r="A43" s="5" t="s">
        <v>5466</v>
      </c>
      <c r="B43" s="3">
        <v>1870</v>
      </c>
      <c r="C43" s="3">
        <v>14</v>
      </c>
      <c r="D43">
        <f t="shared" ref="D43:D57" si="0">B43+C43</f>
        <v>1884</v>
      </c>
      <c r="E43" s="3">
        <v>478</v>
      </c>
      <c r="F43" s="3">
        <v>1283</v>
      </c>
      <c r="G43">
        <f t="shared" ref="G43:G57" si="1">E43+F43</f>
        <v>1761</v>
      </c>
    </row>
    <row r="44" spans="1:7" x14ac:dyDescent="0.2">
      <c r="A44" s="5" t="s">
        <v>5475</v>
      </c>
      <c r="B44" s="3">
        <v>228</v>
      </c>
      <c r="C44" s="3">
        <v>7</v>
      </c>
      <c r="D44">
        <f t="shared" si="0"/>
        <v>235</v>
      </c>
      <c r="E44" s="3">
        <v>88</v>
      </c>
      <c r="F44" s="3">
        <v>50</v>
      </c>
      <c r="G44">
        <f t="shared" si="1"/>
        <v>138</v>
      </c>
    </row>
    <row r="45" spans="1:7" x14ac:dyDescent="0.2">
      <c r="A45" s="5" t="s">
        <v>5553</v>
      </c>
      <c r="B45" s="3">
        <v>497</v>
      </c>
      <c r="C45" s="3">
        <v>10</v>
      </c>
      <c r="D45">
        <f t="shared" si="0"/>
        <v>507</v>
      </c>
      <c r="E45" s="3">
        <v>190</v>
      </c>
      <c r="F45" s="3">
        <v>148</v>
      </c>
      <c r="G45">
        <f t="shared" si="1"/>
        <v>338</v>
      </c>
    </row>
    <row r="46" spans="1:7" x14ac:dyDescent="0.2">
      <c r="A46" s="5" t="s">
        <v>5477</v>
      </c>
      <c r="B46" s="3">
        <v>706</v>
      </c>
      <c r="C46" s="3">
        <v>5</v>
      </c>
      <c r="D46">
        <f t="shared" si="0"/>
        <v>711</v>
      </c>
      <c r="E46" s="3">
        <v>174</v>
      </c>
      <c r="F46" s="3">
        <v>346</v>
      </c>
      <c r="G46">
        <f t="shared" si="1"/>
        <v>520</v>
      </c>
    </row>
    <row r="47" spans="1:7" x14ac:dyDescent="0.2">
      <c r="A47" s="5" t="s">
        <v>5478</v>
      </c>
      <c r="B47" s="3">
        <v>368</v>
      </c>
      <c r="C47" s="3">
        <v>8</v>
      </c>
      <c r="D47">
        <f t="shared" si="0"/>
        <v>376</v>
      </c>
      <c r="E47" s="3">
        <v>58</v>
      </c>
      <c r="F47" s="3">
        <v>159</v>
      </c>
      <c r="G47">
        <f t="shared" si="1"/>
        <v>217</v>
      </c>
    </row>
    <row r="48" spans="1:7" x14ac:dyDescent="0.2">
      <c r="A48" s="5" t="s">
        <v>5491</v>
      </c>
      <c r="B48" s="3">
        <v>163</v>
      </c>
      <c r="C48" s="3">
        <v>5</v>
      </c>
      <c r="D48">
        <f t="shared" si="0"/>
        <v>168</v>
      </c>
      <c r="E48" s="3">
        <v>24</v>
      </c>
      <c r="F48" s="3">
        <v>43</v>
      </c>
      <c r="G48">
        <f t="shared" si="1"/>
        <v>67</v>
      </c>
    </row>
    <row r="49" spans="1:15" x14ac:dyDescent="0.2">
      <c r="A49" s="5" t="s">
        <v>5492</v>
      </c>
      <c r="B49" s="3">
        <v>205</v>
      </c>
      <c r="C49" s="3">
        <v>3</v>
      </c>
      <c r="D49">
        <f t="shared" si="0"/>
        <v>208</v>
      </c>
      <c r="E49" s="3">
        <v>34</v>
      </c>
      <c r="F49" s="3">
        <v>116</v>
      </c>
      <c r="G49">
        <f t="shared" si="1"/>
        <v>150</v>
      </c>
    </row>
    <row r="50" spans="1:15" x14ac:dyDescent="0.2">
      <c r="A50" s="7" t="s">
        <v>5541</v>
      </c>
      <c r="B50" s="8">
        <v>580</v>
      </c>
      <c r="C50" s="8">
        <v>1199</v>
      </c>
      <c r="D50">
        <f t="shared" si="0"/>
        <v>1779</v>
      </c>
      <c r="E50" s="8">
        <v>221</v>
      </c>
      <c r="F50" s="8">
        <v>2316</v>
      </c>
      <c r="G50">
        <f t="shared" si="1"/>
        <v>2537</v>
      </c>
    </row>
    <row r="51" spans="1:15" x14ac:dyDescent="0.2">
      <c r="A51" s="5" t="s">
        <v>5466</v>
      </c>
      <c r="B51" s="3">
        <v>229</v>
      </c>
      <c r="C51" s="3">
        <v>391</v>
      </c>
      <c r="D51">
        <f t="shared" si="0"/>
        <v>620</v>
      </c>
      <c r="E51" s="3">
        <v>71</v>
      </c>
      <c r="F51" s="3">
        <v>877</v>
      </c>
      <c r="G51">
        <f t="shared" si="1"/>
        <v>948</v>
      </c>
    </row>
    <row r="52" spans="1:15" x14ac:dyDescent="0.2">
      <c r="A52" s="5" t="s">
        <v>5475</v>
      </c>
      <c r="B52" s="3">
        <v>51</v>
      </c>
      <c r="C52" s="3">
        <v>154</v>
      </c>
      <c r="D52">
        <f t="shared" si="0"/>
        <v>205</v>
      </c>
      <c r="E52" s="3">
        <v>40</v>
      </c>
      <c r="F52" s="3">
        <v>159</v>
      </c>
      <c r="G52">
        <f t="shared" si="1"/>
        <v>199</v>
      </c>
    </row>
    <row r="53" spans="1:15" x14ac:dyDescent="0.2">
      <c r="A53" s="5" t="s">
        <v>5553</v>
      </c>
      <c r="B53" s="3">
        <v>101</v>
      </c>
      <c r="C53" s="3">
        <v>286</v>
      </c>
      <c r="D53">
        <f t="shared" si="0"/>
        <v>387</v>
      </c>
      <c r="E53" s="3">
        <v>78</v>
      </c>
      <c r="F53" s="3">
        <v>349</v>
      </c>
      <c r="G53">
        <f t="shared" si="1"/>
        <v>427</v>
      </c>
    </row>
    <row r="54" spans="1:15" x14ac:dyDescent="0.2">
      <c r="A54" s="5" t="s">
        <v>5477</v>
      </c>
      <c r="B54" s="3">
        <v>63</v>
      </c>
      <c r="C54" s="3">
        <v>120</v>
      </c>
      <c r="D54">
        <f t="shared" si="0"/>
        <v>183</v>
      </c>
      <c r="E54" s="3">
        <v>8</v>
      </c>
      <c r="F54" s="3">
        <v>355</v>
      </c>
      <c r="G54">
        <f t="shared" si="1"/>
        <v>363</v>
      </c>
    </row>
    <row r="55" spans="1:15" x14ac:dyDescent="0.2">
      <c r="A55" s="5" t="s">
        <v>5478</v>
      </c>
      <c r="B55" s="3">
        <v>68</v>
      </c>
      <c r="C55" s="3">
        <v>124</v>
      </c>
      <c r="D55">
        <f t="shared" si="0"/>
        <v>192</v>
      </c>
      <c r="E55" s="3">
        <v>12</v>
      </c>
      <c r="F55" s="3">
        <v>288</v>
      </c>
      <c r="G55">
        <f t="shared" si="1"/>
        <v>300</v>
      </c>
    </row>
    <row r="56" spans="1:15" x14ac:dyDescent="0.2">
      <c r="A56" s="5" t="s">
        <v>5491</v>
      </c>
      <c r="B56" s="3">
        <v>24</v>
      </c>
      <c r="C56" s="3">
        <v>60</v>
      </c>
      <c r="D56">
        <f t="shared" si="0"/>
        <v>84</v>
      </c>
      <c r="E56" s="3">
        <v>2</v>
      </c>
      <c r="F56" s="3">
        <v>121</v>
      </c>
      <c r="G56">
        <f t="shared" si="1"/>
        <v>123</v>
      </c>
    </row>
    <row r="57" spans="1:15" x14ac:dyDescent="0.2">
      <c r="A57" s="5" t="s">
        <v>5492</v>
      </c>
      <c r="B57" s="3">
        <v>44</v>
      </c>
      <c r="C57" s="3">
        <v>64</v>
      </c>
      <c r="D57">
        <f t="shared" si="0"/>
        <v>108</v>
      </c>
      <c r="E57" s="3">
        <v>10</v>
      </c>
      <c r="F57" s="3">
        <v>167</v>
      </c>
      <c r="G57">
        <f t="shared" si="1"/>
        <v>177</v>
      </c>
    </row>
    <row r="59" spans="1:15" ht="17" thickBot="1" x14ac:dyDescent="0.25">
      <c r="A59" s="4" t="s">
        <v>5493</v>
      </c>
      <c r="B59" s="4" t="s">
        <v>5580</v>
      </c>
      <c r="C59" s="4" t="s">
        <v>5579</v>
      </c>
      <c r="E59" s="4" t="s">
        <v>5578</v>
      </c>
      <c r="F59" s="4" t="s">
        <v>5577</v>
      </c>
      <c r="J59" s="9"/>
      <c r="K59" s="9"/>
      <c r="L59" s="10" t="s">
        <v>5536</v>
      </c>
      <c r="M59" s="10" t="s">
        <v>5537</v>
      </c>
      <c r="N59" s="10" t="s">
        <v>5539</v>
      </c>
      <c r="O59" s="10" t="s">
        <v>5538</v>
      </c>
    </row>
    <row r="60" spans="1:15" x14ac:dyDescent="0.2">
      <c r="A60" s="7" t="s">
        <v>5543</v>
      </c>
      <c r="B60" s="8">
        <v>4037</v>
      </c>
      <c r="C60" s="8">
        <v>52</v>
      </c>
      <c r="E60" s="8">
        <v>1046</v>
      </c>
      <c r="F60" s="8">
        <v>2145</v>
      </c>
      <c r="J60" s="18" t="s">
        <v>5443</v>
      </c>
      <c r="K60" s="12" t="s">
        <v>5543</v>
      </c>
      <c r="L60" s="13">
        <v>43.79</v>
      </c>
      <c r="M60" s="14">
        <v>56.21</v>
      </c>
      <c r="N60" s="13">
        <v>98.02</v>
      </c>
      <c r="O60" s="13">
        <v>1.97</v>
      </c>
    </row>
    <row r="61" spans="1:15" x14ac:dyDescent="0.2">
      <c r="A61" s="5" t="s">
        <v>5466</v>
      </c>
      <c r="B61" s="3">
        <f>B43/D43*100</f>
        <v>99.256900212314221</v>
      </c>
      <c r="C61" s="3">
        <f>C43/D43*100</f>
        <v>0.743099787685775</v>
      </c>
      <c r="E61" s="3">
        <f>E43/G43*100</f>
        <v>27.143668370244178</v>
      </c>
      <c r="F61" s="3">
        <f>F43/G43*100</f>
        <v>72.856331629755829</v>
      </c>
      <c r="J61" s="18"/>
      <c r="K61" s="15" t="s">
        <v>5541</v>
      </c>
      <c r="L61" s="16">
        <v>81.73</v>
      </c>
      <c r="M61" s="17">
        <v>18.27</v>
      </c>
      <c r="N61" s="17">
        <v>26.1</v>
      </c>
      <c r="O61" s="17">
        <v>73.900000000000006</v>
      </c>
    </row>
    <row r="62" spans="1:15" x14ac:dyDescent="0.2">
      <c r="A62" s="5" t="s">
        <v>5475</v>
      </c>
      <c r="B62" s="3">
        <f t="shared" ref="B62:B75" si="2">B44/D44*100</f>
        <v>97.021276595744681</v>
      </c>
      <c r="C62" s="3">
        <f t="shared" ref="C62:C75" si="3">C44/D44*100</f>
        <v>2.9787234042553195</v>
      </c>
      <c r="E62" s="3">
        <f t="shared" ref="E62:E75" si="4">E44/G44*100</f>
        <v>63.768115942028977</v>
      </c>
      <c r="F62" s="3">
        <f t="shared" ref="F62:F75" si="5">F44/G44*100</f>
        <v>36.231884057971016</v>
      </c>
      <c r="J62" s="18" t="s">
        <v>5581</v>
      </c>
      <c r="K62" s="12" t="s">
        <v>5543</v>
      </c>
      <c r="L62" s="13">
        <v>64.180000000000007</v>
      </c>
      <c r="M62" s="13">
        <v>35.82</v>
      </c>
      <c r="N62" s="13">
        <v>97.02</v>
      </c>
      <c r="O62" s="13">
        <v>2.98</v>
      </c>
    </row>
    <row r="63" spans="1:15" x14ac:dyDescent="0.2">
      <c r="A63" s="5" t="s">
        <v>5553</v>
      </c>
      <c r="B63" s="3">
        <f t="shared" si="2"/>
        <v>98.027613412228803</v>
      </c>
      <c r="C63" s="3">
        <f t="shared" si="3"/>
        <v>1.9723865877712032</v>
      </c>
      <c r="E63" s="3">
        <f t="shared" si="4"/>
        <v>56.213017751479285</v>
      </c>
      <c r="F63" s="3">
        <f t="shared" si="5"/>
        <v>43.786982248520715</v>
      </c>
      <c r="J63" s="18"/>
      <c r="K63" s="15" t="s">
        <v>5541</v>
      </c>
      <c r="L63" s="16">
        <v>98.37</v>
      </c>
      <c r="M63" s="16">
        <v>1.63</v>
      </c>
      <c r="N63" s="17">
        <v>28.57</v>
      </c>
      <c r="O63" s="17">
        <v>71.430000000000007</v>
      </c>
    </row>
    <row r="64" spans="1:15" x14ac:dyDescent="0.2">
      <c r="A64" s="5" t="s">
        <v>5477</v>
      </c>
      <c r="B64" s="3">
        <f t="shared" si="2"/>
        <v>99.296765119549931</v>
      </c>
      <c r="C64" s="3">
        <f t="shared" si="3"/>
        <v>0.70323488045007032</v>
      </c>
      <c r="E64" s="3">
        <f t="shared" si="4"/>
        <v>33.46153846153846</v>
      </c>
      <c r="F64" s="3">
        <f t="shared" si="5"/>
        <v>66.538461538461533</v>
      </c>
      <c r="J64" s="18" t="s">
        <v>5582</v>
      </c>
      <c r="K64" s="12" t="s">
        <v>5543</v>
      </c>
      <c r="L64" s="13">
        <v>77.33</v>
      </c>
      <c r="M64" s="13">
        <v>22.66</v>
      </c>
      <c r="N64" s="13">
        <v>98.56</v>
      </c>
      <c r="O64" s="13">
        <v>1.44</v>
      </c>
    </row>
    <row r="65" spans="1:15" x14ac:dyDescent="0.2">
      <c r="A65" s="5" t="s">
        <v>5478</v>
      </c>
      <c r="B65" s="3">
        <f t="shared" si="2"/>
        <v>97.872340425531917</v>
      </c>
      <c r="C65" s="3">
        <f t="shared" si="3"/>
        <v>2.1276595744680851</v>
      </c>
      <c r="E65" s="3">
        <f t="shared" si="4"/>
        <v>26.728110599078342</v>
      </c>
      <c r="F65" s="3">
        <f t="shared" si="5"/>
        <v>73.271889400921665</v>
      </c>
      <c r="J65" s="18"/>
      <c r="K65" s="15" t="s">
        <v>5541</v>
      </c>
      <c r="L65" s="16">
        <v>94.35</v>
      </c>
      <c r="M65" s="16">
        <v>5.65</v>
      </c>
      <c r="N65" s="16">
        <v>40.74</v>
      </c>
      <c r="O65" s="16">
        <v>59.26</v>
      </c>
    </row>
    <row r="66" spans="1:15" x14ac:dyDescent="0.2">
      <c r="A66" s="5" t="s">
        <v>5491</v>
      </c>
      <c r="B66" s="3">
        <f t="shared" si="2"/>
        <v>97.023809523809518</v>
      </c>
      <c r="C66" s="3">
        <f t="shared" si="3"/>
        <v>2.9761904761904758</v>
      </c>
      <c r="E66" s="3">
        <f t="shared" si="4"/>
        <v>35.820895522388057</v>
      </c>
      <c r="F66" s="3">
        <f t="shared" si="5"/>
        <v>64.179104477611943</v>
      </c>
      <c r="J66" s="18" t="s">
        <v>5447</v>
      </c>
      <c r="K66" s="12" t="s">
        <v>5543</v>
      </c>
      <c r="L66" s="13">
        <v>66.53</v>
      </c>
      <c r="M66" s="13">
        <v>33.46</v>
      </c>
      <c r="N66" s="13">
        <v>99.3</v>
      </c>
      <c r="O66" s="13">
        <v>0.7</v>
      </c>
    </row>
    <row r="67" spans="1:15" x14ac:dyDescent="0.2">
      <c r="A67" s="5" t="s">
        <v>5492</v>
      </c>
      <c r="B67" s="3">
        <f t="shared" si="2"/>
        <v>98.557692307692307</v>
      </c>
      <c r="C67" s="3">
        <f t="shared" si="3"/>
        <v>1.4423076923076923</v>
      </c>
      <c r="E67" s="3">
        <f t="shared" si="4"/>
        <v>22.666666666666664</v>
      </c>
      <c r="F67" s="3">
        <f t="shared" si="5"/>
        <v>77.333333333333329</v>
      </c>
      <c r="J67" s="18"/>
      <c r="K67" s="15" t="s">
        <v>5541</v>
      </c>
      <c r="L67" s="16">
        <v>97.8</v>
      </c>
      <c r="M67" s="16">
        <v>2.2000000000000002</v>
      </c>
      <c r="N67" s="16">
        <v>34.43</v>
      </c>
      <c r="O67" s="16">
        <v>65.569999999999993</v>
      </c>
    </row>
    <row r="68" spans="1:15" x14ac:dyDescent="0.2">
      <c r="A68" s="7" t="s">
        <v>5541</v>
      </c>
      <c r="B68" s="3"/>
      <c r="C68" s="3"/>
      <c r="E68" s="3">
        <f t="shared" si="4"/>
        <v>8.7110760741032713</v>
      </c>
      <c r="F68" s="3">
        <f t="shared" si="5"/>
        <v>91.288923925896725</v>
      </c>
      <c r="J68" s="18" t="s">
        <v>5448</v>
      </c>
      <c r="K68" s="12" t="s">
        <v>5543</v>
      </c>
      <c r="L68" s="13">
        <v>72.849999999999994</v>
      </c>
      <c r="M68" s="13">
        <v>27.14</v>
      </c>
      <c r="N68" s="13">
        <v>99.26</v>
      </c>
      <c r="O68" s="13">
        <v>0.74</v>
      </c>
    </row>
    <row r="69" spans="1:15" x14ac:dyDescent="0.2">
      <c r="A69" s="5" t="s">
        <v>5466</v>
      </c>
      <c r="B69" s="3">
        <f t="shared" si="2"/>
        <v>36.935483870967744</v>
      </c>
      <c r="C69" s="3">
        <f t="shared" si="3"/>
        <v>63.064516129032256</v>
      </c>
      <c r="E69" s="3">
        <f t="shared" si="4"/>
        <v>7.4894514767932492</v>
      </c>
      <c r="F69" s="3">
        <f t="shared" si="5"/>
        <v>92.510548523206751</v>
      </c>
      <c r="J69" s="18"/>
      <c r="K69" s="15" t="s">
        <v>5541</v>
      </c>
      <c r="L69" s="16">
        <v>92.51</v>
      </c>
      <c r="M69" s="16">
        <v>7.49</v>
      </c>
      <c r="N69" s="16">
        <v>36.94</v>
      </c>
      <c r="O69" s="16">
        <v>63.06</v>
      </c>
    </row>
    <row r="70" spans="1:15" x14ac:dyDescent="0.2">
      <c r="A70" s="5" t="s">
        <v>5475</v>
      </c>
      <c r="B70" s="3">
        <f t="shared" si="2"/>
        <v>24.878048780487806</v>
      </c>
      <c r="C70" s="3">
        <f t="shared" si="3"/>
        <v>75.121951219512198</v>
      </c>
      <c r="E70" s="3">
        <f t="shared" si="4"/>
        <v>20.100502512562816</v>
      </c>
      <c r="F70" s="3">
        <f t="shared" si="5"/>
        <v>79.899497487437188</v>
      </c>
    </row>
    <row r="71" spans="1:15" x14ac:dyDescent="0.2">
      <c r="A71" s="5" t="s">
        <v>5553</v>
      </c>
      <c r="B71" s="3">
        <f t="shared" si="2"/>
        <v>26.098191214470283</v>
      </c>
      <c r="C71" s="3">
        <f t="shared" si="3"/>
        <v>73.901808785529724</v>
      </c>
      <c r="E71" s="3">
        <f t="shared" si="4"/>
        <v>18.266978922716628</v>
      </c>
      <c r="F71" s="3">
        <f t="shared" si="5"/>
        <v>81.733021077283368</v>
      </c>
    </row>
    <row r="72" spans="1:15" x14ac:dyDescent="0.2">
      <c r="A72" s="5" t="s">
        <v>5477</v>
      </c>
      <c r="B72" s="3">
        <f t="shared" si="2"/>
        <v>34.42622950819672</v>
      </c>
      <c r="C72" s="3">
        <f t="shared" si="3"/>
        <v>65.573770491803273</v>
      </c>
      <c r="E72" s="3">
        <f t="shared" si="4"/>
        <v>2.2038567493112948</v>
      </c>
      <c r="F72" s="3">
        <f t="shared" si="5"/>
        <v>97.796143250688701</v>
      </c>
    </row>
    <row r="73" spans="1:15" x14ac:dyDescent="0.2">
      <c r="A73" s="5" t="s">
        <v>5478</v>
      </c>
      <c r="B73" s="3">
        <f t="shared" si="2"/>
        <v>35.416666666666671</v>
      </c>
      <c r="C73" s="3">
        <f t="shared" si="3"/>
        <v>64.583333333333343</v>
      </c>
      <c r="E73" s="3">
        <f t="shared" si="4"/>
        <v>4</v>
      </c>
      <c r="F73" s="3">
        <f t="shared" si="5"/>
        <v>96</v>
      </c>
    </row>
    <row r="74" spans="1:15" x14ac:dyDescent="0.2">
      <c r="A74" s="5" t="s">
        <v>5491</v>
      </c>
      <c r="B74" s="3">
        <f t="shared" si="2"/>
        <v>28.571428571428569</v>
      </c>
      <c r="C74" s="3">
        <f t="shared" si="3"/>
        <v>71.428571428571431</v>
      </c>
      <c r="E74" s="3">
        <f t="shared" si="4"/>
        <v>1.6260162601626018</v>
      </c>
      <c r="F74" s="3">
        <f t="shared" si="5"/>
        <v>98.373983739837399</v>
      </c>
    </row>
    <row r="75" spans="1:15" x14ac:dyDescent="0.2">
      <c r="A75" s="5" t="s">
        <v>5492</v>
      </c>
      <c r="B75" s="3">
        <f t="shared" si="2"/>
        <v>40.74074074074074</v>
      </c>
      <c r="C75" s="3">
        <f t="shared" si="3"/>
        <v>59.259259259259252</v>
      </c>
      <c r="E75" s="3">
        <f t="shared" si="4"/>
        <v>5.6497175141242941</v>
      </c>
      <c r="F75" s="3">
        <f t="shared" si="5"/>
        <v>94.350282485875709</v>
      </c>
    </row>
  </sheetData>
  <mergeCells count="5">
    <mergeCell ref="J60:J61"/>
    <mergeCell ref="J62:J63"/>
    <mergeCell ref="J64:J65"/>
    <mergeCell ref="J66:J67"/>
    <mergeCell ref="J68:J6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1CB9-00C8-F340-97BB-42B2B1B97437}">
  <dimension ref="A1:S1730"/>
  <sheetViews>
    <sheetView tabSelected="1" topLeftCell="B1" workbookViewId="0">
      <selection activeCell="L26" sqref="L26"/>
    </sheetView>
  </sheetViews>
  <sheetFormatPr baseColWidth="10" defaultRowHeight="16" x14ac:dyDescent="0.2"/>
  <cols>
    <col min="10" max="13" width="11.33203125" customWidth="1"/>
    <col min="17" max="17" width="26.6640625" customWidth="1"/>
  </cols>
  <sheetData>
    <row r="1" spans="1:19" ht="43" x14ac:dyDescent="0.2">
      <c r="A1" s="11" t="s">
        <v>5563</v>
      </c>
      <c r="B1" s="11" t="s">
        <v>5583</v>
      </c>
      <c r="C1" s="11" t="s">
        <v>5584</v>
      </c>
      <c r="D1" s="11" t="s">
        <v>5585</v>
      </c>
      <c r="J1" t="s">
        <v>5664</v>
      </c>
      <c r="K1" t="s">
        <v>5665</v>
      </c>
      <c r="L1" t="s">
        <v>5666</v>
      </c>
      <c r="M1" t="s">
        <v>5667</v>
      </c>
    </row>
    <row r="2" spans="1:19" x14ac:dyDescent="0.2">
      <c r="A2" s="13" t="s">
        <v>5586</v>
      </c>
      <c r="B2" s="13" t="s">
        <v>5587</v>
      </c>
      <c r="C2" s="13" t="s">
        <v>5588</v>
      </c>
      <c r="D2" s="13" t="s">
        <v>5589</v>
      </c>
      <c r="J2" t="s">
        <v>5563</v>
      </c>
      <c r="K2" t="s">
        <v>5615</v>
      </c>
      <c r="L2" t="s">
        <v>5616</v>
      </c>
      <c r="M2" t="s">
        <v>5617</v>
      </c>
    </row>
    <row r="3" spans="1:19" x14ac:dyDescent="0.2">
      <c r="A3" s="13" t="s">
        <v>5443</v>
      </c>
      <c r="B3" s="13" t="s">
        <v>5673</v>
      </c>
      <c r="C3" s="13">
        <v>8.4</v>
      </c>
      <c r="D3" s="13" t="s">
        <v>5674</v>
      </c>
      <c r="J3" t="s">
        <v>5491</v>
      </c>
      <c r="K3" t="s">
        <v>5541</v>
      </c>
      <c r="L3" t="s">
        <v>5618</v>
      </c>
      <c r="M3" t="s">
        <v>5618</v>
      </c>
      <c r="Q3" t="s">
        <v>5563</v>
      </c>
      <c r="R3" t="s">
        <v>5675</v>
      </c>
      <c r="S3" t="s">
        <v>5676</v>
      </c>
    </row>
    <row r="4" spans="1:19" x14ac:dyDescent="0.2">
      <c r="A4" s="13" t="s">
        <v>5447</v>
      </c>
      <c r="B4" s="13" t="s">
        <v>5590</v>
      </c>
      <c r="C4" s="13" t="s">
        <v>5591</v>
      </c>
      <c r="D4" s="13" t="s">
        <v>5592</v>
      </c>
      <c r="J4" t="s">
        <v>5491</v>
      </c>
      <c r="K4" t="s">
        <v>5549</v>
      </c>
      <c r="L4" t="s">
        <v>5618</v>
      </c>
      <c r="M4" t="s">
        <v>5619</v>
      </c>
      <c r="Q4" t="s">
        <v>5448</v>
      </c>
      <c r="R4" t="s">
        <v>5677</v>
      </c>
      <c r="S4" t="s">
        <v>5678</v>
      </c>
    </row>
    <row r="5" spans="1:19" x14ac:dyDescent="0.2">
      <c r="A5" s="13" t="s">
        <v>5448</v>
      </c>
      <c r="B5" s="13" t="s">
        <v>5593</v>
      </c>
      <c r="C5" s="13" t="s">
        <v>5594</v>
      </c>
      <c r="D5" s="13" t="s">
        <v>5595</v>
      </c>
      <c r="J5" t="s">
        <v>5491</v>
      </c>
      <c r="K5" t="s">
        <v>5541</v>
      </c>
      <c r="L5" t="s">
        <v>5618</v>
      </c>
      <c r="M5" t="s">
        <v>5618</v>
      </c>
      <c r="Q5" t="s">
        <v>5443</v>
      </c>
      <c r="R5" t="s">
        <v>5679</v>
      </c>
      <c r="S5" t="s">
        <v>5680</v>
      </c>
    </row>
    <row r="6" spans="1:19" x14ac:dyDescent="0.2">
      <c r="J6" t="s">
        <v>5491</v>
      </c>
      <c r="K6" t="s">
        <v>5541</v>
      </c>
      <c r="L6" t="s">
        <v>5620</v>
      </c>
      <c r="M6" t="s">
        <v>5621</v>
      </c>
      <c r="Q6" t="s">
        <v>5447</v>
      </c>
      <c r="R6" t="s">
        <v>5681</v>
      </c>
      <c r="S6" t="s">
        <v>5682</v>
      </c>
    </row>
    <row r="7" spans="1:19" x14ac:dyDescent="0.2">
      <c r="J7" t="s">
        <v>5491</v>
      </c>
      <c r="K7" t="s">
        <v>5549</v>
      </c>
      <c r="L7" t="s">
        <v>5620</v>
      </c>
      <c r="M7" t="s">
        <v>5621</v>
      </c>
      <c r="Q7" t="s">
        <v>5444</v>
      </c>
      <c r="R7" t="s">
        <v>5683</v>
      </c>
      <c r="S7" t="s">
        <v>5684</v>
      </c>
    </row>
    <row r="8" spans="1:19" x14ac:dyDescent="0.2">
      <c r="J8" t="s">
        <v>5491</v>
      </c>
      <c r="K8" t="s">
        <v>5549</v>
      </c>
      <c r="L8" t="s">
        <v>5620</v>
      </c>
      <c r="M8" t="s">
        <v>5622</v>
      </c>
      <c r="Q8" t="s">
        <v>5446</v>
      </c>
      <c r="R8" t="s">
        <v>5685</v>
      </c>
      <c r="S8" t="s">
        <v>5686</v>
      </c>
    </row>
    <row r="9" spans="1:19" x14ac:dyDescent="0.2">
      <c r="A9" t="s">
        <v>5563</v>
      </c>
      <c r="B9" t="s">
        <v>5596</v>
      </c>
      <c r="C9" t="s">
        <v>5597</v>
      </c>
      <c r="D9" t="s">
        <v>5598</v>
      </c>
      <c r="E9" t="s">
        <v>5599</v>
      </c>
      <c r="F9" t="s">
        <v>5600</v>
      </c>
      <c r="J9" t="s">
        <v>5491</v>
      </c>
      <c r="K9" t="s">
        <v>5549</v>
      </c>
      <c r="L9" t="s">
        <v>5618</v>
      </c>
      <c r="M9" t="s">
        <v>5623</v>
      </c>
    </row>
    <row r="10" spans="1:19" x14ac:dyDescent="0.2">
      <c r="A10" t="s">
        <v>5491</v>
      </c>
      <c r="B10">
        <v>123</v>
      </c>
      <c r="C10">
        <v>69</v>
      </c>
      <c r="D10" t="s">
        <v>5601</v>
      </c>
      <c r="E10">
        <v>54</v>
      </c>
      <c r="F10" t="s">
        <v>5602</v>
      </c>
      <c r="J10" t="s">
        <v>5491</v>
      </c>
      <c r="K10" t="s">
        <v>5549</v>
      </c>
      <c r="L10" t="s">
        <v>5620</v>
      </c>
      <c r="M10" t="s">
        <v>5622</v>
      </c>
    </row>
    <row r="11" spans="1:19" x14ac:dyDescent="0.2">
      <c r="A11" t="s">
        <v>119</v>
      </c>
      <c r="B11">
        <v>347</v>
      </c>
      <c r="C11">
        <v>157</v>
      </c>
      <c r="D11" t="s">
        <v>5603</v>
      </c>
      <c r="E11">
        <v>190</v>
      </c>
      <c r="F11" t="s">
        <v>5604</v>
      </c>
      <c r="J11" t="s">
        <v>5491</v>
      </c>
      <c r="K11" t="s">
        <v>5549</v>
      </c>
      <c r="L11" t="s">
        <v>5620</v>
      </c>
      <c r="M11" t="s">
        <v>5621</v>
      </c>
    </row>
    <row r="12" spans="1:19" x14ac:dyDescent="0.2">
      <c r="A12" t="s">
        <v>5466</v>
      </c>
      <c r="B12">
        <v>487</v>
      </c>
      <c r="C12">
        <v>246</v>
      </c>
      <c r="D12" t="s">
        <v>5605</v>
      </c>
      <c r="E12">
        <v>241</v>
      </c>
      <c r="F12" t="s">
        <v>5606</v>
      </c>
      <c r="J12" t="s">
        <v>5491</v>
      </c>
      <c r="K12" t="s">
        <v>5549</v>
      </c>
      <c r="L12" t="s">
        <v>5618</v>
      </c>
      <c r="M12" t="s">
        <v>5618</v>
      </c>
    </row>
    <row r="13" spans="1:19" x14ac:dyDescent="0.2">
      <c r="A13" t="s">
        <v>5475</v>
      </c>
      <c r="B13">
        <v>108</v>
      </c>
      <c r="C13">
        <v>40</v>
      </c>
      <c r="D13" t="s">
        <v>5607</v>
      </c>
      <c r="E13">
        <v>68</v>
      </c>
      <c r="F13" t="s">
        <v>5608</v>
      </c>
      <c r="J13" t="s">
        <v>5491</v>
      </c>
      <c r="K13" t="s">
        <v>5549</v>
      </c>
      <c r="L13" t="s">
        <v>5618</v>
      </c>
      <c r="M13" t="s">
        <v>5624</v>
      </c>
    </row>
    <row r="14" spans="1:19" x14ac:dyDescent="0.2">
      <c r="A14" t="s">
        <v>5478</v>
      </c>
      <c r="B14">
        <v>229</v>
      </c>
      <c r="C14">
        <v>139</v>
      </c>
      <c r="D14" t="s">
        <v>5609</v>
      </c>
      <c r="E14">
        <v>90</v>
      </c>
      <c r="F14" t="s">
        <v>5610</v>
      </c>
      <c r="J14" t="s">
        <v>5491</v>
      </c>
      <c r="K14" t="s">
        <v>5541</v>
      </c>
      <c r="L14" t="s">
        <v>5620</v>
      </c>
      <c r="M14" t="s">
        <v>5621</v>
      </c>
      <c r="R14" t="s">
        <v>5687</v>
      </c>
      <c r="S14" t="s">
        <v>5688</v>
      </c>
    </row>
    <row r="15" spans="1:19" x14ac:dyDescent="0.2">
      <c r="A15" t="s">
        <v>5492</v>
      </c>
      <c r="B15">
        <v>106</v>
      </c>
      <c r="C15">
        <v>70</v>
      </c>
      <c r="D15" t="s">
        <v>5611</v>
      </c>
      <c r="E15">
        <v>36</v>
      </c>
      <c r="F15" t="s">
        <v>5612</v>
      </c>
      <c r="J15" t="s">
        <v>5491</v>
      </c>
      <c r="K15" t="s">
        <v>5549</v>
      </c>
      <c r="L15" t="s">
        <v>5618</v>
      </c>
      <c r="M15" t="s">
        <v>5618</v>
      </c>
      <c r="Q15" t="s">
        <v>5689</v>
      </c>
      <c r="R15" t="s">
        <v>5690</v>
      </c>
      <c r="S15" s="23" t="s">
        <v>5700</v>
      </c>
    </row>
    <row r="16" spans="1:19" x14ac:dyDescent="0.2">
      <c r="A16" t="s">
        <v>5477</v>
      </c>
      <c r="B16">
        <v>328</v>
      </c>
      <c r="C16">
        <v>204</v>
      </c>
      <c r="D16" t="s">
        <v>5613</v>
      </c>
      <c r="E16">
        <v>124</v>
      </c>
      <c r="F16" t="s">
        <v>5614</v>
      </c>
      <c r="J16" t="s">
        <v>5491</v>
      </c>
      <c r="K16" t="s">
        <v>5549</v>
      </c>
      <c r="L16" t="s">
        <v>5618</v>
      </c>
      <c r="M16" t="s">
        <v>5618</v>
      </c>
      <c r="Q16" t="s">
        <v>5691</v>
      </c>
      <c r="R16" t="s">
        <v>5692</v>
      </c>
      <c r="S16" s="23" t="s">
        <v>5705</v>
      </c>
    </row>
    <row r="17" spans="1:19" x14ac:dyDescent="0.2">
      <c r="J17" t="s">
        <v>5491</v>
      </c>
      <c r="K17" t="s">
        <v>5549</v>
      </c>
      <c r="L17" t="s">
        <v>5618</v>
      </c>
      <c r="M17" t="s">
        <v>5623</v>
      </c>
      <c r="Q17" t="s">
        <v>5693</v>
      </c>
      <c r="R17" t="s">
        <v>5694</v>
      </c>
      <c r="S17" s="23" t="s">
        <v>5701</v>
      </c>
    </row>
    <row r="18" spans="1:19" x14ac:dyDescent="0.2">
      <c r="J18" t="s">
        <v>5491</v>
      </c>
      <c r="K18" t="s">
        <v>5549</v>
      </c>
      <c r="L18" t="s">
        <v>5620</v>
      </c>
      <c r="M18" t="s">
        <v>5622</v>
      </c>
      <c r="Q18" t="s">
        <v>5695</v>
      </c>
      <c r="R18" t="s">
        <v>5696</v>
      </c>
      <c r="S18" s="23" t="s">
        <v>5702</v>
      </c>
    </row>
    <row r="19" spans="1:19" x14ac:dyDescent="0.2">
      <c r="J19" t="s">
        <v>5491</v>
      </c>
      <c r="K19" t="s">
        <v>5541</v>
      </c>
      <c r="L19" t="s">
        <v>5618</v>
      </c>
      <c r="M19" t="s">
        <v>5618</v>
      </c>
      <c r="Q19" t="s">
        <v>5697</v>
      </c>
      <c r="R19" t="s">
        <v>5698</v>
      </c>
      <c r="S19" s="23" t="s">
        <v>5703</v>
      </c>
    </row>
    <row r="20" spans="1:19" x14ac:dyDescent="0.2">
      <c r="J20" t="s">
        <v>5491</v>
      </c>
      <c r="K20" t="s">
        <v>5549</v>
      </c>
      <c r="L20" t="s">
        <v>5618</v>
      </c>
      <c r="M20" t="s">
        <v>5623</v>
      </c>
      <c r="Q20" t="s">
        <v>5676</v>
      </c>
      <c r="R20" t="s">
        <v>5699</v>
      </c>
      <c r="S20" s="23" t="s">
        <v>5704</v>
      </c>
    </row>
    <row r="21" spans="1:19" x14ac:dyDescent="0.2">
      <c r="A21" t="s">
        <v>5563</v>
      </c>
      <c r="B21" t="s">
        <v>5596</v>
      </c>
      <c r="J21" t="s">
        <v>5491</v>
      </c>
      <c r="K21" t="s">
        <v>5541</v>
      </c>
      <c r="L21" t="s">
        <v>5618</v>
      </c>
      <c r="M21" t="s">
        <v>5623</v>
      </c>
    </row>
    <row r="22" spans="1:19" ht="17" thickBot="1" x14ac:dyDescent="0.25">
      <c r="A22" t="s">
        <v>5491</v>
      </c>
      <c r="B22">
        <v>123</v>
      </c>
      <c r="C22" s="22">
        <v>4411</v>
      </c>
      <c r="D22">
        <f>B22/C22*1000</f>
        <v>27.884833371117658</v>
      </c>
      <c r="E22">
        <v>54</v>
      </c>
      <c r="F22" s="22">
        <v>4411</v>
      </c>
      <c r="G22">
        <f>E22/F22*1000</f>
        <v>12.242121967807755</v>
      </c>
      <c r="J22" t="s">
        <v>5491</v>
      </c>
      <c r="K22" t="s">
        <v>5549</v>
      </c>
      <c r="L22" t="s">
        <v>5620</v>
      </c>
      <c r="M22" t="s">
        <v>5621</v>
      </c>
    </row>
    <row r="23" spans="1:19" x14ac:dyDescent="0.2">
      <c r="A23" t="s">
        <v>119</v>
      </c>
      <c r="B23">
        <v>347</v>
      </c>
      <c r="C23">
        <v>18680</v>
      </c>
      <c r="D23">
        <f t="shared" ref="D23:D28" si="0">B23/C23*1000</f>
        <v>18.576017130620986</v>
      </c>
      <c r="E23">
        <v>190</v>
      </c>
      <c r="F23">
        <v>18680</v>
      </c>
      <c r="G23">
        <f t="shared" ref="G23:G28" si="1">E23/F23*1000</f>
        <v>10.171306209850108</v>
      </c>
      <c r="J23" t="s">
        <v>5491</v>
      </c>
      <c r="K23" t="s">
        <v>5541</v>
      </c>
      <c r="L23" t="s">
        <v>5618</v>
      </c>
      <c r="M23" t="s">
        <v>5618</v>
      </c>
    </row>
    <row r="24" spans="1:19" ht="17" thickBot="1" x14ac:dyDescent="0.25">
      <c r="A24" t="s">
        <v>5466</v>
      </c>
      <c r="B24">
        <v>487</v>
      </c>
      <c r="C24" s="22">
        <v>69390</v>
      </c>
      <c r="D24">
        <f t="shared" si="0"/>
        <v>7.0183023490416483</v>
      </c>
      <c r="E24">
        <v>241</v>
      </c>
      <c r="F24" s="22">
        <v>69390</v>
      </c>
      <c r="G24">
        <f t="shared" si="1"/>
        <v>3.4731229283758465</v>
      </c>
      <c r="J24" t="s">
        <v>5491</v>
      </c>
      <c r="K24" t="s">
        <v>5541</v>
      </c>
      <c r="L24" t="s">
        <v>5620</v>
      </c>
      <c r="M24" t="s">
        <v>5620</v>
      </c>
    </row>
    <row r="25" spans="1:19" x14ac:dyDescent="0.2">
      <c r="A25" t="s">
        <v>5475</v>
      </c>
      <c r="B25">
        <v>108</v>
      </c>
      <c r="D25" t="e">
        <f t="shared" si="0"/>
        <v>#DIV/0!</v>
      </c>
      <c r="E25">
        <v>68</v>
      </c>
      <c r="G25" t="e">
        <f t="shared" si="1"/>
        <v>#DIV/0!</v>
      </c>
      <c r="J25" t="s">
        <v>5491</v>
      </c>
      <c r="K25" t="s">
        <v>5549</v>
      </c>
      <c r="L25" t="s">
        <v>5618</v>
      </c>
      <c r="M25" t="s">
        <v>5624</v>
      </c>
    </row>
    <row r="26" spans="1:19" x14ac:dyDescent="0.2">
      <c r="A26" t="s">
        <v>5478</v>
      </c>
      <c r="B26">
        <v>229</v>
      </c>
      <c r="C26">
        <v>9732</v>
      </c>
      <c r="D26">
        <f t="shared" si="0"/>
        <v>23.530620632963419</v>
      </c>
      <c r="E26">
        <v>90</v>
      </c>
      <c r="F26">
        <v>9732</v>
      </c>
      <c r="G26">
        <f t="shared" si="1"/>
        <v>9.2478421701602969</v>
      </c>
      <c r="J26" t="s">
        <v>5491</v>
      </c>
      <c r="K26" t="s">
        <v>5549</v>
      </c>
      <c r="L26" t="s">
        <v>5620</v>
      </c>
      <c r="M26" t="s">
        <v>5622</v>
      </c>
    </row>
    <row r="27" spans="1:19" ht="17" thickBot="1" x14ac:dyDescent="0.25">
      <c r="A27" t="s">
        <v>5492</v>
      </c>
      <c r="B27">
        <v>106</v>
      </c>
      <c r="C27" s="22">
        <v>5321</v>
      </c>
      <c r="D27">
        <f t="shared" si="0"/>
        <v>19.921067468520956</v>
      </c>
      <c r="E27">
        <v>36</v>
      </c>
      <c r="F27" s="22">
        <v>5321</v>
      </c>
      <c r="G27">
        <f t="shared" si="1"/>
        <v>6.7656455553467394</v>
      </c>
      <c r="J27" t="s">
        <v>5491</v>
      </c>
      <c r="K27" t="s">
        <v>5549</v>
      </c>
      <c r="L27" t="s">
        <v>5618</v>
      </c>
      <c r="M27" t="s">
        <v>5618</v>
      </c>
    </row>
    <row r="28" spans="1:19" ht="17" thickBot="1" x14ac:dyDescent="0.25">
      <c r="A28" t="s">
        <v>5477</v>
      </c>
      <c r="B28">
        <v>328</v>
      </c>
      <c r="C28" s="22">
        <v>18272</v>
      </c>
      <c r="D28">
        <f t="shared" si="0"/>
        <v>17.95096322241681</v>
      </c>
      <c r="E28">
        <v>124</v>
      </c>
      <c r="F28" s="22">
        <v>18272</v>
      </c>
      <c r="G28">
        <f t="shared" si="1"/>
        <v>6.7863397548161117</v>
      </c>
      <c r="J28" t="s">
        <v>5491</v>
      </c>
      <c r="K28" t="s">
        <v>5541</v>
      </c>
      <c r="L28" t="s">
        <v>5620</v>
      </c>
      <c r="M28" t="s">
        <v>5620</v>
      </c>
    </row>
    <row r="29" spans="1:19" x14ac:dyDescent="0.2">
      <c r="J29" t="s">
        <v>5491</v>
      </c>
      <c r="K29" t="s">
        <v>5541</v>
      </c>
      <c r="L29" t="s">
        <v>5618</v>
      </c>
      <c r="M29" t="s">
        <v>5618</v>
      </c>
    </row>
    <row r="30" spans="1:19" x14ac:dyDescent="0.2">
      <c r="J30" t="s">
        <v>5491</v>
      </c>
      <c r="K30" t="s">
        <v>5541</v>
      </c>
      <c r="L30" t="s">
        <v>5618</v>
      </c>
      <c r="M30" t="s">
        <v>5623</v>
      </c>
    </row>
    <row r="31" spans="1:19" x14ac:dyDescent="0.2">
      <c r="J31" t="s">
        <v>5491</v>
      </c>
      <c r="K31" t="s">
        <v>5549</v>
      </c>
      <c r="L31" t="s">
        <v>5618</v>
      </c>
      <c r="M31" t="s">
        <v>5619</v>
      </c>
    </row>
    <row r="32" spans="1:19" ht="17" thickBot="1" x14ac:dyDescent="0.25">
      <c r="J32" t="s">
        <v>5491</v>
      </c>
      <c r="K32" t="s">
        <v>5541</v>
      </c>
      <c r="L32" t="s">
        <v>5620</v>
      </c>
      <c r="M32" t="s">
        <v>5621</v>
      </c>
    </row>
    <row r="33" spans="1:13" ht="17" thickBot="1" x14ac:dyDescent="0.25">
      <c r="A33" s="19" t="s">
        <v>5668</v>
      </c>
      <c r="B33" s="20">
        <v>35252</v>
      </c>
      <c r="J33" t="s">
        <v>5491</v>
      </c>
      <c r="K33" t="s">
        <v>5549</v>
      </c>
      <c r="L33" t="s">
        <v>5618</v>
      </c>
      <c r="M33" t="s">
        <v>5618</v>
      </c>
    </row>
    <row r="34" spans="1:13" ht="17" thickBot="1" x14ac:dyDescent="0.25">
      <c r="A34" s="21" t="s">
        <v>5669</v>
      </c>
      <c r="B34" s="22">
        <v>33031</v>
      </c>
      <c r="J34" t="s">
        <v>5491</v>
      </c>
      <c r="K34" t="s">
        <v>5541</v>
      </c>
      <c r="L34" t="s">
        <v>5618</v>
      </c>
      <c r="M34" t="s">
        <v>5618</v>
      </c>
    </row>
    <row r="35" spans="1:13" ht="17" thickBot="1" x14ac:dyDescent="0.25">
      <c r="A35" s="21" t="s">
        <v>5668</v>
      </c>
      <c r="B35" s="22">
        <v>4411</v>
      </c>
      <c r="J35" t="s">
        <v>5491</v>
      </c>
      <c r="K35" t="s">
        <v>5549</v>
      </c>
      <c r="L35" t="s">
        <v>5618</v>
      </c>
      <c r="M35" t="s">
        <v>5623</v>
      </c>
    </row>
    <row r="36" spans="1:13" ht="17" thickBot="1" x14ac:dyDescent="0.25">
      <c r="A36" s="21" t="s">
        <v>5669</v>
      </c>
      <c r="B36" s="22">
        <v>5321</v>
      </c>
      <c r="J36" t="s">
        <v>5491</v>
      </c>
      <c r="K36" t="s">
        <v>5541</v>
      </c>
      <c r="L36" t="s">
        <v>5620</v>
      </c>
      <c r="M36" t="s">
        <v>5620</v>
      </c>
    </row>
    <row r="37" spans="1:13" ht="17" thickBot="1" x14ac:dyDescent="0.25">
      <c r="A37" s="21" t="s">
        <v>5670</v>
      </c>
      <c r="B37" s="22">
        <v>69390</v>
      </c>
      <c r="J37" t="s">
        <v>5491</v>
      </c>
      <c r="K37" t="s">
        <v>5541</v>
      </c>
      <c r="L37" t="s">
        <v>5618</v>
      </c>
      <c r="M37" t="s">
        <v>5618</v>
      </c>
    </row>
    <row r="38" spans="1:13" ht="29" thickBot="1" x14ac:dyDescent="0.25">
      <c r="A38" s="21" t="s">
        <v>5671</v>
      </c>
      <c r="B38" s="22">
        <v>9348</v>
      </c>
      <c r="J38" t="s">
        <v>5491</v>
      </c>
      <c r="K38" t="s">
        <v>5541</v>
      </c>
      <c r="L38" t="s">
        <v>5618</v>
      </c>
      <c r="M38" t="s">
        <v>5618</v>
      </c>
    </row>
    <row r="39" spans="1:13" ht="17" thickBot="1" x14ac:dyDescent="0.25">
      <c r="A39" s="21" t="s">
        <v>5672</v>
      </c>
      <c r="B39" s="22">
        <v>18272</v>
      </c>
      <c r="J39" t="s">
        <v>5491</v>
      </c>
      <c r="K39" t="s">
        <v>5541</v>
      </c>
      <c r="L39" t="s">
        <v>5620</v>
      </c>
      <c r="M39" t="s">
        <v>5625</v>
      </c>
    </row>
    <row r="40" spans="1:13" x14ac:dyDescent="0.2">
      <c r="J40" t="s">
        <v>5491</v>
      </c>
      <c r="K40" t="s">
        <v>5549</v>
      </c>
      <c r="L40" t="s">
        <v>5618</v>
      </c>
      <c r="M40" t="s">
        <v>5623</v>
      </c>
    </row>
    <row r="41" spans="1:13" x14ac:dyDescent="0.2">
      <c r="J41" t="s">
        <v>5491</v>
      </c>
      <c r="K41" t="s">
        <v>5549</v>
      </c>
      <c r="L41" t="s">
        <v>5618</v>
      </c>
      <c r="M41" t="s">
        <v>5618</v>
      </c>
    </row>
    <row r="42" spans="1:13" x14ac:dyDescent="0.2">
      <c r="J42" t="s">
        <v>5491</v>
      </c>
      <c r="K42" t="s">
        <v>5541</v>
      </c>
      <c r="L42" t="s">
        <v>5620</v>
      </c>
      <c r="M42" t="s">
        <v>5621</v>
      </c>
    </row>
    <row r="43" spans="1:13" x14ac:dyDescent="0.2">
      <c r="J43" t="s">
        <v>5491</v>
      </c>
      <c r="K43" t="s">
        <v>5541</v>
      </c>
      <c r="L43" t="s">
        <v>5618</v>
      </c>
      <c r="M43" t="s">
        <v>5618</v>
      </c>
    </row>
    <row r="44" spans="1:13" x14ac:dyDescent="0.2">
      <c r="J44" t="s">
        <v>5491</v>
      </c>
      <c r="K44" t="s">
        <v>5541</v>
      </c>
      <c r="L44" t="s">
        <v>5620</v>
      </c>
      <c r="M44" t="s">
        <v>5620</v>
      </c>
    </row>
    <row r="45" spans="1:13" x14ac:dyDescent="0.2">
      <c r="J45" t="s">
        <v>5491</v>
      </c>
      <c r="K45" t="s">
        <v>5549</v>
      </c>
      <c r="L45" t="s">
        <v>5620</v>
      </c>
      <c r="M45" t="s">
        <v>5626</v>
      </c>
    </row>
    <row r="46" spans="1:13" x14ac:dyDescent="0.2">
      <c r="J46" t="s">
        <v>5491</v>
      </c>
      <c r="K46" t="s">
        <v>5541</v>
      </c>
      <c r="L46" t="s">
        <v>5618</v>
      </c>
      <c r="M46" t="s">
        <v>5618</v>
      </c>
    </row>
    <row r="47" spans="1:13" x14ac:dyDescent="0.2">
      <c r="J47" t="s">
        <v>5491</v>
      </c>
      <c r="K47" t="s">
        <v>5549</v>
      </c>
      <c r="L47" t="s">
        <v>5618</v>
      </c>
      <c r="M47" t="s">
        <v>5619</v>
      </c>
    </row>
    <row r="48" spans="1:13" x14ac:dyDescent="0.2">
      <c r="J48" t="s">
        <v>5491</v>
      </c>
      <c r="K48" t="s">
        <v>5541</v>
      </c>
      <c r="L48" t="s">
        <v>5620</v>
      </c>
      <c r="M48" t="s">
        <v>5620</v>
      </c>
    </row>
    <row r="49" spans="10:13" x14ac:dyDescent="0.2">
      <c r="J49" t="s">
        <v>5491</v>
      </c>
      <c r="K49" t="s">
        <v>5541</v>
      </c>
      <c r="L49" t="s">
        <v>5618</v>
      </c>
      <c r="M49" t="s">
        <v>5618</v>
      </c>
    </row>
    <row r="50" spans="10:13" x14ac:dyDescent="0.2">
      <c r="J50" t="s">
        <v>5491</v>
      </c>
      <c r="K50" t="s">
        <v>5549</v>
      </c>
      <c r="L50" t="s">
        <v>5618</v>
      </c>
      <c r="M50" t="s">
        <v>5618</v>
      </c>
    </row>
    <row r="51" spans="10:13" x14ac:dyDescent="0.2">
      <c r="J51" t="s">
        <v>5491</v>
      </c>
      <c r="K51" t="s">
        <v>5541</v>
      </c>
      <c r="L51" t="s">
        <v>5618</v>
      </c>
      <c r="M51" t="s">
        <v>5618</v>
      </c>
    </row>
    <row r="52" spans="10:13" x14ac:dyDescent="0.2">
      <c r="J52" t="s">
        <v>5491</v>
      </c>
      <c r="K52" t="s">
        <v>5541</v>
      </c>
      <c r="L52" t="s">
        <v>5618</v>
      </c>
      <c r="M52" t="s">
        <v>5618</v>
      </c>
    </row>
    <row r="53" spans="10:13" x14ac:dyDescent="0.2">
      <c r="J53" t="s">
        <v>5491</v>
      </c>
      <c r="K53" t="s">
        <v>5541</v>
      </c>
      <c r="L53" t="s">
        <v>5618</v>
      </c>
      <c r="M53" t="s">
        <v>5618</v>
      </c>
    </row>
    <row r="54" spans="10:13" x14ac:dyDescent="0.2">
      <c r="J54" t="s">
        <v>5491</v>
      </c>
      <c r="K54" t="s">
        <v>5541</v>
      </c>
      <c r="L54" t="s">
        <v>5618</v>
      </c>
      <c r="M54" t="s">
        <v>5618</v>
      </c>
    </row>
    <row r="55" spans="10:13" x14ac:dyDescent="0.2">
      <c r="J55" t="s">
        <v>5491</v>
      </c>
      <c r="K55" t="s">
        <v>5549</v>
      </c>
      <c r="L55" t="s">
        <v>5618</v>
      </c>
      <c r="M55" t="s">
        <v>5623</v>
      </c>
    </row>
    <row r="56" spans="10:13" x14ac:dyDescent="0.2">
      <c r="J56" t="s">
        <v>5491</v>
      </c>
      <c r="K56" t="s">
        <v>5549</v>
      </c>
      <c r="L56" t="s">
        <v>5618</v>
      </c>
      <c r="M56" t="s">
        <v>5618</v>
      </c>
    </row>
    <row r="57" spans="10:13" x14ac:dyDescent="0.2">
      <c r="J57" t="s">
        <v>5491</v>
      </c>
      <c r="K57" t="s">
        <v>5541</v>
      </c>
      <c r="L57" t="s">
        <v>5620</v>
      </c>
      <c r="M57" t="s">
        <v>5627</v>
      </c>
    </row>
    <row r="58" spans="10:13" x14ac:dyDescent="0.2">
      <c r="J58" t="s">
        <v>5491</v>
      </c>
      <c r="K58" t="s">
        <v>5549</v>
      </c>
      <c r="L58" t="s">
        <v>5618</v>
      </c>
      <c r="M58" t="s">
        <v>5624</v>
      </c>
    </row>
    <row r="59" spans="10:13" x14ac:dyDescent="0.2">
      <c r="J59" t="s">
        <v>5491</v>
      </c>
      <c r="K59" t="s">
        <v>5541</v>
      </c>
      <c r="L59" t="s">
        <v>5618</v>
      </c>
      <c r="M59" t="s">
        <v>5623</v>
      </c>
    </row>
    <row r="60" spans="10:13" x14ac:dyDescent="0.2">
      <c r="J60" t="s">
        <v>5491</v>
      </c>
      <c r="K60" t="s">
        <v>5549</v>
      </c>
      <c r="L60" t="s">
        <v>5618</v>
      </c>
      <c r="M60" t="s">
        <v>5623</v>
      </c>
    </row>
    <row r="61" spans="10:13" x14ac:dyDescent="0.2">
      <c r="J61" t="s">
        <v>5491</v>
      </c>
      <c r="K61" t="s">
        <v>5549</v>
      </c>
      <c r="L61" t="s">
        <v>5618</v>
      </c>
      <c r="M61" t="s">
        <v>5619</v>
      </c>
    </row>
    <row r="62" spans="10:13" x14ac:dyDescent="0.2">
      <c r="J62" t="s">
        <v>5491</v>
      </c>
      <c r="K62" t="s">
        <v>5549</v>
      </c>
      <c r="L62" t="s">
        <v>5618</v>
      </c>
      <c r="M62" t="s">
        <v>5619</v>
      </c>
    </row>
    <row r="63" spans="10:13" x14ac:dyDescent="0.2">
      <c r="J63" t="s">
        <v>5491</v>
      </c>
      <c r="K63" t="s">
        <v>5541</v>
      </c>
      <c r="L63" t="s">
        <v>5618</v>
      </c>
      <c r="M63" t="s">
        <v>5623</v>
      </c>
    </row>
    <row r="64" spans="10:13" x14ac:dyDescent="0.2">
      <c r="J64" t="s">
        <v>5491</v>
      </c>
      <c r="K64" t="s">
        <v>5541</v>
      </c>
      <c r="L64" t="s">
        <v>5618</v>
      </c>
      <c r="M64" t="s">
        <v>5619</v>
      </c>
    </row>
    <row r="65" spans="10:13" x14ac:dyDescent="0.2">
      <c r="J65" t="s">
        <v>5491</v>
      </c>
      <c r="K65" t="s">
        <v>5541</v>
      </c>
      <c r="L65" t="s">
        <v>5618</v>
      </c>
      <c r="M65" t="s">
        <v>5618</v>
      </c>
    </row>
    <row r="66" spans="10:13" x14ac:dyDescent="0.2">
      <c r="J66" t="s">
        <v>5491</v>
      </c>
      <c r="K66" t="s">
        <v>5549</v>
      </c>
      <c r="L66" t="s">
        <v>5620</v>
      </c>
      <c r="M66" t="s">
        <v>5628</v>
      </c>
    </row>
    <row r="67" spans="10:13" x14ac:dyDescent="0.2">
      <c r="J67" t="s">
        <v>5491</v>
      </c>
      <c r="K67" t="s">
        <v>5549</v>
      </c>
      <c r="L67" t="s">
        <v>5618</v>
      </c>
      <c r="M67" t="s">
        <v>5618</v>
      </c>
    </row>
    <row r="68" spans="10:13" x14ac:dyDescent="0.2">
      <c r="J68" t="s">
        <v>5491</v>
      </c>
      <c r="K68" t="s">
        <v>5549</v>
      </c>
      <c r="L68" t="s">
        <v>5618</v>
      </c>
      <c r="M68" t="s">
        <v>5623</v>
      </c>
    </row>
    <row r="69" spans="10:13" x14ac:dyDescent="0.2">
      <c r="J69" t="s">
        <v>5491</v>
      </c>
      <c r="K69" t="s">
        <v>5549</v>
      </c>
      <c r="L69" t="s">
        <v>5618</v>
      </c>
      <c r="M69" t="s">
        <v>5623</v>
      </c>
    </row>
    <row r="70" spans="10:13" x14ac:dyDescent="0.2">
      <c r="J70" t="s">
        <v>5491</v>
      </c>
      <c r="K70" t="s">
        <v>5549</v>
      </c>
      <c r="L70" t="s">
        <v>5618</v>
      </c>
      <c r="M70" t="s">
        <v>5623</v>
      </c>
    </row>
    <row r="71" spans="10:13" x14ac:dyDescent="0.2">
      <c r="J71" t="s">
        <v>5491</v>
      </c>
      <c r="K71" t="s">
        <v>5549</v>
      </c>
      <c r="L71" t="s">
        <v>5620</v>
      </c>
      <c r="M71" t="s">
        <v>5622</v>
      </c>
    </row>
    <row r="72" spans="10:13" x14ac:dyDescent="0.2">
      <c r="J72" t="s">
        <v>5491</v>
      </c>
      <c r="K72" t="s">
        <v>5541</v>
      </c>
      <c r="L72" t="s">
        <v>5618</v>
      </c>
      <c r="M72" t="s">
        <v>5618</v>
      </c>
    </row>
    <row r="73" spans="10:13" x14ac:dyDescent="0.2">
      <c r="J73" t="s">
        <v>5491</v>
      </c>
      <c r="K73" t="s">
        <v>5549</v>
      </c>
      <c r="L73" t="s">
        <v>5620</v>
      </c>
      <c r="M73" t="s">
        <v>5629</v>
      </c>
    </row>
    <row r="74" spans="10:13" x14ac:dyDescent="0.2">
      <c r="J74" t="s">
        <v>5491</v>
      </c>
      <c r="K74" t="s">
        <v>5549</v>
      </c>
      <c r="L74" t="s">
        <v>5618</v>
      </c>
      <c r="M74" t="s">
        <v>5618</v>
      </c>
    </row>
    <row r="75" spans="10:13" x14ac:dyDescent="0.2">
      <c r="J75" t="s">
        <v>5491</v>
      </c>
      <c r="K75" t="s">
        <v>5541</v>
      </c>
      <c r="L75" t="s">
        <v>5620</v>
      </c>
      <c r="M75" t="s">
        <v>5620</v>
      </c>
    </row>
    <row r="76" spans="10:13" x14ac:dyDescent="0.2">
      <c r="J76" t="s">
        <v>5491</v>
      </c>
      <c r="K76" t="s">
        <v>5549</v>
      </c>
      <c r="L76" t="s">
        <v>5618</v>
      </c>
      <c r="M76" t="s">
        <v>5619</v>
      </c>
    </row>
    <row r="77" spans="10:13" x14ac:dyDescent="0.2">
      <c r="J77" t="s">
        <v>5491</v>
      </c>
      <c r="K77" t="s">
        <v>5549</v>
      </c>
      <c r="L77" t="s">
        <v>5618</v>
      </c>
      <c r="M77" t="s">
        <v>5618</v>
      </c>
    </row>
    <row r="78" spans="10:13" x14ac:dyDescent="0.2">
      <c r="J78" t="s">
        <v>5491</v>
      </c>
      <c r="K78" t="s">
        <v>5541</v>
      </c>
      <c r="L78" t="s">
        <v>5620</v>
      </c>
      <c r="M78" t="s">
        <v>5620</v>
      </c>
    </row>
    <row r="79" spans="10:13" x14ac:dyDescent="0.2">
      <c r="J79" t="s">
        <v>5491</v>
      </c>
      <c r="K79" t="s">
        <v>5541</v>
      </c>
      <c r="L79" t="s">
        <v>5620</v>
      </c>
      <c r="M79" t="s">
        <v>5621</v>
      </c>
    </row>
    <row r="80" spans="10:13" x14ac:dyDescent="0.2">
      <c r="J80" t="s">
        <v>5491</v>
      </c>
      <c r="K80" t="s">
        <v>5549</v>
      </c>
      <c r="L80" t="s">
        <v>5618</v>
      </c>
      <c r="M80" t="s">
        <v>5624</v>
      </c>
    </row>
    <row r="81" spans="10:13" x14ac:dyDescent="0.2">
      <c r="J81" t="s">
        <v>5491</v>
      </c>
      <c r="K81" t="s">
        <v>5549</v>
      </c>
      <c r="L81" t="s">
        <v>5620</v>
      </c>
      <c r="M81" t="s">
        <v>5625</v>
      </c>
    </row>
    <row r="82" spans="10:13" x14ac:dyDescent="0.2">
      <c r="J82" t="s">
        <v>5491</v>
      </c>
      <c r="K82" t="s">
        <v>5549</v>
      </c>
      <c r="L82" t="s">
        <v>5618</v>
      </c>
      <c r="M82" t="s">
        <v>5624</v>
      </c>
    </row>
    <row r="83" spans="10:13" x14ac:dyDescent="0.2">
      <c r="J83" t="s">
        <v>5491</v>
      </c>
      <c r="K83" t="s">
        <v>5549</v>
      </c>
      <c r="L83" t="s">
        <v>5618</v>
      </c>
      <c r="M83" t="s">
        <v>5624</v>
      </c>
    </row>
    <row r="84" spans="10:13" x14ac:dyDescent="0.2">
      <c r="J84" t="s">
        <v>5491</v>
      </c>
      <c r="K84" t="s">
        <v>5549</v>
      </c>
      <c r="L84" t="s">
        <v>5618</v>
      </c>
      <c r="M84" t="s">
        <v>5624</v>
      </c>
    </row>
    <row r="85" spans="10:13" x14ac:dyDescent="0.2">
      <c r="J85" t="s">
        <v>5491</v>
      </c>
      <c r="K85" t="s">
        <v>5549</v>
      </c>
      <c r="L85" t="s">
        <v>5618</v>
      </c>
      <c r="M85" t="s">
        <v>5619</v>
      </c>
    </row>
    <row r="86" spans="10:13" x14ac:dyDescent="0.2">
      <c r="J86" t="s">
        <v>5491</v>
      </c>
      <c r="K86" t="s">
        <v>5541</v>
      </c>
      <c r="L86" t="s">
        <v>5620</v>
      </c>
      <c r="M86" t="s">
        <v>5620</v>
      </c>
    </row>
    <row r="87" spans="10:13" x14ac:dyDescent="0.2">
      <c r="J87" t="s">
        <v>5491</v>
      </c>
      <c r="K87" t="s">
        <v>5549</v>
      </c>
      <c r="L87" t="s">
        <v>5618</v>
      </c>
      <c r="M87" t="s">
        <v>5624</v>
      </c>
    </row>
    <row r="88" spans="10:13" x14ac:dyDescent="0.2">
      <c r="J88" t="s">
        <v>5491</v>
      </c>
      <c r="K88" t="s">
        <v>5549</v>
      </c>
      <c r="L88" t="s">
        <v>5618</v>
      </c>
      <c r="M88" t="s">
        <v>5619</v>
      </c>
    </row>
    <row r="89" spans="10:13" x14ac:dyDescent="0.2">
      <c r="J89" t="s">
        <v>5491</v>
      </c>
      <c r="K89" t="s">
        <v>5549</v>
      </c>
      <c r="L89" t="s">
        <v>5618</v>
      </c>
      <c r="M89" t="s">
        <v>5623</v>
      </c>
    </row>
    <row r="90" spans="10:13" x14ac:dyDescent="0.2">
      <c r="J90" t="s">
        <v>5491</v>
      </c>
      <c r="K90" t="s">
        <v>5541</v>
      </c>
      <c r="L90" t="s">
        <v>5620</v>
      </c>
      <c r="M90" t="s">
        <v>5620</v>
      </c>
    </row>
    <row r="91" spans="10:13" x14ac:dyDescent="0.2">
      <c r="J91" t="s">
        <v>5491</v>
      </c>
      <c r="K91" t="s">
        <v>5549</v>
      </c>
      <c r="L91" t="s">
        <v>5618</v>
      </c>
      <c r="M91" t="s">
        <v>5618</v>
      </c>
    </row>
    <row r="92" spans="10:13" x14ac:dyDescent="0.2">
      <c r="J92" t="s">
        <v>5491</v>
      </c>
      <c r="K92" t="s">
        <v>5549</v>
      </c>
      <c r="L92" t="s">
        <v>5618</v>
      </c>
      <c r="M92" t="s">
        <v>5623</v>
      </c>
    </row>
    <row r="93" spans="10:13" x14ac:dyDescent="0.2">
      <c r="J93" t="s">
        <v>5491</v>
      </c>
      <c r="K93" t="s">
        <v>5549</v>
      </c>
      <c r="L93" t="s">
        <v>5618</v>
      </c>
      <c r="M93" t="s">
        <v>5623</v>
      </c>
    </row>
    <row r="94" spans="10:13" x14ac:dyDescent="0.2">
      <c r="J94" t="s">
        <v>5491</v>
      </c>
      <c r="K94" t="s">
        <v>5541</v>
      </c>
      <c r="L94" t="s">
        <v>5618</v>
      </c>
      <c r="M94" t="s">
        <v>5618</v>
      </c>
    </row>
    <row r="95" spans="10:13" x14ac:dyDescent="0.2">
      <c r="J95" t="s">
        <v>5491</v>
      </c>
      <c r="K95" t="s">
        <v>5541</v>
      </c>
      <c r="L95" t="s">
        <v>5620</v>
      </c>
      <c r="M95" t="s">
        <v>5625</v>
      </c>
    </row>
    <row r="96" spans="10:13" x14ac:dyDescent="0.2">
      <c r="J96" t="s">
        <v>5491</v>
      </c>
      <c r="K96" t="s">
        <v>5549</v>
      </c>
      <c r="L96" t="s">
        <v>5618</v>
      </c>
      <c r="M96" t="s">
        <v>5618</v>
      </c>
    </row>
    <row r="97" spans="10:13" x14ac:dyDescent="0.2">
      <c r="J97" t="s">
        <v>5491</v>
      </c>
      <c r="K97" t="s">
        <v>5549</v>
      </c>
      <c r="L97" t="s">
        <v>5618</v>
      </c>
      <c r="M97" t="s">
        <v>5623</v>
      </c>
    </row>
    <row r="98" spans="10:13" x14ac:dyDescent="0.2">
      <c r="J98" t="s">
        <v>5491</v>
      </c>
      <c r="K98" t="s">
        <v>5549</v>
      </c>
      <c r="L98" t="s">
        <v>5618</v>
      </c>
      <c r="M98" t="s">
        <v>5623</v>
      </c>
    </row>
    <row r="99" spans="10:13" x14ac:dyDescent="0.2">
      <c r="J99" t="s">
        <v>5491</v>
      </c>
      <c r="K99" t="s">
        <v>5549</v>
      </c>
      <c r="L99" t="s">
        <v>5618</v>
      </c>
      <c r="M99" t="s">
        <v>5623</v>
      </c>
    </row>
    <row r="100" spans="10:13" x14ac:dyDescent="0.2">
      <c r="J100" t="s">
        <v>5491</v>
      </c>
      <c r="K100" t="s">
        <v>5549</v>
      </c>
      <c r="L100" t="s">
        <v>5618</v>
      </c>
      <c r="M100" t="s">
        <v>5618</v>
      </c>
    </row>
    <row r="101" spans="10:13" x14ac:dyDescent="0.2">
      <c r="J101" t="s">
        <v>5491</v>
      </c>
      <c r="K101" t="s">
        <v>5541</v>
      </c>
      <c r="L101" t="s">
        <v>5620</v>
      </c>
      <c r="M101" t="s">
        <v>5625</v>
      </c>
    </row>
    <row r="102" spans="10:13" x14ac:dyDescent="0.2">
      <c r="J102" t="s">
        <v>5491</v>
      </c>
      <c r="K102" t="s">
        <v>5549</v>
      </c>
      <c r="L102" t="s">
        <v>5618</v>
      </c>
      <c r="M102" t="s">
        <v>5623</v>
      </c>
    </row>
    <row r="103" spans="10:13" x14ac:dyDescent="0.2">
      <c r="J103" t="s">
        <v>5491</v>
      </c>
      <c r="K103" t="s">
        <v>5541</v>
      </c>
      <c r="L103" t="s">
        <v>5618</v>
      </c>
      <c r="M103" t="s">
        <v>5618</v>
      </c>
    </row>
    <row r="104" spans="10:13" x14ac:dyDescent="0.2">
      <c r="J104" t="s">
        <v>5491</v>
      </c>
      <c r="K104" t="s">
        <v>5541</v>
      </c>
      <c r="L104" t="s">
        <v>5618</v>
      </c>
      <c r="M104" t="s">
        <v>5618</v>
      </c>
    </row>
    <row r="105" spans="10:13" x14ac:dyDescent="0.2">
      <c r="J105" t="s">
        <v>5491</v>
      </c>
      <c r="K105" t="s">
        <v>5549</v>
      </c>
      <c r="L105" t="s">
        <v>5618</v>
      </c>
      <c r="M105" t="s">
        <v>5618</v>
      </c>
    </row>
    <row r="106" spans="10:13" x14ac:dyDescent="0.2">
      <c r="J106" t="s">
        <v>5491</v>
      </c>
      <c r="K106" t="s">
        <v>5541</v>
      </c>
      <c r="L106" t="s">
        <v>5618</v>
      </c>
      <c r="M106" t="s">
        <v>5623</v>
      </c>
    </row>
    <row r="107" spans="10:13" x14ac:dyDescent="0.2">
      <c r="J107" t="s">
        <v>5491</v>
      </c>
      <c r="K107" t="s">
        <v>5541</v>
      </c>
      <c r="L107" t="s">
        <v>5620</v>
      </c>
      <c r="M107" t="s">
        <v>5627</v>
      </c>
    </row>
    <row r="108" spans="10:13" x14ac:dyDescent="0.2">
      <c r="J108" t="s">
        <v>5491</v>
      </c>
      <c r="K108" t="s">
        <v>5541</v>
      </c>
      <c r="L108" t="s">
        <v>5618</v>
      </c>
      <c r="M108" t="s">
        <v>5618</v>
      </c>
    </row>
    <row r="109" spans="10:13" x14ac:dyDescent="0.2">
      <c r="J109" t="s">
        <v>5491</v>
      </c>
      <c r="K109" t="s">
        <v>5549</v>
      </c>
      <c r="L109" t="s">
        <v>5618</v>
      </c>
      <c r="M109" t="s">
        <v>5630</v>
      </c>
    </row>
    <row r="110" spans="10:13" x14ac:dyDescent="0.2">
      <c r="J110" t="s">
        <v>5491</v>
      </c>
      <c r="K110" t="s">
        <v>5541</v>
      </c>
      <c r="L110" t="s">
        <v>5618</v>
      </c>
      <c r="M110" t="s">
        <v>5618</v>
      </c>
    </row>
    <row r="111" spans="10:13" x14ac:dyDescent="0.2">
      <c r="J111" t="s">
        <v>5491</v>
      </c>
      <c r="K111" t="s">
        <v>5549</v>
      </c>
      <c r="L111" t="s">
        <v>5618</v>
      </c>
      <c r="M111" t="s">
        <v>5619</v>
      </c>
    </row>
    <row r="112" spans="10:13" x14ac:dyDescent="0.2">
      <c r="J112" t="s">
        <v>5491</v>
      </c>
      <c r="K112" t="s">
        <v>5549</v>
      </c>
      <c r="L112" t="s">
        <v>5618</v>
      </c>
      <c r="M112" t="s">
        <v>5618</v>
      </c>
    </row>
    <row r="113" spans="10:13" x14ac:dyDescent="0.2">
      <c r="J113" t="s">
        <v>5491</v>
      </c>
      <c r="K113" t="s">
        <v>5541</v>
      </c>
      <c r="L113" t="s">
        <v>5618</v>
      </c>
      <c r="M113" t="s">
        <v>5618</v>
      </c>
    </row>
    <row r="114" spans="10:13" x14ac:dyDescent="0.2">
      <c r="J114" t="s">
        <v>5491</v>
      </c>
      <c r="K114" t="s">
        <v>5549</v>
      </c>
      <c r="L114" t="s">
        <v>5618</v>
      </c>
      <c r="M114" t="s">
        <v>5623</v>
      </c>
    </row>
    <row r="115" spans="10:13" x14ac:dyDescent="0.2">
      <c r="J115" t="s">
        <v>5491</v>
      </c>
      <c r="K115" t="s">
        <v>5541</v>
      </c>
      <c r="L115" t="s">
        <v>5618</v>
      </c>
      <c r="M115" t="s">
        <v>5618</v>
      </c>
    </row>
    <row r="116" spans="10:13" x14ac:dyDescent="0.2">
      <c r="J116" t="s">
        <v>5491</v>
      </c>
      <c r="K116" t="s">
        <v>5541</v>
      </c>
      <c r="L116" t="s">
        <v>5620</v>
      </c>
      <c r="M116" t="s">
        <v>5620</v>
      </c>
    </row>
    <row r="117" spans="10:13" x14ac:dyDescent="0.2">
      <c r="J117" t="s">
        <v>5491</v>
      </c>
      <c r="K117" t="s">
        <v>5549</v>
      </c>
      <c r="L117" t="s">
        <v>5618</v>
      </c>
      <c r="M117" t="s">
        <v>5618</v>
      </c>
    </row>
    <row r="118" spans="10:13" x14ac:dyDescent="0.2">
      <c r="J118" t="s">
        <v>5491</v>
      </c>
      <c r="K118" t="s">
        <v>5549</v>
      </c>
      <c r="L118" t="s">
        <v>5618</v>
      </c>
      <c r="M118" t="s">
        <v>5618</v>
      </c>
    </row>
    <row r="119" spans="10:13" x14ac:dyDescent="0.2">
      <c r="J119" t="s">
        <v>5491</v>
      </c>
      <c r="K119" t="s">
        <v>5549</v>
      </c>
      <c r="L119" t="s">
        <v>5618</v>
      </c>
      <c r="M119" t="s">
        <v>5618</v>
      </c>
    </row>
    <row r="120" spans="10:13" x14ac:dyDescent="0.2">
      <c r="J120" t="s">
        <v>5491</v>
      </c>
      <c r="K120" t="s">
        <v>5549</v>
      </c>
      <c r="L120" t="s">
        <v>5618</v>
      </c>
      <c r="M120" t="s">
        <v>5618</v>
      </c>
    </row>
    <row r="121" spans="10:13" x14ac:dyDescent="0.2">
      <c r="J121" t="s">
        <v>5491</v>
      </c>
      <c r="K121" t="s">
        <v>5541</v>
      </c>
      <c r="L121" t="s">
        <v>5618</v>
      </c>
      <c r="M121" t="s">
        <v>5623</v>
      </c>
    </row>
    <row r="122" spans="10:13" x14ac:dyDescent="0.2">
      <c r="J122" t="s">
        <v>5491</v>
      </c>
      <c r="K122" t="s">
        <v>5541</v>
      </c>
      <c r="L122" t="s">
        <v>5618</v>
      </c>
      <c r="M122" t="s">
        <v>5623</v>
      </c>
    </row>
    <row r="123" spans="10:13" x14ac:dyDescent="0.2">
      <c r="J123" t="s">
        <v>5491</v>
      </c>
      <c r="K123" t="s">
        <v>5541</v>
      </c>
      <c r="L123" t="s">
        <v>5620</v>
      </c>
      <c r="M123" t="s">
        <v>5621</v>
      </c>
    </row>
    <row r="124" spans="10:13" x14ac:dyDescent="0.2">
      <c r="J124" t="s">
        <v>5491</v>
      </c>
      <c r="K124" t="s">
        <v>5549</v>
      </c>
      <c r="L124" t="s">
        <v>5618</v>
      </c>
      <c r="M124" t="s">
        <v>5624</v>
      </c>
    </row>
    <row r="125" spans="10:13" x14ac:dyDescent="0.2">
      <c r="J125" t="s">
        <v>5491</v>
      </c>
      <c r="K125" t="s">
        <v>5541</v>
      </c>
      <c r="L125" t="s">
        <v>5618</v>
      </c>
      <c r="M125" t="s">
        <v>5618</v>
      </c>
    </row>
    <row r="126" spans="10:13" x14ac:dyDescent="0.2">
      <c r="J126" t="s">
        <v>119</v>
      </c>
      <c r="K126" t="s">
        <v>5541</v>
      </c>
      <c r="L126" t="s">
        <v>5618</v>
      </c>
      <c r="M126" t="s">
        <v>5618</v>
      </c>
    </row>
    <row r="127" spans="10:13" x14ac:dyDescent="0.2">
      <c r="J127" t="s">
        <v>119</v>
      </c>
      <c r="K127" t="s">
        <v>5549</v>
      </c>
      <c r="L127" t="s">
        <v>5618</v>
      </c>
      <c r="M127" t="s">
        <v>5618</v>
      </c>
    </row>
    <row r="128" spans="10:13" x14ac:dyDescent="0.2">
      <c r="J128" t="s">
        <v>119</v>
      </c>
      <c r="K128" t="s">
        <v>5549</v>
      </c>
      <c r="L128" t="s">
        <v>5620</v>
      </c>
      <c r="M128" t="s">
        <v>5621</v>
      </c>
    </row>
    <row r="129" spans="10:13" x14ac:dyDescent="0.2">
      <c r="J129" t="s">
        <v>119</v>
      </c>
      <c r="K129" t="s">
        <v>5549</v>
      </c>
      <c r="L129" t="s">
        <v>5618</v>
      </c>
      <c r="M129" t="s">
        <v>5623</v>
      </c>
    </row>
    <row r="130" spans="10:13" x14ac:dyDescent="0.2">
      <c r="J130" t="s">
        <v>119</v>
      </c>
      <c r="K130" t="s">
        <v>5549</v>
      </c>
      <c r="L130" t="s">
        <v>5620</v>
      </c>
      <c r="M130" t="s">
        <v>5621</v>
      </c>
    </row>
    <row r="131" spans="10:13" x14ac:dyDescent="0.2">
      <c r="J131" t="s">
        <v>119</v>
      </c>
      <c r="K131" t="s">
        <v>5549</v>
      </c>
      <c r="L131" t="s">
        <v>5620</v>
      </c>
      <c r="M131" t="s">
        <v>5621</v>
      </c>
    </row>
    <row r="132" spans="10:13" x14ac:dyDescent="0.2">
      <c r="J132" t="s">
        <v>119</v>
      </c>
      <c r="K132" t="s">
        <v>5549</v>
      </c>
      <c r="L132" t="s">
        <v>5620</v>
      </c>
      <c r="M132" t="s">
        <v>5621</v>
      </c>
    </row>
    <row r="133" spans="10:13" x14ac:dyDescent="0.2">
      <c r="J133" t="s">
        <v>119</v>
      </c>
      <c r="K133" t="s">
        <v>5549</v>
      </c>
      <c r="L133" t="s">
        <v>5620</v>
      </c>
      <c r="M133" t="s">
        <v>5621</v>
      </c>
    </row>
    <row r="134" spans="10:13" x14ac:dyDescent="0.2">
      <c r="J134" t="s">
        <v>119</v>
      </c>
      <c r="K134" t="s">
        <v>5549</v>
      </c>
      <c r="L134" t="s">
        <v>5620</v>
      </c>
      <c r="M134" t="s">
        <v>5626</v>
      </c>
    </row>
    <row r="135" spans="10:13" x14ac:dyDescent="0.2">
      <c r="J135" t="s">
        <v>119</v>
      </c>
      <c r="K135" t="s">
        <v>5541</v>
      </c>
      <c r="L135" t="s">
        <v>5620</v>
      </c>
      <c r="M135" t="s">
        <v>5620</v>
      </c>
    </row>
    <row r="136" spans="10:13" x14ac:dyDescent="0.2">
      <c r="J136" t="s">
        <v>119</v>
      </c>
      <c r="K136" t="s">
        <v>5541</v>
      </c>
      <c r="L136" t="s">
        <v>5620</v>
      </c>
      <c r="M136" t="s">
        <v>5620</v>
      </c>
    </row>
    <row r="137" spans="10:13" x14ac:dyDescent="0.2">
      <c r="J137" t="s">
        <v>119</v>
      </c>
      <c r="K137" t="s">
        <v>5541</v>
      </c>
      <c r="L137" t="s">
        <v>5618</v>
      </c>
      <c r="M137" t="s">
        <v>5623</v>
      </c>
    </row>
    <row r="138" spans="10:13" x14ac:dyDescent="0.2">
      <c r="J138" t="s">
        <v>119</v>
      </c>
      <c r="K138" t="s">
        <v>5549</v>
      </c>
      <c r="L138" t="s">
        <v>5618</v>
      </c>
      <c r="M138" t="s">
        <v>5623</v>
      </c>
    </row>
    <row r="139" spans="10:13" x14ac:dyDescent="0.2">
      <c r="J139" t="s">
        <v>119</v>
      </c>
      <c r="K139" t="s">
        <v>5549</v>
      </c>
      <c r="L139" t="s">
        <v>5618</v>
      </c>
      <c r="M139" t="s">
        <v>5618</v>
      </c>
    </row>
    <row r="140" spans="10:13" x14ac:dyDescent="0.2">
      <c r="J140" t="s">
        <v>119</v>
      </c>
      <c r="K140" t="s">
        <v>5549</v>
      </c>
      <c r="L140" t="s">
        <v>5618</v>
      </c>
      <c r="M140" t="s">
        <v>5623</v>
      </c>
    </row>
    <row r="141" spans="10:13" x14ac:dyDescent="0.2">
      <c r="J141" t="s">
        <v>119</v>
      </c>
      <c r="K141" t="s">
        <v>5541</v>
      </c>
      <c r="L141" t="s">
        <v>5618</v>
      </c>
      <c r="M141" t="s">
        <v>5623</v>
      </c>
    </row>
    <row r="142" spans="10:13" x14ac:dyDescent="0.2">
      <c r="J142" t="s">
        <v>119</v>
      </c>
      <c r="K142" t="s">
        <v>5541</v>
      </c>
      <c r="L142" t="s">
        <v>5618</v>
      </c>
      <c r="M142" t="s">
        <v>5623</v>
      </c>
    </row>
    <row r="143" spans="10:13" x14ac:dyDescent="0.2">
      <c r="J143" t="s">
        <v>119</v>
      </c>
      <c r="K143" t="s">
        <v>5541</v>
      </c>
      <c r="L143" t="s">
        <v>5618</v>
      </c>
      <c r="M143" t="s">
        <v>5623</v>
      </c>
    </row>
    <row r="144" spans="10:13" x14ac:dyDescent="0.2">
      <c r="J144" t="s">
        <v>119</v>
      </c>
      <c r="K144" t="s">
        <v>5541</v>
      </c>
      <c r="L144" t="s">
        <v>5618</v>
      </c>
      <c r="M144" t="s">
        <v>5623</v>
      </c>
    </row>
    <row r="145" spans="10:13" x14ac:dyDescent="0.2">
      <c r="J145" t="s">
        <v>119</v>
      </c>
      <c r="K145" t="s">
        <v>5541</v>
      </c>
      <c r="L145" t="s">
        <v>5618</v>
      </c>
      <c r="M145" t="s">
        <v>5618</v>
      </c>
    </row>
    <row r="146" spans="10:13" x14ac:dyDescent="0.2">
      <c r="J146" t="s">
        <v>119</v>
      </c>
      <c r="K146" t="s">
        <v>5549</v>
      </c>
      <c r="L146" t="s">
        <v>5618</v>
      </c>
      <c r="M146" t="s">
        <v>546</v>
      </c>
    </row>
    <row r="147" spans="10:13" x14ac:dyDescent="0.2">
      <c r="J147" t="s">
        <v>119</v>
      </c>
      <c r="K147" t="s">
        <v>5541</v>
      </c>
      <c r="L147" t="s">
        <v>5620</v>
      </c>
      <c r="M147" t="s">
        <v>5621</v>
      </c>
    </row>
    <row r="148" spans="10:13" x14ac:dyDescent="0.2">
      <c r="J148" t="s">
        <v>119</v>
      </c>
      <c r="K148" t="s">
        <v>5541</v>
      </c>
      <c r="L148" t="s">
        <v>5620</v>
      </c>
      <c r="M148" t="s">
        <v>5620</v>
      </c>
    </row>
    <row r="149" spans="10:13" x14ac:dyDescent="0.2">
      <c r="J149" t="s">
        <v>119</v>
      </c>
      <c r="K149" t="s">
        <v>5541</v>
      </c>
      <c r="L149" t="s">
        <v>5620</v>
      </c>
      <c r="M149" t="s">
        <v>5620</v>
      </c>
    </row>
    <row r="150" spans="10:13" x14ac:dyDescent="0.2">
      <c r="J150" t="s">
        <v>119</v>
      </c>
      <c r="K150" t="s">
        <v>5549</v>
      </c>
      <c r="L150" t="s">
        <v>5618</v>
      </c>
      <c r="M150" t="s">
        <v>5631</v>
      </c>
    </row>
    <row r="151" spans="10:13" x14ac:dyDescent="0.2">
      <c r="J151" t="s">
        <v>119</v>
      </c>
      <c r="K151" t="s">
        <v>5541</v>
      </c>
      <c r="L151" t="s">
        <v>5620</v>
      </c>
      <c r="M151" t="s">
        <v>5620</v>
      </c>
    </row>
    <row r="152" spans="10:13" x14ac:dyDescent="0.2">
      <c r="J152" t="s">
        <v>119</v>
      </c>
      <c r="K152" t="s">
        <v>5541</v>
      </c>
      <c r="L152" t="s">
        <v>5620</v>
      </c>
      <c r="M152" t="s">
        <v>5620</v>
      </c>
    </row>
    <row r="153" spans="10:13" x14ac:dyDescent="0.2">
      <c r="J153" t="s">
        <v>119</v>
      </c>
      <c r="K153" t="s">
        <v>5541</v>
      </c>
      <c r="L153" t="s">
        <v>5620</v>
      </c>
      <c r="M153" t="s">
        <v>5620</v>
      </c>
    </row>
    <row r="154" spans="10:13" x14ac:dyDescent="0.2">
      <c r="J154" t="s">
        <v>119</v>
      </c>
      <c r="K154" t="s">
        <v>5541</v>
      </c>
      <c r="L154" t="s">
        <v>5620</v>
      </c>
      <c r="M154" t="s">
        <v>5620</v>
      </c>
    </row>
    <row r="155" spans="10:13" x14ac:dyDescent="0.2">
      <c r="J155" t="s">
        <v>119</v>
      </c>
      <c r="K155" t="s">
        <v>5549</v>
      </c>
      <c r="L155" t="s">
        <v>5618</v>
      </c>
      <c r="M155" t="s">
        <v>5623</v>
      </c>
    </row>
    <row r="156" spans="10:13" x14ac:dyDescent="0.2">
      <c r="J156" t="s">
        <v>119</v>
      </c>
      <c r="K156" t="s">
        <v>5541</v>
      </c>
      <c r="L156" t="s">
        <v>5620</v>
      </c>
      <c r="M156" t="s">
        <v>5620</v>
      </c>
    </row>
    <row r="157" spans="10:13" x14ac:dyDescent="0.2">
      <c r="J157" t="s">
        <v>119</v>
      </c>
      <c r="K157" t="s">
        <v>5549</v>
      </c>
      <c r="L157" t="s">
        <v>5620</v>
      </c>
      <c r="M157" t="s">
        <v>5622</v>
      </c>
    </row>
    <row r="158" spans="10:13" x14ac:dyDescent="0.2">
      <c r="J158" t="s">
        <v>119</v>
      </c>
      <c r="K158" t="s">
        <v>5549</v>
      </c>
      <c r="L158" t="s">
        <v>5618</v>
      </c>
      <c r="M158" t="s">
        <v>5632</v>
      </c>
    </row>
    <row r="159" spans="10:13" x14ac:dyDescent="0.2">
      <c r="J159" t="s">
        <v>119</v>
      </c>
      <c r="K159" t="s">
        <v>5541</v>
      </c>
      <c r="L159" t="s">
        <v>5618</v>
      </c>
      <c r="M159" t="s">
        <v>5618</v>
      </c>
    </row>
    <row r="160" spans="10:13" x14ac:dyDescent="0.2">
      <c r="J160" t="s">
        <v>119</v>
      </c>
      <c r="K160" t="s">
        <v>5541</v>
      </c>
      <c r="L160" t="s">
        <v>5620</v>
      </c>
      <c r="M160" t="s">
        <v>5621</v>
      </c>
    </row>
    <row r="161" spans="10:13" x14ac:dyDescent="0.2">
      <c r="J161" t="s">
        <v>119</v>
      </c>
      <c r="K161" t="s">
        <v>5541</v>
      </c>
      <c r="L161" t="s">
        <v>5620</v>
      </c>
      <c r="M161" t="s">
        <v>5620</v>
      </c>
    </row>
    <row r="162" spans="10:13" x14ac:dyDescent="0.2">
      <c r="J162" t="s">
        <v>119</v>
      </c>
      <c r="K162" t="s">
        <v>5541</v>
      </c>
      <c r="L162" t="s">
        <v>5620</v>
      </c>
      <c r="M162" t="s">
        <v>5621</v>
      </c>
    </row>
    <row r="163" spans="10:13" x14ac:dyDescent="0.2">
      <c r="J163" t="s">
        <v>119</v>
      </c>
      <c r="K163" t="s">
        <v>5541</v>
      </c>
      <c r="L163" t="s">
        <v>5620</v>
      </c>
      <c r="M163" t="s">
        <v>5625</v>
      </c>
    </row>
    <row r="164" spans="10:13" x14ac:dyDescent="0.2">
      <c r="J164" t="s">
        <v>119</v>
      </c>
      <c r="K164" t="s">
        <v>5549</v>
      </c>
      <c r="L164" t="s">
        <v>5618</v>
      </c>
      <c r="M164" t="s">
        <v>323</v>
      </c>
    </row>
    <row r="165" spans="10:13" x14ac:dyDescent="0.2">
      <c r="J165" t="s">
        <v>119</v>
      </c>
      <c r="K165" t="s">
        <v>5541</v>
      </c>
      <c r="L165" t="s">
        <v>5620</v>
      </c>
      <c r="M165" t="s">
        <v>5620</v>
      </c>
    </row>
    <row r="166" spans="10:13" x14ac:dyDescent="0.2">
      <c r="J166" t="s">
        <v>119</v>
      </c>
      <c r="K166" t="s">
        <v>5549</v>
      </c>
      <c r="L166" t="s">
        <v>5618</v>
      </c>
      <c r="M166" t="s">
        <v>546</v>
      </c>
    </row>
    <row r="167" spans="10:13" x14ac:dyDescent="0.2">
      <c r="J167" t="s">
        <v>119</v>
      </c>
      <c r="K167" t="s">
        <v>5549</v>
      </c>
      <c r="L167" t="s">
        <v>5618</v>
      </c>
      <c r="M167" t="s">
        <v>5632</v>
      </c>
    </row>
    <row r="168" spans="10:13" x14ac:dyDescent="0.2">
      <c r="J168" t="s">
        <v>119</v>
      </c>
      <c r="K168" t="s">
        <v>5541</v>
      </c>
      <c r="L168" t="s">
        <v>5620</v>
      </c>
      <c r="M168" t="s">
        <v>5621</v>
      </c>
    </row>
    <row r="169" spans="10:13" x14ac:dyDescent="0.2">
      <c r="J169" t="s">
        <v>119</v>
      </c>
      <c r="K169" t="s">
        <v>5541</v>
      </c>
      <c r="L169" t="s">
        <v>5620</v>
      </c>
      <c r="M169" t="s">
        <v>5621</v>
      </c>
    </row>
    <row r="170" spans="10:13" x14ac:dyDescent="0.2">
      <c r="J170" t="s">
        <v>119</v>
      </c>
      <c r="K170" t="s">
        <v>5549</v>
      </c>
      <c r="L170" t="s">
        <v>5618</v>
      </c>
      <c r="M170" t="s">
        <v>5618</v>
      </c>
    </row>
    <row r="171" spans="10:13" x14ac:dyDescent="0.2">
      <c r="J171" t="s">
        <v>119</v>
      </c>
      <c r="K171" t="s">
        <v>5541</v>
      </c>
      <c r="L171" t="s">
        <v>5620</v>
      </c>
      <c r="M171" t="s">
        <v>5620</v>
      </c>
    </row>
    <row r="172" spans="10:13" x14ac:dyDescent="0.2">
      <c r="J172" t="s">
        <v>119</v>
      </c>
      <c r="K172" t="s">
        <v>5549</v>
      </c>
      <c r="L172" t="s">
        <v>5620</v>
      </c>
      <c r="M172" t="s">
        <v>5621</v>
      </c>
    </row>
    <row r="173" spans="10:13" x14ac:dyDescent="0.2">
      <c r="J173" t="s">
        <v>119</v>
      </c>
      <c r="K173" t="s">
        <v>5549</v>
      </c>
      <c r="L173" t="s">
        <v>5620</v>
      </c>
      <c r="M173" t="s">
        <v>5621</v>
      </c>
    </row>
    <row r="174" spans="10:13" x14ac:dyDescent="0.2">
      <c r="J174" t="s">
        <v>119</v>
      </c>
      <c r="K174" t="s">
        <v>5541</v>
      </c>
      <c r="L174" t="s">
        <v>5620</v>
      </c>
      <c r="M174" t="s">
        <v>5622</v>
      </c>
    </row>
    <row r="175" spans="10:13" x14ac:dyDescent="0.2">
      <c r="J175" t="s">
        <v>119</v>
      </c>
      <c r="K175" t="s">
        <v>5541</v>
      </c>
      <c r="L175" t="s">
        <v>5620</v>
      </c>
      <c r="M175" t="s">
        <v>5620</v>
      </c>
    </row>
    <row r="176" spans="10:13" x14ac:dyDescent="0.2">
      <c r="J176" t="s">
        <v>119</v>
      </c>
      <c r="K176" t="s">
        <v>5541</v>
      </c>
      <c r="L176" t="s">
        <v>5633</v>
      </c>
      <c r="M176" t="s">
        <v>5633</v>
      </c>
    </row>
    <row r="177" spans="10:13" x14ac:dyDescent="0.2">
      <c r="J177" t="s">
        <v>119</v>
      </c>
      <c r="K177" t="s">
        <v>5541</v>
      </c>
      <c r="L177" t="s">
        <v>5618</v>
      </c>
      <c r="M177" t="s">
        <v>5618</v>
      </c>
    </row>
    <row r="178" spans="10:13" x14ac:dyDescent="0.2">
      <c r="J178" t="s">
        <v>119</v>
      </c>
      <c r="K178" t="s">
        <v>5549</v>
      </c>
      <c r="L178" t="s">
        <v>5620</v>
      </c>
      <c r="M178" t="s">
        <v>5622</v>
      </c>
    </row>
    <row r="179" spans="10:13" x14ac:dyDescent="0.2">
      <c r="J179" t="s">
        <v>119</v>
      </c>
      <c r="K179" t="s">
        <v>5541</v>
      </c>
      <c r="L179" t="s">
        <v>5620</v>
      </c>
      <c r="M179" t="s">
        <v>5627</v>
      </c>
    </row>
    <row r="180" spans="10:13" x14ac:dyDescent="0.2">
      <c r="J180" t="s">
        <v>119</v>
      </c>
      <c r="K180" t="s">
        <v>5541</v>
      </c>
      <c r="L180" t="s">
        <v>5620</v>
      </c>
      <c r="M180" t="s">
        <v>5620</v>
      </c>
    </row>
    <row r="181" spans="10:13" x14ac:dyDescent="0.2">
      <c r="J181" t="s">
        <v>119</v>
      </c>
      <c r="K181" t="s">
        <v>5541</v>
      </c>
      <c r="L181" t="s">
        <v>5618</v>
      </c>
      <c r="M181" t="s">
        <v>5618</v>
      </c>
    </row>
    <row r="182" spans="10:13" x14ac:dyDescent="0.2">
      <c r="J182" t="s">
        <v>119</v>
      </c>
      <c r="K182" t="s">
        <v>5541</v>
      </c>
      <c r="L182" t="s">
        <v>5620</v>
      </c>
      <c r="M182" t="s">
        <v>5621</v>
      </c>
    </row>
    <row r="183" spans="10:13" x14ac:dyDescent="0.2">
      <c r="J183" t="s">
        <v>119</v>
      </c>
      <c r="K183" t="s">
        <v>5541</v>
      </c>
      <c r="L183" t="s">
        <v>5620</v>
      </c>
      <c r="M183" t="s">
        <v>5621</v>
      </c>
    </row>
    <row r="184" spans="10:13" x14ac:dyDescent="0.2">
      <c r="J184" t="s">
        <v>119</v>
      </c>
      <c r="K184" t="s">
        <v>5541</v>
      </c>
      <c r="L184" t="s">
        <v>5620</v>
      </c>
      <c r="M184" t="s">
        <v>5620</v>
      </c>
    </row>
    <row r="185" spans="10:13" x14ac:dyDescent="0.2">
      <c r="J185" t="s">
        <v>119</v>
      </c>
      <c r="K185" t="s">
        <v>5541</v>
      </c>
      <c r="L185" t="s">
        <v>5618</v>
      </c>
      <c r="M185" t="s">
        <v>5618</v>
      </c>
    </row>
    <row r="186" spans="10:13" x14ac:dyDescent="0.2">
      <c r="J186" t="s">
        <v>119</v>
      </c>
      <c r="K186" t="s">
        <v>5541</v>
      </c>
      <c r="L186" t="s">
        <v>5618</v>
      </c>
      <c r="M186" t="s">
        <v>5631</v>
      </c>
    </row>
    <row r="187" spans="10:13" x14ac:dyDescent="0.2">
      <c r="J187" t="s">
        <v>119</v>
      </c>
      <c r="K187" t="s">
        <v>5541</v>
      </c>
      <c r="L187" t="s">
        <v>5618</v>
      </c>
      <c r="M187" t="s">
        <v>5618</v>
      </c>
    </row>
    <row r="188" spans="10:13" x14ac:dyDescent="0.2">
      <c r="J188" t="s">
        <v>119</v>
      </c>
      <c r="K188" t="s">
        <v>5541</v>
      </c>
      <c r="L188" t="s">
        <v>5620</v>
      </c>
      <c r="M188" t="s">
        <v>5620</v>
      </c>
    </row>
    <row r="189" spans="10:13" x14ac:dyDescent="0.2">
      <c r="J189" t="s">
        <v>119</v>
      </c>
      <c r="K189" t="s">
        <v>5541</v>
      </c>
      <c r="L189" t="s">
        <v>5634</v>
      </c>
      <c r="M189" t="s">
        <v>5634</v>
      </c>
    </row>
    <row r="190" spans="10:13" x14ac:dyDescent="0.2">
      <c r="J190" t="s">
        <v>119</v>
      </c>
      <c r="K190" t="s">
        <v>5549</v>
      </c>
      <c r="L190" t="s">
        <v>5620</v>
      </c>
      <c r="M190" t="s">
        <v>5621</v>
      </c>
    </row>
    <row r="191" spans="10:13" x14ac:dyDescent="0.2">
      <c r="J191" t="s">
        <v>119</v>
      </c>
      <c r="K191" t="s">
        <v>5541</v>
      </c>
      <c r="L191" t="s">
        <v>5620</v>
      </c>
      <c r="M191" t="s">
        <v>5620</v>
      </c>
    </row>
    <row r="192" spans="10:13" x14ac:dyDescent="0.2">
      <c r="J192" t="s">
        <v>119</v>
      </c>
      <c r="K192" t="s">
        <v>5541</v>
      </c>
      <c r="L192" t="s">
        <v>5620</v>
      </c>
      <c r="M192" t="s">
        <v>5620</v>
      </c>
    </row>
    <row r="193" spans="10:13" x14ac:dyDescent="0.2">
      <c r="J193" t="s">
        <v>119</v>
      </c>
      <c r="K193" t="s">
        <v>5541</v>
      </c>
      <c r="L193" t="s">
        <v>5620</v>
      </c>
      <c r="M193" t="s">
        <v>5620</v>
      </c>
    </row>
    <row r="194" spans="10:13" x14ac:dyDescent="0.2">
      <c r="J194" t="s">
        <v>119</v>
      </c>
      <c r="K194" t="s">
        <v>5541</v>
      </c>
      <c r="L194" t="s">
        <v>5620</v>
      </c>
      <c r="M194" t="s">
        <v>5620</v>
      </c>
    </row>
    <row r="195" spans="10:13" x14ac:dyDescent="0.2">
      <c r="J195" t="s">
        <v>119</v>
      </c>
      <c r="K195" t="s">
        <v>5541</v>
      </c>
      <c r="L195" t="s">
        <v>5618</v>
      </c>
      <c r="M195" t="s">
        <v>5623</v>
      </c>
    </row>
    <row r="196" spans="10:13" x14ac:dyDescent="0.2">
      <c r="J196" t="s">
        <v>119</v>
      </c>
      <c r="K196" t="s">
        <v>5549</v>
      </c>
      <c r="L196" t="s">
        <v>5618</v>
      </c>
      <c r="M196" t="s">
        <v>5630</v>
      </c>
    </row>
    <row r="197" spans="10:13" x14ac:dyDescent="0.2">
      <c r="J197" t="s">
        <v>119</v>
      </c>
      <c r="K197" t="s">
        <v>5541</v>
      </c>
      <c r="L197" t="s">
        <v>5620</v>
      </c>
      <c r="M197" t="s">
        <v>5620</v>
      </c>
    </row>
    <row r="198" spans="10:13" x14ac:dyDescent="0.2">
      <c r="J198" t="s">
        <v>119</v>
      </c>
      <c r="K198" t="s">
        <v>5549</v>
      </c>
      <c r="L198" t="s">
        <v>5618</v>
      </c>
      <c r="M198" t="s">
        <v>5623</v>
      </c>
    </row>
    <row r="199" spans="10:13" x14ac:dyDescent="0.2">
      <c r="J199" t="s">
        <v>119</v>
      </c>
      <c r="K199" t="s">
        <v>5541</v>
      </c>
      <c r="L199" t="s">
        <v>5620</v>
      </c>
      <c r="M199" t="s">
        <v>5620</v>
      </c>
    </row>
    <row r="200" spans="10:13" x14ac:dyDescent="0.2">
      <c r="J200" t="s">
        <v>119</v>
      </c>
      <c r="K200" t="s">
        <v>5549</v>
      </c>
      <c r="L200" t="s">
        <v>5620</v>
      </c>
      <c r="M200" t="s">
        <v>5620</v>
      </c>
    </row>
    <row r="201" spans="10:13" x14ac:dyDescent="0.2">
      <c r="J201" t="s">
        <v>119</v>
      </c>
      <c r="K201" t="s">
        <v>5541</v>
      </c>
      <c r="L201" t="s">
        <v>5618</v>
      </c>
      <c r="M201" t="s">
        <v>5618</v>
      </c>
    </row>
    <row r="202" spans="10:13" x14ac:dyDescent="0.2">
      <c r="J202" t="s">
        <v>119</v>
      </c>
      <c r="K202" t="s">
        <v>5549</v>
      </c>
      <c r="L202" t="s">
        <v>5620</v>
      </c>
      <c r="M202" t="s">
        <v>5620</v>
      </c>
    </row>
    <row r="203" spans="10:13" x14ac:dyDescent="0.2">
      <c r="J203" t="s">
        <v>119</v>
      </c>
      <c r="K203" t="s">
        <v>5541</v>
      </c>
      <c r="L203" t="s">
        <v>5620</v>
      </c>
      <c r="M203" t="s">
        <v>5620</v>
      </c>
    </row>
    <row r="204" spans="10:13" x14ac:dyDescent="0.2">
      <c r="J204" t="s">
        <v>119</v>
      </c>
      <c r="K204" t="s">
        <v>5549</v>
      </c>
      <c r="L204" t="s">
        <v>5618</v>
      </c>
      <c r="M204" t="s">
        <v>5618</v>
      </c>
    </row>
    <row r="205" spans="10:13" x14ac:dyDescent="0.2">
      <c r="J205" t="s">
        <v>119</v>
      </c>
      <c r="K205" t="s">
        <v>5541</v>
      </c>
      <c r="L205" t="s">
        <v>5618</v>
      </c>
      <c r="M205" t="s">
        <v>5618</v>
      </c>
    </row>
    <row r="206" spans="10:13" x14ac:dyDescent="0.2">
      <c r="J206" t="s">
        <v>119</v>
      </c>
      <c r="K206" t="s">
        <v>5541</v>
      </c>
      <c r="L206" t="s">
        <v>5620</v>
      </c>
      <c r="M206" t="s">
        <v>5627</v>
      </c>
    </row>
    <row r="207" spans="10:13" x14ac:dyDescent="0.2">
      <c r="J207" t="s">
        <v>119</v>
      </c>
      <c r="K207" t="s">
        <v>5541</v>
      </c>
      <c r="L207" t="s">
        <v>5620</v>
      </c>
      <c r="M207" t="s">
        <v>5627</v>
      </c>
    </row>
    <row r="208" spans="10:13" x14ac:dyDescent="0.2">
      <c r="J208" t="s">
        <v>119</v>
      </c>
      <c r="K208" t="s">
        <v>5549</v>
      </c>
      <c r="L208" t="s">
        <v>5618</v>
      </c>
      <c r="M208" t="s">
        <v>546</v>
      </c>
    </row>
    <row r="209" spans="10:13" x14ac:dyDescent="0.2">
      <c r="J209" t="s">
        <v>119</v>
      </c>
      <c r="K209" t="s">
        <v>5541</v>
      </c>
      <c r="L209" t="s">
        <v>5618</v>
      </c>
      <c r="M209" t="s">
        <v>5623</v>
      </c>
    </row>
    <row r="210" spans="10:13" x14ac:dyDescent="0.2">
      <c r="J210" t="s">
        <v>119</v>
      </c>
      <c r="K210" t="s">
        <v>5549</v>
      </c>
      <c r="L210" t="s">
        <v>5620</v>
      </c>
      <c r="M210" t="s">
        <v>5621</v>
      </c>
    </row>
    <row r="211" spans="10:13" x14ac:dyDescent="0.2">
      <c r="J211" t="s">
        <v>119</v>
      </c>
      <c r="K211" t="s">
        <v>5549</v>
      </c>
      <c r="L211" t="s">
        <v>5618</v>
      </c>
      <c r="M211" t="s">
        <v>5635</v>
      </c>
    </row>
    <row r="212" spans="10:13" x14ac:dyDescent="0.2">
      <c r="J212" t="s">
        <v>119</v>
      </c>
      <c r="K212" t="s">
        <v>5541</v>
      </c>
      <c r="L212" t="s">
        <v>5620</v>
      </c>
      <c r="M212" t="s">
        <v>5625</v>
      </c>
    </row>
    <row r="213" spans="10:13" x14ac:dyDescent="0.2">
      <c r="J213" t="s">
        <v>119</v>
      </c>
      <c r="K213" t="s">
        <v>5549</v>
      </c>
      <c r="L213" t="s">
        <v>5623</v>
      </c>
      <c r="M213" t="s">
        <v>5631</v>
      </c>
    </row>
    <row r="214" spans="10:13" x14ac:dyDescent="0.2">
      <c r="J214" t="s">
        <v>119</v>
      </c>
      <c r="K214" t="s">
        <v>5549</v>
      </c>
      <c r="L214" t="s">
        <v>5620</v>
      </c>
      <c r="M214" t="s">
        <v>5628</v>
      </c>
    </row>
    <row r="215" spans="10:13" x14ac:dyDescent="0.2">
      <c r="J215" t="s">
        <v>119</v>
      </c>
      <c r="K215" t="s">
        <v>5541</v>
      </c>
      <c r="L215" t="s">
        <v>5618</v>
      </c>
      <c r="M215" t="s">
        <v>5623</v>
      </c>
    </row>
    <row r="216" spans="10:13" x14ac:dyDescent="0.2">
      <c r="J216" t="s">
        <v>119</v>
      </c>
      <c r="K216" t="s">
        <v>5549</v>
      </c>
      <c r="L216" t="s">
        <v>5618</v>
      </c>
      <c r="M216" t="s">
        <v>5636</v>
      </c>
    </row>
    <row r="217" spans="10:13" x14ac:dyDescent="0.2">
      <c r="J217" t="s">
        <v>119</v>
      </c>
      <c r="K217" t="s">
        <v>5549</v>
      </c>
      <c r="L217" t="s">
        <v>5618</v>
      </c>
      <c r="M217" t="s">
        <v>5635</v>
      </c>
    </row>
    <row r="218" spans="10:13" x14ac:dyDescent="0.2">
      <c r="J218" t="s">
        <v>119</v>
      </c>
      <c r="K218" t="s">
        <v>5541</v>
      </c>
      <c r="L218" t="s">
        <v>5618</v>
      </c>
      <c r="M218" t="s">
        <v>5636</v>
      </c>
    </row>
    <row r="219" spans="10:13" x14ac:dyDescent="0.2">
      <c r="J219" t="s">
        <v>119</v>
      </c>
      <c r="K219" t="s">
        <v>5549</v>
      </c>
      <c r="L219" t="s">
        <v>5618</v>
      </c>
      <c r="M219" t="s">
        <v>5619</v>
      </c>
    </row>
    <row r="220" spans="10:13" x14ac:dyDescent="0.2">
      <c r="J220" t="s">
        <v>119</v>
      </c>
      <c r="K220" t="s">
        <v>5541</v>
      </c>
      <c r="L220" t="s">
        <v>5618</v>
      </c>
      <c r="M220" t="s">
        <v>5618</v>
      </c>
    </row>
    <row r="221" spans="10:13" x14ac:dyDescent="0.2">
      <c r="J221" t="s">
        <v>119</v>
      </c>
      <c r="K221" t="s">
        <v>5541</v>
      </c>
      <c r="L221" t="s">
        <v>5618</v>
      </c>
      <c r="M221" t="s">
        <v>5623</v>
      </c>
    </row>
    <row r="222" spans="10:13" x14ac:dyDescent="0.2">
      <c r="J222" t="s">
        <v>119</v>
      </c>
      <c r="K222" t="s">
        <v>5541</v>
      </c>
      <c r="L222" t="s">
        <v>5618</v>
      </c>
      <c r="M222" t="s">
        <v>5618</v>
      </c>
    </row>
    <row r="223" spans="10:13" x14ac:dyDescent="0.2">
      <c r="J223" t="s">
        <v>119</v>
      </c>
      <c r="K223" t="s">
        <v>5549</v>
      </c>
      <c r="L223" t="s">
        <v>5618</v>
      </c>
      <c r="M223" t="s">
        <v>5632</v>
      </c>
    </row>
    <row r="224" spans="10:13" x14ac:dyDescent="0.2">
      <c r="J224" t="s">
        <v>119</v>
      </c>
      <c r="K224" t="s">
        <v>5541</v>
      </c>
      <c r="L224" t="s">
        <v>5620</v>
      </c>
      <c r="M224" t="s">
        <v>5621</v>
      </c>
    </row>
    <row r="225" spans="10:13" x14ac:dyDescent="0.2">
      <c r="J225" t="s">
        <v>119</v>
      </c>
      <c r="K225" t="s">
        <v>5549</v>
      </c>
      <c r="L225" t="s">
        <v>5618</v>
      </c>
      <c r="M225" t="s">
        <v>5618</v>
      </c>
    </row>
    <row r="226" spans="10:13" x14ac:dyDescent="0.2">
      <c r="J226" t="s">
        <v>119</v>
      </c>
      <c r="K226" t="s">
        <v>5549</v>
      </c>
      <c r="L226" t="s">
        <v>5633</v>
      </c>
      <c r="M226" t="s">
        <v>5637</v>
      </c>
    </row>
    <row r="227" spans="10:13" x14ac:dyDescent="0.2">
      <c r="J227" t="s">
        <v>119</v>
      </c>
      <c r="K227" t="s">
        <v>5541</v>
      </c>
      <c r="L227" t="s">
        <v>5620</v>
      </c>
      <c r="M227" t="s">
        <v>5621</v>
      </c>
    </row>
    <row r="228" spans="10:13" x14ac:dyDescent="0.2">
      <c r="J228" t="s">
        <v>119</v>
      </c>
      <c r="K228" t="s">
        <v>5541</v>
      </c>
      <c r="L228" t="s">
        <v>5620</v>
      </c>
      <c r="M228" t="s">
        <v>5627</v>
      </c>
    </row>
    <row r="229" spans="10:13" x14ac:dyDescent="0.2">
      <c r="J229" t="s">
        <v>119</v>
      </c>
      <c r="K229" t="s">
        <v>5541</v>
      </c>
      <c r="L229" t="s">
        <v>5620</v>
      </c>
      <c r="M229" t="s">
        <v>5620</v>
      </c>
    </row>
    <row r="230" spans="10:13" x14ac:dyDescent="0.2">
      <c r="J230" t="s">
        <v>119</v>
      </c>
      <c r="K230" t="s">
        <v>5541</v>
      </c>
      <c r="L230" t="s">
        <v>5620</v>
      </c>
      <c r="M230" t="s">
        <v>5620</v>
      </c>
    </row>
    <row r="231" spans="10:13" x14ac:dyDescent="0.2">
      <c r="J231" t="s">
        <v>119</v>
      </c>
      <c r="K231" t="s">
        <v>5541</v>
      </c>
      <c r="L231" t="s">
        <v>5620</v>
      </c>
      <c r="M231" t="s">
        <v>5620</v>
      </c>
    </row>
    <row r="232" spans="10:13" x14ac:dyDescent="0.2">
      <c r="J232" t="s">
        <v>119</v>
      </c>
      <c r="K232" t="s">
        <v>5541</v>
      </c>
      <c r="L232" t="s">
        <v>5620</v>
      </c>
      <c r="M232" t="s">
        <v>5627</v>
      </c>
    </row>
    <row r="233" spans="10:13" x14ac:dyDescent="0.2">
      <c r="J233" t="s">
        <v>119</v>
      </c>
      <c r="K233" t="s">
        <v>5541</v>
      </c>
      <c r="L233" t="s">
        <v>5620</v>
      </c>
      <c r="M233" t="s">
        <v>5627</v>
      </c>
    </row>
    <row r="234" spans="10:13" x14ac:dyDescent="0.2">
      <c r="J234" t="s">
        <v>119</v>
      </c>
      <c r="K234" t="s">
        <v>5541</v>
      </c>
      <c r="L234" t="s">
        <v>5618</v>
      </c>
      <c r="M234" t="s">
        <v>5618</v>
      </c>
    </row>
    <row r="235" spans="10:13" x14ac:dyDescent="0.2">
      <c r="J235" t="s">
        <v>119</v>
      </c>
      <c r="K235" t="s">
        <v>5549</v>
      </c>
      <c r="L235" t="s">
        <v>5618</v>
      </c>
      <c r="M235" t="s">
        <v>5623</v>
      </c>
    </row>
    <row r="236" spans="10:13" x14ac:dyDescent="0.2">
      <c r="J236" t="s">
        <v>119</v>
      </c>
      <c r="K236" t="s">
        <v>5541</v>
      </c>
      <c r="L236" t="s">
        <v>5620</v>
      </c>
      <c r="M236" t="s">
        <v>5621</v>
      </c>
    </row>
    <row r="237" spans="10:13" x14ac:dyDescent="0.2">
      <c r="J237" t="s">
        <v>119</v>
      </c>
      <c r="K237" t="s">
        <v>5549</v>
      </c>
      <c r="L237" t="s">
        <v>5618</v>
      </c>
      <c r="M237" t="s">
        <v>5619</v>
      </c>
    </row>
    <row r="238" spans="10:13" x14ac:dyDescent="0.2">
      <c r="J238" t="s">
        <v>119</v>
      </c>
      <c r="K238" t="s">
        <v>5549</v>
      </c>
      <c r="L238" t="s">
        <v>5618</v>
      </c>
      <c r="M238" t="s">
        <v>5623</v>
      </c>
    </row>
    <row r="239" spans="10:13" x14ac:dyDescent="0.2">
      <c r="J239" t="s">
        <v>119</v>
      </c>
      <c r="K239" t="s">
        <v>5541</v>
      </c>
      <c r="L239" t="s">
        <v>5620</v>
      </c>
      <c r="M239" t="s">
        <v>5620</v>
      </c>
    </row>
    <row r="240" spans="10:13" x14ac:dyDescent="0.2">
      <c r="J240" t="s">
        <v>119</v>
      </c>
      <c r="K240" t="s">
        <v>5549</v>
      </c>
      <c r="L240" t="s">
        <v>5618</v>
      </c>
      <c r="M240" t="s">
        <v>5623</v>
      </c>
    </row>
    <row r="241" spans="10:13" x14ac:dyDescent="0.2">
      <c r="J241" t="s">
        <v>119</v>
      </c>
      <c r="K241" t="s">
        <v>5549</v>
      </c>
      <c r="L241" t="s">
        <v>5618</v>
      </c>
      <c r="M241" t="s">
        <v>5623</v>
      </c>
    </row>
    <row r="242" spans="10:13" x14ac:dyDescent="0.2">
      <c r="J242" t="s">
        <v>119</v>
      </c>
      <c r="K242" t="s">
        <v>5549</v>
      </c>
      <c r="L242" t="s">
        <v>5618</v>
      </c>
      <c r="M242" t="s">
        <v>5623</v>
      </c>
    </row>
    <row r="243" spans="10:13" x14ac:dyDescent="0.2">
      <c r="J243" t="s">
        <v>119</v>
      </c>
      <c r="K243" t="s">
        <v>5541</v>
      </c>
      <c r="L243" t="s">
        <v>5618</v>
      </c>
      <c r="M243" t="s">
        <v>5623</v>
      </c>
    </row>
    <row r="244" spans="10:13" x14ac:dyDescent="0.2">
      <c r="J244" t="s">
        <v>119</v>
      </c>
      <c r="K244" t="s">
        <v>5541</v>
      </c>
      <c r="L244" t="s">
        <v>5620</v>
      </c>
      <c r="M244" t="s">
        <v>5621</v>
      </c>
    </row>
    <row r="245" spans="10:13" x14ac:dyDescent="0.2">
      <c r="J245" t="s">
        <v>119</v>
      </c>
      <c r="K245" t="s">
        <v>5541</v>
      </c>
      <c r="L245" t="s">
        <v>5618</v>
      </c>
      <c r="M245" t="s">
        <v>5619</v>
      </c>
    </row>
    <row r="246" spans="10:13" x14ac:dyDescent="0.2">
      <c r="J246" t="s">
        <v>119</v>
      </c>
      <c r="K246" t="s">
        <v>5541</v>
      </c>
      <c r="L246" t="s">
        <v>5618</v>
      </c>
      <c r="M246" t="s">
        <v>5619</v>
      </c>
    </row>
    <row r="247" spans="10:13" x14ac:dyDescent="0.2">
      <c r="J247" t="s">
        <v>119</v>
      </c>
      <c r="K247" t="s">
        <v>5541</v>
      </c>
      <c r="L247" t="s">
        <v>5620</v>
      </c>
      <c r="M247" t="s">
        <v>5620</v>
      </c>
    </row>
    <row r="248" spans="10:13" x14ac:dyDescent="0.2">
      <c r="J248" t="s">
        <v>119</v>
      </c>
      <c r="K248" t="s">
        <v>5549</v>
      </c>
      <c r="L248" t="s">
        <v>5618</v>
      </c>
      <c r="M248" t="s">
        <v>5618</v>
      </c>
    </row>
    <row r="249" spans="10:13" x14ac:dyDescent="0.2">
      <c r="J249" t="s">
        <v>119</v>
      </c>
      <c r="K249" t="s">
        <v>5541</v>
      </c>
      <c r="L249" t="s">
        <v>5618</v>
      </c>
      <c r="M249" t="s">
        <v>5618</v>
      </c>
    </row>
    <row r="250" spans="10:13" x14ac:dyDescent="0.2">
      <c r="J250" t="s">
        <v>119</v>
      </c>
      <c r="K250" t="s">
        <v>5541</v>
      </c>
      <c r="L250" t="s">
        <v>5618</v>
      </c>
      <c r="M250" t="s">
        <v>5618</v>
      </c>
    </row>
    <row r="251" spans="10:13" x14ac:dyDescent="0.2">
      <c r="J251" t="s">
        <v>119</v>
      </c>
      <c r="K251" t="s">
        <v>5541</v>
      </c>
      <c r="L251" t="s">
        <v>5618</v>
      </c>
      <c r="M251" t="s">
        <v>5618</v>
      </c>
    </row>
    <row r="252" spans="10:13" x14ac:dyDescent="0.2">
      <c r="J252" t="s">
        <v>119</v>
      </c>
      <c r="K252" t="s">
        <v>5549</v>
      </c>
      <c r="L252" t="s">
        <v>5618</v>
      </c>
      <c r="M252" t="s">
        <v>5618</v>
      </c>
    </row>
    <row r="253" spans="10:13" x14ac:dyDescent="0.2">
      <c r="J253" t="s">
        <v>119</v>
      </c>
      <c r="K253" t="s">
        <v>5541</v>
      </c>
      <c r="L253" t="s">
        <v>5620</v>
      </c>
      <c r="M253" t="s">
        <v>5620</v>
      </c>
    </row>
    <row r="254" spans="10:13" x14ac:dyDescent="0.2">
      <c r="J254" t="s">
        <v>119</v>
      </c>
      <c r="K254" t="s">
        <v>5549</v>
      </c>
      <c r="L254" t="s">
        <v>5620</v>
      </c>
      <c r="M254" t="s">
        <v>5622</v>
      </c>
    </row>
    <row r="255" spans="10:13" x14ac:dyDescent="0.2">
      <c r="J255" t="s">
        <v>119</v>
      </c>
      <c r="K255" t="s">
        <v>5549</v>
      </c>
      <c r="L255" t="s">
        <v>5618</v>
      </c>
      <c r="M255" t="s">
        <v>5619</v>
      </c>
    </row>
    <row r="256" spans="10:13" x14ac:dyDescent="0.2">
      <c r="J256" t="s">
        <v>119</v>
      </c>
      <c r="K256" t="s">
        <v>5549</v>
      </c>
      <c r="L256" t="s">
        <v>5618</v>
      </c>
      <c r="M256" t="s">
        <v>5623</v>
      </c>
    </row>
    <row r="257" spans="10:13" x14ac:dyDescent="0.2">
      <c r="J257" t="s">
        <v>119</v>
      </c>
      <c r="K257" t="s">
        <v>5541</v>
      </c>
      <c r="L257" t="s">
        <v>5620</v>
      </c>
      <c r="M257" t="s">
        <v>5620</v>
      </c>
    </row>
    <row r="258" spans="10:13" x14ac:dyDescent="0.2">
      <c r="J258" t="s">
        <v>119</v>
      </c>
      <c r="K258" t="s">
        <v>5549</v>
      </c>
      <c r="L258" t="s">
        <v>5618</v>
      </c>
      <c r="M258" t="s">
        <v>5618</v>
      </c>
    </row>
    <row r="259" spans="10:13" x14ac:dyDescent="0.2">
      <c r="J259" t="s">
        <v>119</v>
      </c>
      <c r="K259" t="s">
        <v>5541</v>
      </c>
      <c r="L259" t="s">
        <v>5618</v>
      </c>
      <c r="M259" t="s">
        <v>5619</v>
      </c>
    </row>
    <row r="260" spans="10:13" x14ac:dyDescent="0.2">
      <c r="J260" t="s">
        <v>119</v>
      </c>
      <c r="K260" t="s">
        <v>5549</v>
      </c>
      <c r="L260" t="s">
        <v>5620</v>
      </c>
      <c r="M260" t="s">
        <v>5622</v>
      </c>
    </row>
    <row r="261" spans="10:13" x14ac:dyDescent="0.2">
      <c r="J261" t="s">
        <v>119</v>
      </c>
      <c r="K261" t="s">
        <v>5549</v>
      </c>
      <c r="L261" t="s">
        <v>5638</v>
      </c>
      <c r="M261" t="s">
        <v>5639</v>
      </c>
    </row>
    <row r="262" spans="10:13" x14ac:dyDescent="0.2">
      <c r="J262" t="s">
        <v>119</v>
      </c>
      <c r="K262" t="s">
        <v>5549</v>
      </c>
      <c r="L262" t="s">
        <v>5618</v>
      </c>
      <c r="M262" t="s">
        <v>5619</v>
      </c>
    </row>
    <row r="263" spans="10:13" x14ac:dyDescent="0.2">
      <c r="J263" t="s">
        <v>119</v>
      </c>
      <c r="K263" t="s">
        <v>5549</v>
      </c>
      <c r="L263" t="s">
        <v>5620</v>
      </c>
      <c r="M263" t="s">
        <v>5622</v>
      </c>
    </row>
    <row r="264" spans="10:13" x14ac:dyDescent="0.2">
      <c r="J264" t="s">
        <v>119</v>
      </c>
      <c r="K264" t="s">
        <v>5549</v>
      </c>
      <c r="L264" t="s">
        <v>5618</v>
      </c>
      <c r="M264" t="s">
        <v>5619</v>
      </c>
    </row>
    <row r="265" spans="10:13" x14ac:dyDescent="0.2">
      <c r="J265" t="s">
        <v>119</v>
      </c>
      <c r="K265" t="s">
        <v>5549</v>
      </c>
      <c r="L265" t="s">
        <v>5618</v>
      </c>
      <c r="M265" t="s">
        <v>5623</v>
      </c>
    </row>
    <row r="266" spans="10:13" x14ac:dyDescent="0.2">
      <c r="J266" t="s">
        <v>119</v>
      </c>
      <c r="K266" t="s">
        <v>5541</v>
      </c>
      <c r="L266" t="s">
        <v>5618</v>
      </c>
      <c r="M266" t="s">
        <v>5618</v>
      </c>
    </row>
    <row r="267" spans="10:13" x14ac:dyDescent="0.2">
      <c r="J267" t="s">
        <v>119</v>
      </c>
      <c r="K267" t="s">
        <v>5541</v>
      </c>
      <c r="L267" t="s">
        <v>5618</v>
      </c>
      <c r="M267" t="s">
        <v>5618</v>
      </c>
    </row>
    <row r="268" spans="10:13" x14ac:dyDescent="0.2">
      <c r="J268" t="s">
        <v>119</v>
      </c>
      <c r="K268" t="s">
        <v>5549</v>
      </c>
      <c r="L268" t="s">
        <v>5618</v>
      </c>
      <c r="M268" t="s">
        <v>5623</v>
      </c>
    </row>
    <row r="269" spans="10:13" x14ac:dyDescent="0.2">
      <c r="J269" t="s">
        <v>119</v>
      </c>
      <c r="K269" t="s">
        <v>5549</v>
      </c>
      <c r="L269" t="s">
        <v>5618</v>
      </c>
      <c r="M269" t="s">
        <v>5623</v>
      </c>
    </row>
    <row r="270" spans="10:13" x14ac:dyDescent="0.2">
      <c r="J270" t="s">
        <v>119</v>
      </c>
      <c r="K270" t="s">
        <v>5541</v>
      </c>
      <c r="L270" t="s">
        <v>5618</v>
      </c>
      <c r="M270" t="s">
        <v>5619</v>
      </c>
    </row>
    <row r="271" spans="10:13" x14ac:dyDescent="0.2">
      <c r="J271" t="s">
        <v>119</v>
      </c>
      <c r="K271" t="s">
        <v>5541</v>
      </c>
      <c r="L271" t="s">
        <v>5618</v>
      </c>
      <c r="M271" t="s">
        <v>5618</v>
      </c>
    </row>
    <row r="272" spans="10:13" x14ac:dyDescent="0.2">
      <c r="J272" t="s">
        <v>119</v>
      </c>
      <c r="K272" t="s">
        <v>5541</v>
      </c>
      <c r="L272" t="s">
        <v>5618</v>
      </c>
      <c r="M272" t="s">
        <v>5619</v>
      </c>
    </row>
    <row r="273" spans="10:13" x14ac:dyDescent="0.2">
      <c r="J273" t="s">
        <v>119</v>
      </c>
      <c r="K273" t="s">
        <v>5541</v>
      </c>
      <c r="L273" t="s">
        <v>5618</v>
      </c>
      <c r="M273" t="s">
        <v>5618</v>
      </c>
    </row>
    <row r="274" spans="10:13" x14ac:dyDescent="0.2">
      <c r="J274" t="s">
        <v>119</v>
      </c>
      <c r="K274" t="s">
        <v>5541</v>
      </c>
      <c r="L274" t="s">
        <v>5620</v>
      </c>
      <c r="M274" t="s">
        <v>5620</v>
      </c>
    </row>
    <row r="275" spans="10:13" x14ac:dyDescent="0.2">
      <c r="J275" t="s">
        <v>119</v>
      </c>
      <c r="K275" t="s">
        <v>5549</v>
      </c>
      <c r="L275" t="s">
        <v>5618</v>
      </c>
      <c r="M275" t="s">
        <v>5623</v>
      </c>
    </row>
    <row r="276" spans="10:13" x14ac:dyDescent="0.2">
      <c r="J276" t="s">
        <v>119</v>
      </c>
      <c r="K276" t="s">
        <v>5541</v>
      </c>
      <c r="L276" t="s">
        <v>5620</v>
      </c>
      <c r="M276" t="s">
        <v>5620</v>
      </c>
    </row>
    <row r="277" spans="10:13" x14ac:dyDescent="0.2">
      <c r="J277" t="s">
        <v>119</v>
      </c>
      <c r="K277" t="s">
        <v>5549</v>
      </c>
      <c r="L277" t="s">
        <v>5618</v>
      </c>
      <c r="M277" t="s">
        <v>5623</v>
      </c>
    </row>
    <row r="278" spans="10:13" x14ac:dyDescent="0.2">
      <c r="J278" t="s">
        <v>119</v>
      </c>
      <c r="K278" t="s">
        <v>5549</v>
      </c>
      <c r="L278" t="s">
        <v>5618</v>
      </c>
      <c r="M278" t="s">
        <v>5619</v>
      </c>
    </row>
    <row r="279" spans="10:13" x14ac:dyDescent="0.2">
      <c r="J279" t="s">
        <v>119</v>
      </c>
      <c r="K279" t="s">
        <v>5541</v>
      </c>
      <c r="L279" t="s">
        <v>5620</v>
      </c>
      <c r="M279" t="s">
        <v>5620</v>
      </c>
    </row>
    <row r="280" spans="10:13" x14ac:dyDescent="0.2">
      <c r="J280" t="s">
        <v>119</v>
      </c>
      <c r="K280" t="s">
        <v>5549</v>
      </c>
      <c r="L280" t="s">
        <v>5618</v>
      </c>
      <c r="M280" t="s">
        <v>5623</v>
      </c>
    </row>
    <row r="281" spans="10:13" x14ac:dyDescent="0.2">
      <c r="J281" t="s">
        <v>119</v>
      </c>
      <c r="K281" t="s">
        <v>5541</v>
      </c>
      <c r="L281" t="s">
        <v>5618</v>
      </c>
      <c r="M281" t="s">
        <v>5618</v>
      </c>
    </row>
    <row r="282" spans="10:13" x14ac:dyDescent="0.2">
      <c r="J282" t="s">
        <v>119</v>
      </c>
      <c r="K282" t="s">
        <v>5549</v>
      </c>
      <c r="L282" t="s">
        <v>5618</v>
      </c>
      <c r="M282" t="s">
        <v>5618</v>
      </c>
    </row>
    <row r="283" spans="10:13" x14ac:dyDescent="0.2">
      <c r="J283" t="s">
        <v>119</v>
      </c>
      <c r="K283" t="s">
        <v>5549</v>
      </c>
      <c r="L283" t="s">
        <v>5618</v>
      </c>
      <c r="M283" t="s">
        <v>5618</v>
      </c>
    </row>
    <row r="284" spans="10:13" x14ac:dyDescent="0.2">
      <c r="J284" t="s">
        <v>119</v>
      </c>
      <c r="K284" t="s">
        <v>5541</v>
      </c>
      <c r="L284" t="s">
        <v>5618</v>
      </c>
      <c r="M284" t="s">
        <v>5624</v>
      </c>
    </row>
    <row r="285" spans="10:13" x14ac:dyDescent="0.2">
      <c r="J285" t="s">
        <v>119</v>
      </c>
      <c r="K285" t="s">
        <v>5541</v>
      </c>
      <c r="L285" t="s">
        <v>5618</v>
      </c>
      <c r="M285" t="s">
        <v>5623</v>
      </c>
    </row>
    <row r="286" spans="10:13" x14ac:dyDescent="0.2">
      <c r="J286" t="s">
        <v>119</v>
      </c>
      <c r="K286" t="s">
        <v>5549</v>
      </c>
      <c r="L286" t="s">
        <v>5618</v>
      </c>
      <c r="M286" t="s">
        <v>5619</v>
      </c>
    </row>
    <row r="287" spans="10:13" x14ac:dyDescent="0.2">
      <c r="J287" t="s">
        <v>119</v>
      </c>
      <c r="K287" t="s">
        <v>5549</v>
      </c>
      <c r="L287" t="s">
        <v>5618</v>
      </c>
      <c r="M287" t="s">
        <v>5624</v>
      </c>
    </row>
    <row r="288" spans="10:13" x14ac:dyDescent="0.2">
      <c r="J288" t="s">
        <v>119</v>
      </c>
      <c r="K288" t="s">
        <v>5549</v>
      </c>
      <c r="L288" t="s">
        <v>5618</v>
      </c>
      <c r="M288" t="s">
        <v>5618</v>
      </c>
    </row>
    <row r="289" spans="10:13" x14ac:dyDescent="0.2">
      <c r="J289" t="s">
        <v>119</v>
      </c>
      <c r="K289" t="s">
        <v>5549</v>
      </c>
      <c r="L289" t="s">
        <v>5618</v>
      </c>
      <c r="M289" t="s">
        <v>5619</v>
      </c>
    </row>
    <row r="290" spans="10:13" x14ac:dyDescent="0.2">
      <c r="J290" t="s">
        <v>119</v>
      </c>
      <c r="K290" t="s">
        <v>5549</v>
      </c>
      <c r="L290" t="s">
        <v>5618</v>
      </c>
      <c r="M290" t="s">
        <v>5623</v>
      </c>
    </row>
    <row r="291" spans="10:13" x14ac:dyDescent="0.2">
      <c r="J291" t="s">
        <v>119</v>
      </c>
      <c r="K291" t="s">
        <v>5549</v>
      </c>
      <c r="L291" t="s">
        <v>5618</v>
      </c>
      <c r="M291" t="s">
        <v>5624</v>
      </c>
    </row>
    <row r="292" spans="10:13" x14ac:dyDescent="0.2">
      <c r="J292" t="s">
        <v>119</v>
      </c>
      <c r="K292" t="s">
        <v>5549</v>
      </c>
      <c r="L292" t="s">
        <v>5618</v>
      </c>
      <c r="M292" t="s">
        <v>5624</v>
      </c>
    </row>
    <row r="293" spans="10:13" x14ac:dyDescent="0.2">
      <c r="J293" t="s">
        <v>119</v>
      </c>
      <c r="K293" t="s">
        <v>5549</v>
      </c>
      <c r="L293" t="s">
        <v>5618</v>
      </c>
      <c r="M293" t="s">
        <v>5623</v>
      </c>
    </row>
    <row r="294" spans="10:13" x14ac:dyDescent="0.2">
      <c r="J294" t="s">
        <v>119</v>
      </c>
      <c r="K294" t="s">
        <v>5541</v>
      </c>
      <c r="L294" t="s">
        <v>5620</v>
      </c>
      <c r="M294" t="s">
        <v>5620</v>
      </c>
    </row>
    <row r="295" spans="10:13" x14ac:dyDescent="0.2">
      <c r="J295" t="s">
        <v>119</v>
      </c>
      <c r="K295" t="s">
        <v>5541</v>
      </c>
      <c r="L295" t="s">
        <v>5620</v>
      </c>
      <c r="M295" t="s">
        <v>5620</v>
      </c>
    </row>
    <row r="296" spans="10:13" x14ac:dyDescent="0.2">
      <c r="J296" t="s">
        <v>119</v>
      </c>
      <c r="K296" t="s">
        <v>5549</v>
      </c>
      <c r="L296" t="s">
        <v>5618</v>
      </c>
      <c r="M296" t="s">
        <v>5618</v>
      </c>
    </row>
    <row r="297" spans="10:13" x14ac:dyDescent="0.2">
      <c r="J297" t="s">
        <v>119</v>
      </c>
      <c r="K297" t="s">
        <v>5549</v>
      </c>
      <c r="L297" t="s">
        <v>5618</v>
      </c>
      <c r="M297" t="s">
        <v>5624</v>
      </c>
    </row>
    <row r="298" spans="10:13" x14ac:dyDescent="0.2">
      <c r="J298" t="s">
        <v>119</v>
      </c>
      <c r="K298" t="s">
        <v>5549</v>
      </c>
      <c r="L298" t="s">
        <v>5618</v>
      </c>
      <c r="M298" t="s">
        <v>5623</v>
      </c>
    </row>
    <row r="299" spans="10:13" x14ac:dyDescent="0.2">
      <c r="J299" t="s">
        <v>119</v>
      </c>
      <c r="K299" t="s">
        <v>5549</v>
      </c>
      <c r="L299" t="s">
        <v>5618</v>
      </c>
      <c r="M299" t="s">
        <v>5618</v>
      </c>
    </row>
    <row r="300" spans="10:13" x14ac:dyDescent="0.2">
      <c r="J300" t="s">
        <v>119</v>
      </c>
      <c r="K300" t="s">
        <v>5541</v>
      </c>
      <c r="L300" t="s">
        <v>5618</v>
      </c>
      <c r="M300" t="s">
        <v>5619</v>
      </c>
    </row>
    <row r="301" spans="10:13" x14ac:dyDescent="0.2">
      <c r="J301" t="s">
        <v>119</v>
      </c>
      <c r="K301" t="s">
        <v>5541</v>
      </c>
      <c r="L301" t="s">
        <v>5618</v>
      </c>
      <c r="M301" t="s">
        <v>5618</v>
      </c>
    </row>
    <row r="302" spans="10:13" x14ac:dyDescent="0.2">
      <c r="J302" t="s">
        <v>119</v>
      </c>
      <c r="K302" t="s">
        <v>5549</v>
      </c>
      <c r="L302" t="s">
        <v>5618</v>
      </c>
      <c r="M302" t="s">
        <v>5624</v>
      </c>
    </row>
    <row r="303" spans="10:13" x14ac:dyDescent="0.2">
      <c r="J303" t="s">
        <v>119</v>
      </c>
      <c r="K303" t="s">
        <v>5541</v>
      </c>
      <c r="L303" t="s">
        <v>5620</v>
      </c>
      <c r="M303" t="s">
        <v>5621</v>
      </c>
    </row>
    <row r="304" spans="10:13" x14ac:dyDescent="0.2">
      <c r="J304" t="s">
        <v>119</v>
      </c>
      <c r="K304" t="s">
        <v>5541</v>
      </c>
      <c r="L304" t="s">
        <v>5620</v>
      </c>
      <c r="M304" t="s">
        <v>5620</v>
      </c>
    </row>
    <row r="305" spans="10:13" x14ac:dyDescent="0.2">
      <c r="J305" t="s">
        <v>119</v>
      </c>
      <c r="K305" t="s">
        <v>5549</v>
      </c>
      <c r="L305" t="s">
        <v>5618</v>
      </c>
      <c r="M305" t="s">
        <v>5623</v>
      </c>
    </row>
    <row r="306" spans="10:13" x14ac:dyDescent="0.2">
      <c r="J306" t="s">
        <v>119</v>
      </c>
      <c r="K306" t="s">
        <v>5541</v>
      </c>
      <c r="L306" t="s">
        <v>5618</v>
      </c>
      <c r="M306" t="s">
        <v>5618</v>
      </c>
    </row>
    <row r="307" spans="10:13" x14ac:dyDescent="0.2">
      <c r="J307" t="s">
        <v>119</v>
      </c>
      <c r="K307" t="s">
        <v>5541</v>
      </c>
      <c r="L307" t="s">
        <v>5618</v>
      </c>
      <c r="M307" t="s">
        <v>5623</v>
      </c>
    </row>
    <row r="308" spans="10:13" x14ac:dyDescent="0.2">
      <c r="J308" t="s">
        <v>119</v>
      </c>
      <c r="K308" t="s">
        <v>5549</v>
      </c>
      <c r="L308" t="s">
        <v>5618</v>
      </c>
      <c r="M308" t="s">
        <v>5618</v>
      </c>
    </row>
    <row r="309" spans="10:13" x14ac:dyDescent="0.2">
      <c r="J309" t="s">
        <v>119</v>
      </c>
      <c r="K309" t="s">
        <v>5549</v>
      </c>
      <c r="L309" t="s">
        <v>5618</v>
      </c>
      <c r="M309" t="s">
        <v>5618</v>
      </c>
    </row>
    <row r="310" spans="10:13" x14ac:dyDescent="0.2">
      <c r="J310" t="s">
        <v>119</v>
      </c>
      <c r="K310" t="s">
        <v>5541</v>
      </c>
      <c r="L310" t="s">
        <v>5618</v>
      </c>
      <c r="M310" t="s">
        <v>5623</v>
      </c>
    </row>
    <row r="311" spans="10:13" x14ac:dyDescent="0.2">
      <c r="J311" t="s">
        <v>119</v>
      </c>
      <c r="K311" t="s">
        <v>5549</v>
      </c>
      <c r="L311" t="s">
        <v>5618</v>
      </c>
      <c r="M311" t="s">
        <v>5624</v>
      </c>
    </row>
    <row r="312" spans="10:13" x14ac:dyDescent="0.2">
      <c r="J312" t="s">
        <v>119</v>
      </c>
      <c r="K312" t="s">
        <v>5549</v>
      </c>
      <c r="L312" t="s">
        <v>5618</v>
      </c>
      <c r="M312" t="s">
        <v>5630</v>
      </c>
    </row>
    <row r="313" spans="10:13" x14ac:dyDescent="0.2">
      <c r="J313" t="s">
        <v>119</v>
      </c>
      <c r="K313" t="s">
        <v>5549</v>
      </c>
      <c r="L313" t="s">
        <v>5618</v>
      </c>
      <c r="M313" t="s">
        <v>5623</v>
      </c>
    </row>
    <row r="314" spans="10:13" x14ac:dyDescent="0.2">
      <c r="J314" t="s">
        <v>119</v>
      </c>
      <c r="K314" t="s">
        <v>5549</v>
      </c>
      <c r="L314" t="s">
        <v>5618</v>
      </c>
      <c r="M314" t="s">
        <v>5619</v>
      </c>
    </row>
    <row r="315" spans="10:13" x14ac:dyDescent="0.2">
      <c r="J315" t="s">
        <v>119</v>
      </c>
      <c r="K315" t="s">
        <v>5541</v>
      </c>
      <c r="L315" t="s">
        <v>5620</v>
      </c>
      <c r="M315" t="s">
        <v>5627</v>
      </c>
    </row>
    <row r="316" spans="10:13" x14ac:dyDescent="0.2">
      <c r="J316" t="s">
        <v>119</v>
      </c>
      <c r="K316" t="s">
        <v>5541</v>
      </c>
      <c r="L316" t="s">
        <v>5618</v>
      </c>
      <c r="M316" t="s">
        <v>5618</v>
      </c>
    </row>
    <row r="317" spans="10:13" x14ac:dyDescent="0.2">
      <c r="J317" t="s">
        <v>119</v>
      </c>
      <c r="K317" t="s">
        <v>5541</v>
      </c>
      <c r="L317" t="s">
        <v>5620</v>
      </c>
      <c r="M317" t="s">
        <v>5620</v>
      </c>
    </row>
    <row r="318" spans="10:13" x14ac:dyDescent="0.2">
      <c r="J318" t="s">
        <v>119</v>
      </c>
      <c r="K318" t="s">
        <v>5541</v>
      </c>
      <c r="L318" t="s">
        <v>5618</v>
      </c>
      <c r="M318" t="s">
        <v>5618</v>
      </c>
    </row>
    <row r="319" spans="10:13" x14ac:dyDescent="0.2">
      <c r="J319" t="s">
        <v>119</v>
      </c>
      <c r="K319" t="s">
        <v>5541</v>
      </c>
      <c r="L319" t="s">
        <v>5618</v>
      </c>
      <c r="M319" t="s">
        <v>5618</v>
      </c>
    </row>
    <row r="320" spans="10:13" x14ac:dyDescent="0.2">
      <c r="J320" t="s">
        <v>119</v>
      </c>
      <c r="K320" t="s">
        <v>5549</v>
      </c>
      <c r="L320" t="s">
        <v>5618</v>
      </c>
      <c r="M320" t="s">
        <v>5618</v>
      </c>
    </row>
    <row r="321" spans="10:13" x14ac:dyDescent="0.2">
      <c r="J321" t="s">
        <v>119</v>
      </c>
      <c r="K321" t="s">
        <v>5541</v>
      </c>
      <c r="L321" t="s">
        <v>5620</v>
      </c>
      <c r="M321" t="s">
        <v>5627</v>
      </c>
    </row>
    <row r="322" spans="10:13" x14ac:dyDescent="0.2">
      <c r="J322" t="s">
        <v>119</v>
      </c>
      <c r="K322" t="s">
        <v>5541</v>
      </c>
      <c r="L322" t="s">
        <v>5620</v>
      </c>
      <c r="M322" t="s">
        <v>5620</v>
      </c>
    </row>
    <row r="323" spans="10:13" x14ac:dyDescent="0.2">
      <c r="J323" t="s">
        <v>119</v>
      </c>
      <c r="K323" t="s">
        <v>5541</v>
      </c>
      <c r="L323" t="s">
        <v>5620</v>
      </c>
      <c r="M323" t="s">
        <v>5620</v>
      </c>
    </row>
    <row r="324" spans="10:13" x14ac:dyDescent="0.2">
      <c r="J324" t="s">
        <v>119</v>
      </c>
      <c r="K324" t="s">
        <v>5541</v>
      </c>
      <c r="L324" t="s">
        <v>5620</v>
      </c>
      <c r="M324" t="s">
        <v>5620</v>
      </c>
    </row>
    <row r="325" spans="10:13" x14ac:dyDescent="0.2">
      <c r="J325" t="s">
        <v>119</v>
      </c>
      <c r="K325" t="s">
        <v>5541</v>
      </c>
      <c r="L325" t="s">
        <v>5620</v>
      </c>
      <c r="M325" t="s">
        <v>5620</v>
      </c>
    </row>
    <row r="326" spans="10:13" x14ac:dyDescent="0.2">
      <c r="J326" t="s">
        <v>119</v>
      </c>
      <c r="K326" t="s">
        <v>5549</v>
      </c>
      <c r="L326" t="s">
        <v>5618</v>
      </c>
      <c r="M326" t="s">
        <v>5619</v>
      </c>
    </row>
    <row r="327" spans="10:13" x14ac:dyDescent="0.2">
      <c r="J327" t="s">
        <v>119</v>
      </c>
      <c r="K327" t="s">
        <v>5541</v>
      </c>
      <c r="L327" t="s">
        <v>5618</v>
      </c>
      <c r="M327" t="s">
        <v>5618</v>
      </c>
    </row>
    <row r="328" spans="10:13" x14ac:dyDescent="0.2">
      <c r="J328" t="s">
        <v>119</v>
      </c>
      <c r="K328" t="s">
        <v>5541</v>
      </c>
      <c r="L328" t="s">
        <v>5620</v>
      </c>
      <c r="M328" t="s">
        <v>5620</v>
      </c>
    </row>
    <row r="329" spans="10:13" x14ac:dyDescent="0.2">
      <c r="J329" t="s">
        <v>119</v>
      </c>
      <c r="K329" t="s">
        <v>5541</v>
      </c>
      <c r="L329" t="s">
        <v>5620</v>
      </c>
      <c r="M329" t="s">
        <v>5627</v>
      </c>
    </row>
    <row r="330" spans="10:13" x14ac:dyDescent="0.2">
      <c r="J330" t="s">
        <v>119</v>
      </c>
      <c r="K330" t="s">
        <v>5549</v>
      </c>
      <c r="L330" t="s">
        <v>5618</v>
      </c>
      <c r="M330" t="s">
        <v>5618</v>
      </c>
    </row>
    <row r="331" spans="10:13" x14ac:dyDescent="0.2">
      <c r="J331" t="s">
        <v>119</v>
      </c>
      <c r="K331" t="s">
        <v>5549</v>
      </c>
      <c r="L331" t="s">
        <v>5618</v>
      </c>
      <c r="M331" t="s">
        <v>5618</v>
      </c>
    </row>
    <row r="332" spans="10:13" x14ac:dyDescent="0.2">
      <c r="J332" t="s">
        <v>119</v>
      </c>
      <c r="K332" t="s">
        <v>5549</v>
      </c>
      <c r="L332" t="s">
        <v>5618</v>
      </c>
      <c r="M332" t="s">
        <v>5623</v>
      </c>
    </row>
    <row r="333" spans="10:13" x14ac:dyDescent="0.2">
      <c r="J333" t="s">
        <v>119</v>
      </c>
      <c r="K333" t="s">
        <v>5549</v>
      </c>
      <c r="L333" t="s">
        <v>5618</v>
      </c>
      <c r="M333" t="s">
        <v>5618</v>
      </c>
    </row>
    <row r="334" spans="10:13" x14ac:dyDescent="0.2">
      <c r="J334" t="s">
        <v>119</v>
      </c>
      <c r="K334" t="s">
        <v>5541</v>
      </c>
      <c r="L334" t="s">
        <v>5618</v>
      </c>
      <c r="M334" t="s">
        <v>5618</v>
      </c>
    </row>
    <row r="335" spans="10:13" x14ac:dyDescent="0.2">
      <c r="J335" t="s">
        <v>119</v>
      </c>
      <c r="K335" t="s">
        <v>5549</v>
      </c>
      <c r="L335" t="s">
        <v>5618</v>
      </c>
      <c r="M335" t="s">
        <v>5623</v>
      </c>
    </row>
    <row r="336" spans="10:13" x14ac:dyDescent="0.2">
      <c r="J336" t="s">
        <v>119</v>
      </c>
      <c r="K336" t="s">
        <v>5541</v>
      </c>
      <c r="L336" t="s">
        <v>5620</v>
      </c>
      <c r="M336" t="s">
        <v>5620</v>
      </c>
    </row>
    <row r="337" spans="10:13" x14ac:dyDescent="0.2">
      <c r="J337" t="s">
        <v>119</v>
      </c>
      <c r="K337" t="s">
        <v>5541</v>
      </c>
      <c r="L337" t="s">
        <v>5618</v>
      </c>
      <c r="M337" t="s">
        <v>5618</v>
      </c>
    </row>
    <row r="338" spans="10:13" x14ac:dyDescent="0.2">
      <c r="J338" t="s">
        <v>119</v>
      </c>
      <c r="K338" t="s">
        <v>5541</v>
      </c>
      <c r="L338" t="s">
        <v>5618</v>
      </c>
      <c r="M338" t="s">
        <v>5618</v>
      </c>
    </row>
    <row r="339" spans="10:13" x14ac:dyDescent="0.2">
      <c r="J339" t="s">
        <v>119</v>
      </c>
      <c r="K339" t="s">
        <v>5541</v>
      </c>
      <c r="L339" t="s">
        <v>5618</v>
      </c>
      <c r="M339" t="s">
        <v>5618</v>
      </c>
    </row>
    <row r="340" spans="10:13" x14ac:dyDescent="0.2">
      <c r="J340" t="s">
        <v>119</v>
      </c>
      <c r="K340" t="s">
        <v>5541</v>
      </c>
      <c r="L340" t="s">
        <v>5620</v>
      </c>
      <c r="M340" t="s">
        <v>5620</v>
      </c>
    </row>
    <row r="341" spans="10:13" x14ac:dyDescent="0.2">
      <c r="J341" t="s">
        <v>119</v>
      </c>
      <c r="K341" t="s">
        <v>5549</v>
      </c>
      <c r="L341" t="s">
        <v>5618</v>
      </c>
      <c r="M341" t="s">
        <v>5624</v>
      </c>
    </row>
    <row r="342" spans="10:13" x14ac:dyDescent="0.2">
      <c r="J342" t="s">
        <v>119</v>
      </c>
      <c r="K342" t="s">
        <v>5549</v>
      </c>
      <c r="L342" t="s">
        <v>5620</v>
      </c>
      <c r="M342" t="s">
        <v>5622</v>
      </c>
    </row>
    <row r="343" spans="10:13" x14ac:dyDescent="0.2">
      <c r="J343" t="s">
        <v>119</v>
      </c>
      <c r="K343" t="s">
        <v>5549</v>
      </c>
      <c r="L343" t="s">
        <v>5618</v>
      </c>
      <c r="M343" t="s">
        <v>5618</v>
      </c>
    </row>
    <row r="344" spans="10:13" x14ac:dyDescent="0.2">
      <c r="J344" t="s">
        <v>119</v>
      </c>
      <c r="K344" t="s">
        <v>5541</v>
      </c>
      <c r="L344" t="s">
        <v>5620</v>
      </c>
      <c r="M344" t="s">
        <v>5621</v>
      </c>
    </row>
    <row r="345" spans="10:13" x14ac:dyDescent="0.2">
      <c r="J345" t="s">
        <v>119</v>
      </c>
      <c r="K345" t="s">
        <v>5549</v>
      </c>
      <c r="L345" t="s">
        <v>5618</v>
      </c>
      <c r="M345" t="s">
        <v>5623</v>
      </c>
    </row>
    <row r="346" spans="10:13" x14ac:dyDescent="0.2">
      <c r="J346" t="s">
        <v>119</v>
      </c>
      <c r="K346" t="s">
        <v>5549</v>
      </c>
      <c r="L346" t="s">
        <v>5618</v>
      </c>
      <c r="M346" t="s">
        <v>5618</v>
      </c>
    </row>
    <row r="347" spans="10:13" x14ac:dyDescent="0.2">
      <c r="J347" t="s">
        <v>119</v>
      </c>
      <c r="K347" t="s">
        <v>5541</v>
      </c>
      <c r="L347" t="s">
        <v>5618</v>
      </c>
      <c r="M347" t="s">
        <v>5624</v>
      </c>
    </row>
    <row r="348" spans="10:13" x14ac:dyDescent="0.2">
      <c r="J348" t="s">
        <v>119</v>
      </c>
      <c r="K348" t="s">
        <v>5549</v>
      </c>
      <c r="L348" t="s">
        <v>5618</v>
      </c>
      <c r="M348" t="s">
        <v>5623</v>
      </c>
    </row>
    <row r="349" spans="10:13" x14ac:dyDescent="0.2">
      <c r="J349" t="s">
        <v>119</v>
      </c>
      <c r="K349" t="s">
        <v>5541</v>
      </c>
      <c r="L349" t="s">
        <v>5620</v>
      </c>
      <c r="M349" t="s">
        <v>5620</v>
      </c>
    </row>
    <row r="350" spans="10:13" x14ac:dyDescent="0.2">
      <c r="J350" t="s">
        <v>119</v>
      </c>
      <c r="K350" t="s">
        <v>5541</v>
      </c>
      <c r="L350" t="s">
        <v>5618</v>
      </c>
      <c r="M350" t="s">
        <v>5618</v>
      </c>
    </row>
    <row r="351" spans="10:13" x14ac:dyDescent="0.2">
      <c r="J351" t="s">
        <v>119</v>
      </c>
      <c r="K351" t="s">
        <v>5549</v>
      </c>
      <c r="L351" t="s">
        <v>5618</v>
      </c>
      <c r="M351" t="s">
        <v>5619</v>
      </c>
    </row>
    <row r="352" spans="10:13" x14ac:dyDescent="0.2">
      <c r="J352" t="s">
        <v>119</v>
      </c>
      <c r="K352" t="s">
        <v>5541</v>
      </c>
      <c r="L352" t="s">
        <v>5620</v>
      </c>
      <c r="M352" t="s">
        <v>5620</v>
      </c>
    </row>
    <row r="353" spans="10:13" x14ac:dyDescent="0.2">
      <c r="J353" t="s">
        <v>119</v>
      </c>
      <c r="K353" t="s">
        <v>5541</v>
      </c>
      <c r="L353" t="s">
        <v>5618</v>
      </c>
      <c r="M353" t="s">
        <v>5623</v>
      </c>
    </row>
    <row r="354" spans="10:13" x14ac:dyDescent="0.2">
      <c r="J354" t="s">
        <v>119</v>
      </c>
      <c r="K354" t="s">
        <v>5541</v>
      </c>
      <c r="L354" t="s">
        <v>5618</v>
      </c>
      <c r="M354" t="s">
        <v>5623</v>
      </c>
    </row>
    <row r="355" spans="10:13" x14ac:dyDescent="0.2">
      <c r="J355" t="s">
        <v>119</v>
      </c>
      <c r="K355" t="s">
        <v>5549</v>
      </c>
      <c r="L355" t="s">
        <v>5618</v>
      </c>
      <c r="M355" t="s">
        <v>5624</v>
      </c>
    </row>
    <row r="356" spans="10:13" x14ac:dyDescent="0.2">
      <c r="J356" t="s">
        <v>119</v>
      </c>
      <c r="K356" t="s">
        <v>5549</v>
      </c>
      <c r="L356" t="s">
        <v>5618</v>
      </c>
      <c r="M356" t="s">
        <v>5619</v>
      </c>
    </row>
    <row r="357" spans="10:13" x14ac:dyDescent="0.2">
      <c r="J357" t="s">
        <v>119</v>
      </c>
      <c r="K357" t="s">
        <v>5549</v>
      </c>
      <c r="L357" t="s">
        <v>5618</v>
      </c>
      <c r="M357" t="s">
        <v>5624</v>
      </c>
    </row>
    <row r="358" spans="10:13" x14ac:dyDescent="0.2">
      <c r="J358" t="s">
        <v>119</v>
      </c>
      <c r="K358" t="s">
        <v>5541</v>
      </c>
      <c r="L358" t="s">
        <v>5618</v>
      </c>
      <c r="M358" t="s">
        <v>5618</v>
      </c>
    </row>
    <row r="359" spans="10:13" x14ac:dyDescent="0.2">
      <c r="J359" t="s">
        <v>119</v>
      </c>
      <c r="K359" t="s">
        <v>5541</v>
      </c>
      <c r="L359" t="s">
        <v>5618</v>
      </c>
      <c r="M359" t="s">
        <v>5618</v>
      </c>
    </row>
    <row r="360" spans="10:13" x14ac:dyDescent="0.2">
      <c r="J360" t="s">
        <v>119</v>
      </c>
      <c r="K360" t="s">
        <v>5549</v>
      </c>
      <c r="L360" t="s">
        <v>5618</v>
      </c>
      <c r="M360" t="s">
        <v>5618</v>
      </c>
    </row>
    <row r="361" spans="10:13" x14ac:dyDescent="0.2">
      <c r="J361" t="s">
        <v>119</v>
      </c>
      <c r="K361" t="s">
        <v>5541</v>
      </c>
      <c r="L361" t="s">
        <v>5618</v>
      </c>
      <c r="M361" t="s">
        <v>5619</v>
      </c>
    </row>
    <row r="362" spans="10:13" x14ac:dyDescent="0.2">
      <c r="J362" t="s">
        <v>119</v>
      </c>
      <c r="K362" t="s">
        <v>5541</v>
      </c>
      <c r="L362" t="s">
        <v>5620</v>
      </c>
      <c r="M362" t="s">
        <v>5620</v>
      </c>
    </row>
    <row r="363" spans="10:13" x14ac:dyDescent="0.2">
      <c r="J363" t="s">
        <v>119</v>
      </c>
      <c r="K363" t="s">
        <v>5541</v>
      </c>
      <c r="L363" t="s">
        <v>5640</v>
      </c>
      <c r="M363" t="s">
        <v>5640</v>
      </c>
    </row>
    <row r="364" spans="10:13" x14ac:dyDescent="0.2">
      <c r="J364" t="s">
        <v>119</v>
      </c>
      <c r="K364" t="s">
        <v>5541</v>
      </c>
      <c r="L364" t="s">
        <v>5618</v>
      </c>
      <c r="M364" t="s">
        <v>5619</v>
      </c>
    </row>
    <row r="365" spans="10:13" x14ac:dyDescent="0.2">
      <c r="J365" t="s">
        <v>119</v>
      </c>
      <c r="K365" t="s">
        <v>5541</v>
      </c>
      <c r="L365" t="s">
        <v>5618</v>
      </c>
      <c r="M365" t="s">
        <v>5619</v>
      </c>
    </row>
    <row r="366" spans="10:13" x14ac:dyDescent="0.2">
      <c r="J366" t="s">
        <v>119</v>
      </c>
      <c r="K366" t="s">
        <v>5541</v>
      </c>
      <c r="L366" t="s">
        <v>5618</v>
      </c>
      <c r="M366" t="s">
        <v>5618</v>
      </c>
    </row>
    <row r="367" spans="10:13" x14ac:dyDescent="0.2">
      <c r="J367" t="s">
        <v>119</v>
      </c>
      <c r="K367" t="s">
        <v>5541</v>
      </c>
      <c r="L367" t="s">
        <v>5618</v>
      </c>
      <c r="M367" t="s">
        <v>5623</v>
      </c>
    </row>
    <row r="368" spans="10:13" x14ac:dyDescent="0.2">
      <c r="J368" t="s">
        <v>119</v>
      </c>
      <c r="K368" t="s">
        <v>5541</v>
      </c>
      <c r="L368" t="s">
        <v>5618</v>
      </c>
      <c r="M368" t="s">
        <v>5623</v>
      </c>
    </row>
    <row r="369" spans="10:13" x14ac:dyDescent="0.2">
      <c r="J369" t="s">
        <v>119</v>
      </c>
      <c r="K369" t="s">
        <v>5549</v>
      </c>
      <c r="L369" t="s">
        <v>5618</v>
      </c>
      <c r="M369" t="s">
        <v>5623</v>
      </c>
    </row>
    <row r="370" spans="10:13" x14ac:dyDescent="0.2">
      <c r="J370" t="s">
        <v>119</v>
      </c>
      <c r="K370" t="s">
        <v>5549</v>
      </c>
      <c r="L370" t="s">
        <v>5618</v>
      </c>
      <c r="M370" t="s">
        <v>5618</v>
      </c>
    </row>
    <row r="371" spans="10:13" x14ac:dyDescent="0.2">
      <c r="J371" t="s">
        <v>119</v>
      </c>
      <c r="K371" t="s">
        <v>5549</v>
      </c>
      <c r="L371" t="s">
        <v>5618</v>
      </c>
      <c r="M371" t="s">
        <v>5623</v>
      </c>
    </row>
    <row r="372" spans="10:13" x14ac:dyDescent="0.2">
      <c r="J372" t="s">
        <v>119</v>
      </c>
      <c r="K372" t="s">
        <v>5541</v>
      </c>
      <c r="L372" t="s">
        <v>5618</v>
      </c>
      <c r="M372" t="s">
        <v>5618</v>
      </c>
    </row>
    <row r="373" spans="10:13" x14ac:dyDescent="0.2">
      <c r="J373" t="s">
        <v>119</v>
      </c>
      <c r="K373" t="s">
        <v>5549</v>
      </c>
      <c r="L373" t="s">
        <v>5618</v>
      </c>
      <c r="M373" t="s">
        <v>5623</v>
      </c>
    </row>
    <row r="374" spans="10:13" x14ac:dyDescent="0.2">
      <c r="J374" t="s">
        <v>119</v>
      </c>
      <c r="K374" t="s">
        <v>5549</v>
      </c>
      <c r="L374" t="s">
        <v>5618</v>
      </c>
      <c r="M374" t="s">
        <v>5623</v>
      </c>
    </row>
    <row r="375" spans="10:13" x14ac:dyDescent="0.2">
      <c r="J375" t="s">
        <v>119</v>
      </c>
      <c r="K375" t="s">
        <v>5549</v>
      </c>
      <c r="L375" t="s">
        <v>5618</v>
      </c>
      <c r="M375" t="s">
        <v>5630</v>
      </c>
    </row>
    <row r="376" spans="10:13" x14ac:dyDescent="0.2">
      <c r="J376" t="s">
        <v>119</v>
      </c>
      <c r="K376" t="s">
        <v>5549</v>
      </c>
      <c r="L376" t="s">
        <v>5618</v>
      </c>
      <c r="M376" t="s">
        <v>5623</v>
      </c>
    </row>
    <row r="377" spans="10:13" x14ac:dyDescent="0.2">
      <c r="J377" t="s">
        <v>119</v>
      </c>
      <c r="K377" t="s">
        <v>5541</v>
      </c>
      <c r="L377" t="s">
        <v>5618</v>
      </c>
      <c r="M377" t="s">
        <v>5619</v>
      </c>
    </row>
    <row r="378" spans="10:13" x14ac:dyDescent="0.2">
      <c r="J378" t="s">
        <v>119</v>
      </c>
      <c r="K378" t="s">
        <v>5549</v>
      </c>
      <c r="L378" t="s">
        <v>5618</v>
      </c>
      <c r="M378" t="s">
        <v>5641</v>
      </c>
    </row>
    <row r="379" spans="10:13" x14ac:dyDescent="0.2">
      <c r="J379" t="s">
        <v>119</v>
      </c>
      <c r="K379" t="s">
        <v>5549</v>
      </c>
      <c r="L379" t="s">
        <v>5618</v>
      </c>
      <c r="M379" t="s">
        <v>5623</v>
      </c>
    </row>
    <row r="380" spans="10:13" x14ac:dyDescent="0.2">
      <c r="J380" t="s">
        <v>119</v>
      </c>
      <c r="K380" t="s">
        <v>5549</v>
      </c>
      <c r="L380" t="s">
        <v>5618</v>
      </c>
      <c r="M380" t="s">
        <v>5623</v>
      </c>
    </row>
    <row r="381" spans="10:13" x14ac:dyDescent="0.2">
      <c r="J381" t="s">
        <v>119</v>
      </c>
      <c r="K381" t="s">
        <v>5549</v>
      </c>
      <c r="L381" t="s">
        <v>5618</v>
      </c>
      <c r="M381" t="s">
        <v>5624</v>
      </c>
    </row>
    <row r="382" spans="10:13" x14ac:dyDescent="0.2">
      <c r="J382" t="s">
        <v>119</v>
      </c>
      <c r="K382" t="s">
        <v>5549</v>
      </c>
      <c r="L382" t="s">
        <v>5618</v>
      </c>
      <c r="M382" t="s">
        <v>5618</v>
      </c>
    </row>
    <row r="383" spans="10:13" x14ac:dyDescent="0.2">
      <c r="J383" t="s">
        <v>119</v>
      </c>
      <c r="K383" t="s">
        <v>5549</v>
      </c>
      <c r="L383" t="s">
        <v>5618</v>
      </c>
      <c r="M383" t="s">
        <v>5618</v>
      </c>
    </row>
    <row r="384" spans="10:13" x14ac:dyDescent="0.2">
      <c r="J384" t="s">
        <v>119</v>
      </c>
      <c r="K384" t="s">
        <v>5541</v>
      </c>
      <c r="L384" t="s">
        <v>5618</v>
      </c>
      <c r="M384" t="s">
        <v>5623</v>
      </c>
    </row>
    <row r="385" spans="10:13" x14ac:dyDescent="0.2">
      <c r="J385" t="s">
        <v>119</v>
      </c>
      <c r="K385" t="s">
        <v>5549</v>
      </c>
      <c r="L385" t="s">
        <v>5618</v>
      </c>
      <c r="M385" t="s">
        <v>5618</v>
      </c>
    </row>
    <row r="386" spans="10:13" x14ac:dyDescent="0.2">
      <c r="J386" t="s">
        <v>119</v>
      </c>
      <c r="K386" t="s">
        <v>5549</v>
      </c>
      <c r="L386" t="s">
        <v>5618</v>
      </c>
      <c r="M386" t="s">
        <v>5618</v>
      </c>
    </row>
    <row r="387" spans="10:13" x14ac:dyDescent="0.2">
      <c r="J387" t="s">
        <v>119</v>
      </c>
      <c r="K387" t="s">
        <v>5541</v>
      </c>
      <c r="L387" t="s">
        <v>5618</v>
      </c>
      <c r="M387" t="s">
        <v>5618</v>
      </c>
    </row>
    <row r="388" spans="10:13" x14ac:dyDescent="0.2">
      <c r="J388" t="s">
        <v>119</v>
      </c>
      <c r="K388" t="s">
        <v>5549</v>
      </c>
      <c r="L388" t="s">
        <v>5618</v>
      </c>
      <c r="M388" t="s">
        <v>5619</v>
      </c>
    </row>
    <row r="389" spans="10:13" x14ac:dyDescent="0.2">
      <c r="J389" t="s">
        <v>119</v>
      </c>
      <c r="K389" t="s">
        <v>5541</v>
      </c>
      <c r="L389" t="s">
        <v>5618</v>
      </c>
      <c r="M389" t="s">
        <v>5624</v>
      </c>
    </row>
    <row r="390" spans="10:13" x14ac:dyDescent="0.2">
      <c r="J390" t="s">
        <v>119</v>
      </c>
      <c r="K390" t="s">
        <v>5541</v>
      </c>
      <c r="L390" t="s">
        <v>5620</v>
      </c>
      <c r="M390" t="s">
        <v>5625</v>
      </c>
    </row>
    <row r="391" spans="10:13" x14ac:dyDescent="0.2">
      <c r="J391" t="s">
        <v>119</v>
      </c>
      <c r="K391" t="s">
        <v>5541</v>
      </c>
      <c r="L391" t="s">
        <v>5620</v>
      </c>
      <c r="M391" t="s">
        <v>5621</v>
      </c>
    </row>
    <row r="392" spans="10:13" x14ac:dyDescent="0.2">
      <c r="J392" t="s">
        <v>119</v>
      </c>
      <c r="K392" t="s">
        <v>5549</v>
      </c>
      <c r="L392" t="s">
        <v>5618</v>
      </c>
      <c r="M392" t="s">
        <v>5624</v>
      </c>
    </row>
    <row r="393" spans="10:13" x14ac:dyDescent="0.2">
      <c r="J393" t="s">
        <v>119</v>
      </c>
      <c r="K393" t="s">
        <v>5541</v>
      </c>
      <c r="L393" t="s">
        <v>5620</v>
      </c>
      <c r="M393" t="s">
        <v>5620</v>
      </c>
    </row>
    <row r="394" spans="10:13" x14ac:dyDescent="0.2">
      <c r="J394" t="s">
        <v>119</v>
      </c>
      <c r="K394" t="s">
        <v>5541</v>
      </c>
      <c r="L394" t="s">
        <v>5620</v>
      </c>
      <c r="M394" t="s">
        <v>5627</v>
      </c>
    </row>
    <row r="395" spans="10:13" x14ac:dyDescent="0.2">
      <c r="J395" t="s">
        <v>119</v>
      </c>
      <c r="K395" t="s">
        <v>5549</v>
      </c>
      <c r="L395" t="s">
        <v>5618</v>
      </c>
      <c r="M395" t="s">
        <v>5624</v>
      </c>
    </row>
    <row r="396" spans="10:13" x14ac:dyDescent="0.2">
      <c r="J396" t="s">
        <v>119</v>
      </c>
      <c r="K396" t="s">
        <v>5549</v>
      </c>
      <c r="L396" t="s">
        <v>5618</v>
      </c>
      <c r="M396" t="s">
        <v>5624</v>
      </c>
    </row>
    <row r="397" spans="10:13" x14ac:dyDescent="0.2">
      <c r="J397" t="s">
        <v>119</v>
      </c>
      <c r="K397" t="s">
        <v>5541</v>
      </c>
      <c r="L397" t="s">
        <v>5620</v>
      </c>
      <c r="M397" t="s">
        <v>5620</v>
      </c>
    </row>
    <row r="398" spans="10:13" x14ac:dyDescent="0.2">
      <c r="J398" t="s">
        <v>119</v>
      </c>
      <c r="K398" t="s">
        <v>5549</v>
      </c>
      <c r="L398" t="s">
        <v>5618</v>
      </c>
      <c r="M398" t="s">
        <v>5630</v>
      </c>
    </row>
    <row r="399" spans="10:13" x14ac:dyDescent="0.2">
      <c r="J399" t="s">
        <v>119</v>
      </c>
      <c r="K399" t="s">
        <v>5541</v>
      </c>
      <c r="L399" t="s">
        <v>5618</v>
      </c>
      <c r="M399" t="s">
        <v>5619</v>
      </c>
    </row>
    <row r="400" spans="10:13" x14ac:dyDescent="0.2">
      <c r="J400" t="s">
        <v>119</v>
      </c>
      <c r="K400" t="s">
        <v>5549</v>
      </c>
      <c r="L400" t="s">
        <v>5618</v>
      </c>
      <c r="M400" t="s">
        <v>5630</v>
      </c>
    </row>
    <row r="401" spans="10:13" x14ac:dyDescent="0.2">
      <c r="J401" t="s">
        <v>119</v>
      </c>
      <c r="K401" t="s">
        <v>5541</v>
      </c>
      <c r="L401" t="s">
        <v>5618</v>
      </c>
      <c r="M401" t="s">
        <v>5624</v>
      </c>
    </row>
    <row r="402" spans="10:13" x14ac:dyDescent="0.2">
      <c r="J402" t="s">
        <v>119</v>
      </c>
      <c r="K402" t="s">
        <v>5541</v>
      </c>
      <c r="L402" t="s">
        <v>5618</v>
      </c>
      <c r="M402" t="s">
        <v>5619</v>
      </c>
    </row>
    <row r="403" spans="10:13" x14ac:dyDescent="0.2">
      <c r="J403" t="s">
        <v>119</v>
      </c>
      <c r="K403" t="s">
        <v>5541</v>
      </c>
      <c r="L403" t="s">
        <v>5618</v>
      </c>
      <c r="M403" t="s">
        <v>5623</v>
      </c>
    </row>
    <row r="404" spans="10:13" x14ac:dyDescent="0.2">
      <c r="J404" t="s">
        <v>119</v>
      </c>
      <c r="K404" t="s">
        <v>5549</v>
      </c>
      <c r="L404" t="s">
        <v>5618</v>
      </c>
      <c r="M404" t="s">
        <v>5618</v>
      </c>
    </row>
    <row r="405" spans="10:13" x14ac:dyDescent="0.2">
      <c r="J405" t="s">
        <v>119</v>
      </c>
      <c r="K405" t="s">
        <v>5541</v>
      </c>
      <c r="L405" t="s">
        <v>5620</v>
      </c>
      <c r="M405" t="s">
        <v>5625</v>
      </c>
    </row>
    <row r="406" spans="10:13" x14ac:dyDescent="0.2">
      <c r="J406" t="s">
        <v>119</v>
      </c>
      <c r="K406" t="s">
        <v>5541</v>
      </c>
      <c r="L406" t="s">
        <v>5618</v>
      </c>
      <c r="M406" t="s">
        <v>5623</v>
      </c>
    </row>
    <row r="407" spans="10:13" x14ac:dyDescent="0.2">
      <c r="J407" t="s">
        <v>119</v>
      </c>
      <c r="K407" t="s">
        <v>5541</v>
      </c>
      <c r="L407" t="s">
        <v>5618</v>
      </c>
      <c r="M407" t="s">
        <v>5623</v>
      </c>
    </row>
    <row r="408" spans="10:13" x14ac:dyDescent="0.2">
      <c r="J408" t="s">
        <v>119</v>
      </c>
      <c r="K408" t="s">
        <v>5541</v>
      </c>
      <c r="L408" t="s">
        <v>5620</v>
      </c>
      <c r="M408" t="s">
        <v>5621</v>
      </c>
    </row>
    <row r="409" spans="10:13" x14ac:dyDescent="0.2">
      <c r="J409" t="s">
        <v>119</v>
      </c>
      <c r="K409" t="s">
        <v>5549</v>
      </c>
      <c r="L409" t="s">
        <v>5618</v>
      </c>
      <c r="M409" t="s">
        <v>5623</v>
      </c>
    </row>
    <row r="410" spans="10:13" x14ac:dyDescent="0.2">
      <c r="J410" t="s">
        <v>119</v>
      </c>
      <c r="K410" t="s">
        <v>5541</v>
      </c>
      <c r="L410" t="s">
        <v>5618</v>
      </c>
      <c r="M410" t="s">
        <v>5618</v>
      </c>
    </row>
    <row r="411" spans="10:13" x14ac:dyDescent="0.2">
      <c r="J411" t="s">
        <v>119</v>
      </c>
      <c r="K411" t="s">
        <v>5541</v>
      </c>
      <c r="L411" t="s">
        <v>5618</v>
      </c>
      <c r="M411" t="s">
        <v>5624</v>
      </c>
    </row>
    <row r="412" spans="10:13" x14ac:dyDescent="0.2">
      <c r="J412" t="s">
        <v>119</v>
      </c>
      <c r="K412" t="s">
        <v>5549</v>
      </c>
      <c r="L412" t="s">
        <v>5618</v>
      </c>
      <c r="M412" t="s">
        <v>5619</v>
      </c>
    </row>
    <row r="413" spans="10:13" x14ac:dyDescent="0.2">
      <c r="J413" t="s">
        <v>119</v>
      </c>
      <c r="K413" t="s">
        <v>5549</v>
      </c>
      <c r="L413" t="s">
        <v>5620</v>
      </c>
      <c r="M413" t="s">
        <v>5628</v>
      </c>
    </row>
    <row r="414" spans="10:13" x14ac:dyDescent="0.2">
      <c r="J414" t="s">
        <v>119</v>
      </c>
      <c r="K414" t="s">
        <v>5549</v>
      </c>
      <c r="L414" t="s">
        <v>5618</v>
      </c>
      <c r="M414" t="s">
        <v>5619</v>
      </c>
    </row>
    <row r="415" spans="10:13" x14ac:dyDescent="0.2">
      <c r="J415" t="s">
        <v>119</v>
      </c>
      <c r="K415" t="s">
        <v>5549</v>
      </c>
      <c r="L415" t="s">
        <v>5618</v>
      </c>
      <c r="M415" t="s">
        <v>5624</v>
      </c>
    </row>
    <row r="416" spans="10:13" x14ac:dyDescent="0.2">
      <c r="J416" t="s">
        <v>119</v>
      </c>
      <c r="K416" t="s">
        <v>5549</v>
      </c>
      <c r="L416" t="s">
        <v>5618</v>
      </c>
      <c r="M416" t="s">
        <v>5624</v>
      </c>
    </row>
    <row r="417" spans="10:13" x14ac:dyDescent="0.2">
      <c r="J417" t="s">
        <v>119</v>
      </c>
      <c r="K417" t="s">
        <v>5549</v>
      </c>
      <c r="L417" t="s">
        <v>5618</v>
      </c>
      <c r="M417" t="s">
        <v>5624</v>
      </c>
    </row>
    <row r="418" spans="10:13" x14ac:dyDescent="0.2">
      <c r="J418" t="s">
        <v>119</v>
      </c>
      <c r="K418" t="s">
        <v>5541</v>
      </c>
      <c r="L418" t="s">
        <v>5618</v>
      </c>
      <c r="M418" t="s">
        <v>5624</v>
      </c>
    </row>
    <row r="419" spans="10:13" x14ac:dyDescent="0.2">
      <c r="J419" t="s">
        <v>119</v>
      </c>
      <c r="K419" t="s">
        <v>5541</v>
      </c>
      <c r="L419" t="s">
        <v>5618</v>
      </c>
      <c r="M419" t="s">
        <v>5619</v>
      </c>
    </row>
    <row r="420" spans="10:13" x14ac:dyDescent="0.2">
      <c r="J420" t="s">
        <v>119</v>
      </c>
      <c r="K420" t="s">
        <v>5549</v>
      </c>
      <c r="L420" t="s">
        <v>5618</v>
      </c>
      <c r="M420" t="s">
        <v>5624</v>
      </c>
    </row>
    <row r="421" spans="10:13" x14ac:dyDescent="0.2">
      <c r="J421" t="s">
        <v>119</v>
      </c>
      <c r="K421" t="s">
        <v>5549</v>
      </c>
      <c r="L421" t="s">
        <v>5618</v>
      </c>
      <c r="M421" t="s">
        <v>5623</v>
      </c>
    </row>
    <row r="422" spans="10:13" x14ac:dyDescent="0.2">
      <c r="J422" t="s">
        <v>119</v>
      </c>
      <c r="K422" t="s">
        <v>5541</v>
      </c>
      <c r="L422" t="s">
        <v>5618</v>
      </c>
      <c r="M422" t="s">
        <v>5619</v>
      </c>
    </row>
    <row r="423" spans="10:13" x14ac:dyDescent="0.2">
      <c r="J423" t="s">
        <v>119</v>
      </c>
      <c r="K423" t="s">
        <v>5549</v>
      </c>
      <c r="L423" t="s">
        <v>5618</v>
      </c>
      <c r="M423" t="s">
        <v>5624</v>
      </c>
    </row>
    <row r="424" spans="10:13" x14ac:dyDescent="0.2">
      <c r="J424" t="s">
        <v>119</v>
      </c>
      <c r="K424" t="s">
        <v>5549</v>
      </c>
      <c r="L424" t="s">
        <v>5618</v>
      </c>
      <c r="M424" t="s">
        <v>5624</v>
      </c>
    </row>
    <row r="425" spans="10:13" x14ac:dyDescent="0.2">
      <c r="J425" t="s">
        <v>119</v>
      </c>
      <c r="K425" t="s">
        <v>5541</v>
      </c>
      <c r="L425" t="s">
        <v>5618</v>
      </c>
      <c r="M425" t="s">
        <v>5623</v>
      </c>
    </row>
    <row r="426" spans="10:13" x14ac:dyDescent="0.2">
      <c r="J426" t="s">
        <v>119</v>
      </c>
      <c r="K426" t="s">
        <v>5549</v>
      </c>
      <c r="L426" t="s">
        <v>5618</v>
      </c>
      <c r="M426" t="s">
        <v>5618</v>
      </c>
    </row>
    <row r="427" spans="10:13" x14ac:dyDescent="0.2">
      <c r="J427" t="s">
        <v>119</v>
      </c>
      <c r="K427" t="s">
        <v>5541</v>
      </c>
      <c r="L427" t="s">
        <v>5618</v>
      </c>
      <c r="M427" t="s">
        <v>5623</v>
      </c>
    </row>
    <row r="428" spans="10:13" x14ac:dyDescent="0.2">
      <c r="J428" t="s">
        <v>119</v>
      </c>
      <c r="K428" t="s">
        <v>5541</v>
      </c>
      <c r="L428" t="s">
        <v>5618</v>
      </c>
      <c r="M428" t="s">
        <v>5618</v>
      </c>
    </row>
    <row r="429" spans="10:13" x14ac:dyDescent="0.2">
      <c r="J429" t="s">
        <v>119</v>
      </c>
      <c r="K429" t="s">
        <v>5541</v>
      </c>
      <c r="L429" t="s">
        <v>5618</v>
      </c>
      <c r="M429" t="s">
        <v>5623</v>
      </c>
    </row>
    <row r="430" spans="10:13" x14ac:dyDescent="0.2">
      <c r="J430" t="s">
        <v>119</v>
      </c>
      <c r="K430" t="s">
        <v>5549</v>
      </c>
      <c r="L430" t="s">
        <v>5620</v>
      </c>
      <c r="M430" t="s">
        <v>5628</v>
      </c>
    </row>
    <row r="431" spans="10:13" x14ac:dyDescent="0.2">
      <c r="J431" t="s">
        <v>119</v>
      </c>
      <c r="K431" t="s">
        <v>5549</v>
      </c>
      <c r="L431" t="s">
        <v>5620</v>
      </c>
      <c r="M431" t="s">
        <v>5628</v>
      </c>
    </row>
    <row r="432" spans="10:13" x14ac:dyDescent="0.2">
      <c r="J432" t="s">
        <v>119</v>
      </c>
      <c r="K432" t="s">
        <v>5541</v>
      </c>
      <c r="L432" t="s">
        <v>5618</v>
      </c>
      <c r="M432" t="s">
        <v>5623</v>
      </c>
    </row>
    <row r="433" spans="10:13" x14ac:dyDescent="0.2">
      <c r="J433" t="s">
        <v>119</v>
      </c>
      <c r="K433" t="s">
        <v>5541</v>
      </c>
      <c r="L433" t="s">
        <v>5618</v>
      </c>
      <c r="M433" t="s">
        <v>5618</v>
      </c>
    </row>
    <row r="434" spans="10:13" x14ac:dyDescent="0.2">
      <c r="J434" t="s">
        <v>119</v>
      </c>
      <c r="K434" t="s">
        <v>5549</v>
      </c>
      <c r="L434" t="s">
        <v>5618</v>
      </c>
      <c r="M434" t="s">
        <v>5624</v>
      </c>
    </row>
    <row r="435" spans="10:13" x14ac:dyDescent="0.2">
      <c r="J435" t="s">
        <v>119</v>
      </c>
      <c r="K435" t="s">
        <v>5541</v>
      </c>
      <c r="L435" t="s">
        <v>5618</v>
      </c>
      <c r="M435" t="s">
        <v>5623</v>
      </c>
    </row>
    <row r="436" spans="10:13" x14ac:dyDescent="0.2">
      <c r="J436" t="s">
        <v>119</v>
      </c>
      <c r="K436" t="s">
        <v>5541</v>
      </c>
      <c r="L436" t="s">
        <v>5618</v>
      </c>
      <c r="M436" t="s">
        <v>5623</v>
      </c>
    </row>
    <row r="437" spans="10:13" x14ac:dyDescent="0.2">
      <c r="J437" t="s">
        <v>119</v>
      </c>
      <c r="K437" t="s">
        <v>5541</v>
      </c>
      <c r="L437" t="s">
        <v>5618</v>
      </c>
      <c r="M437" t="s">
        <v>5623</v>
      </c>
    </row>
    <row r="438" spans="10:13" x14ac:dyDescent="0.2">
      <c r="J438" t="s">
        <v>119</v>
      </c>
      <c r="K438" t="s">
        <v>5549</v>
      </c>
      <c r="L438" t="s">
        <v>5618</v>
      </c>
      <c r="M438" t="s">
        <v>5623</v>
      </c>
    </row>
    <row r="439" spans="10:13" x14ac:dyDescent="0.2">
      <c r="J439" t="s">
        <v>119</v>
      </c>
      <c r="K439" t="s">
        <v>5549</v>
      </c>
      <c r="L439" t="s">
        <v>5618</v>
      </c>
      <c r="M439" t="s">
        <v>5623</v>
      </c>
    </row>
    <row r="440" spans="10:13" x14ac:dyDescent="0.2">
      <c r="J440" t="s">
        <v>119</v>
      </c>
      <c r="K440" t="s">
        <v>5549</v>
      </c>
      <c r="L440" t="s">
        <v>5618</v>
      </c>
      <c r="M440" t="s">
        <v>5623</v>
      </c>
    </row>
    <row r="441" spans="10:13" x14ac:dyDescent="0.2">
      <c r="J441" t="s">
        <v>119</v>
      </c>
      <c r="K441" t="s">
        <v>5541</v>
      </c>
      <c r="L441" t="s">
        <v>5620</v>
      </c>
      <c r="M441" t="s">
        <v>5620</v>
      </c>
    </row>
    <row r="442" spans="10:13" x14ac:dyDescent="0.2">
      <c r="J442" t="s">
        <v>119</v>
      </c>
      <c r="K442" t="s">
        <v>5549</v>
      </c>
      <c r="L442" t="s">
        <v>5618</v>
      </c>
      <c r="M442" t="s">
        <v>5618</v>
      </c>
    </row>
    <row r="443" spans="10:13" x14ac:dyDescent="0.2">
      <c r="J443" t="s">
        <v>119</v>
      </c>
      <c r="K443" t="s">
        <v>5541</v>
      </c>
      <c r="L443" t="s">
        <v>5618</v>
      </c>
      <c r="M443" t="s">
        <v>5618</v>
      </c>
    </row>
    <row r="444" spans="10:13" x14ac:dyDescent="0.2">
      <c r="J444" t="s">
        <v>119</v>
      </c>
      <c r="K444" t="s">
        <v>5541</v>
      </c>
      <c r="L444" t="s">
        <v>5618</v>
      </c>
      <c r="M444" t="s">
        <v>5623</v>
      </c>
    </row>
    <row r="445" spans="10:13" x14ac:dyDescent="0.2">
      <c r="J445" t="s">
        <v>119</v>
      </c>
      <c r="K445" t="s">
        <v>5541</v>
      </c>
      <c r="L445" t="s">
        <v>5620</v>
      </c>
      <c r="M445" t="s">
        <v>5620</v>
      </c>
    </row>
    <row r="446" spans="10:13" x14ac:dyDescent="0.2">
      <c r="J446" t="s">
        <v>119</v>
      </c>
      <c r="K446" t="s">
        <v>5549</v>
      </c>
      <c r="L446" t="s">
        <v>5618</v>
      </c>
      <c r="M446" t="s">
        <v>5624</v>
      </c>
    </row>
    <row r="447" spans="10:13" x14ac:dyDescent="0.2">
      <c r="J447" t="s">
        <v>119</v>
      </c>
      <c r="K447" t="s">
        <v>5541</v>
      </c>
      <c r="L447" t="s">
        <v>5618</v>
      </c>
      <c r="M447" t="s">
        <v>5623</v>
      </c>
    </row>
    <row r="448" spans="10:13" x14ac:dyDescent="0.2">
      <c r="J448" t="s">
        <v>119</v>
      </c>
      <c r="K448" t="s">
        <v>5549</v>
      </c>
      <c r="L448" t="s">
        <v>5618</v>
      </c>
      <c r="M448" t="s">
        <v>5623</v>
      </c>
    </row>
    <row r="449" spans="10:13" x14ac:dyDescent="0.2">
      <c r="J449" t="s">
        <v>119</v>
      </c>
      <c r="K449" t="s">
        <v>5541</v>
      </c>
      <c r="L449" t="s">
        <v>5618</v>
      </c>
      <c r="M449" t="s">
        <v>5618</v>
      </c>
    </row>
    <row r="450" spans="10:13" x14ac:dyDescent="0.2">
      <c r="J450" t="s">
        <v>119</v>
      </c>
      <c r="K450" t="s">
        <v>5541</v>
      </c>
      <c r="L450" t="s">
        <v>5618</v>
      </c>
      <c r="M450" t="s">
        <v>5623</v>
      </c>
    </row>
    <row r="451" spans="10:13" x14ac:dyDescent="0.2">
      <c r="J451" t="s">
        <v>119</v>
      </c>
      <c r="K451" t="s">
        <v>5541</v>
      </c>
      <c r="L451" t="s">
        <v>5618</v>
      </c>
      <c r="M451" t="s">
        <v>5623</v>
      </c>
    </row>
    <row r="452" spans="10:13" x14ac:dyDescent="0.2">
      <c r="J452" t="s">
        <v>119</v>
      </c>
      <c r="K452" t="s">
        <v>5541</v>
      </c>
      <c r="L452" t="s">
        <v>5618</v>
      </c>
      <c r="M452" t="s">
        <v>5623</v>
      </c>
    </row>
    <row r="453" spans="10:13" x14ac:dyDescent="0.2">
      <c r="J453" t="s">
        <v>119</v>
      </c>
      <c r="K453" t="s">
        <v>5541</v>
      </c>
      <c r="L453" t="s">
        <v>5618</v>
      </c>
      <c r="M453" t="s">
        <v>5623</v>
      </c>
    </row>
    <row r="454" spans="10:13" x14ac:dyDescent="0.2">
      <c r="J454" t="s">
        <v>119</v>
      </c>
      <c r="K454" t="s">
        <v>5549</v>
      </c>
      <c r="L454" t="s">
        <v>5618</v>
      </c>
      <c r="M454" t="s">
        <v>5630</v>
      </c>
    </row>
    <row r="455" spans="10:13" x14ac:dyDescent="0.2">
      <c r="J455" t="s">
        <v>119</v>
      </c>
      <c r="K455" t="s">
        <v>5549</v>
      </c>
      <c r="L455" t="s">
        <v>5618</v>
      </c>
      <c r="M455" t="s">
        <v>5623</v>
      </c>
    </row>
    <row r="456" spans="10:13" x14ac:dyDescent="0.2">
      <c r="J456" t="s">
        <v>119</v>
      </c>
      <c r="K456" t="s">
        <v>5549</v>
      </c>
      <c r="L456" t="s">
        <v>5618</v>
      </c>
      <c r="M456" t="s">
        <v>5624</v>
      </c>
    </row>
    <row r="457" spans="10:13" x14ac:dyDescent="0.2">
      <c r="J457" t="s">
        <v>119</v>
      </c>
      <c r="K457" t="s">
        <v>5549</v>
      </c>
      <c r="L457" t="s">
        <v>5633</v>
      </c>
      <c r="M457" t="s">
        <v>5642</v>
      </c>
    </row>
    <row r="458" spans="10:13" x14ac:dyDescent="0.2">
      <c r="J458" t="s">
        <v>119</v>
      </c>
      <c r="K458" t="s">
        <v>5549</v>
      </c>
      <c r="L458" t="s">
        <v>5618</v>
      </c>
      <c r="M458" t="s">
        <v>5623</v>
      </c>
    </row>
    <row r="459" spans="10:13" x14ac:dyDescent="0.2">
      <c r="J459" t="s">
        <v>119</v>
      </c>
      <c r="K459" t="s">
        <v>5541</v>
      </c>
      <c r="L459" t="s">
        <v>5618</v>
      </c>
      <c r="M459" t="s">
        <v>5619</v>
      </c>
    </row>
    <row r="460" spans="10:13" x14ac:dyDescent="0.2">
      <c r="J460" t="s">
        <v>119</v>
      </c>
      <c r="K460" t="s">
        <v>5541</v>
      </c>
      <c r="L460" t="s">
        <v>5618</v>
      </c>
      <c r="M460" t="s">
        <v>5618</v>
      </c>
    </row>
    <row r="461" spans="10:13" x14ac:dyDescent="0.2">
      <c r="J461" t="s">
        <v>119</v>
      </c>
      <c r="K461" t="s">
        <v>5549</v>
      </c>
      <c r="L461" t="s">
        <v>5618</v>
      </c>
      <c r="M461" t="s">
        <v>5623</v>
      </c>
    </row>
    <row r="462" spans="10:13" x14ac:dyDescent="0.2">
      <c r="J462" t="s">
        <v>119</v>
      </c>
      <c r="K462" t="s">
        <v>5541</v>
      </c>
      <c r="L462" t="s">
        <v>5620</v>
      </c>
      <c r="M462" t="s">
        <v>5620</v>
      </c>
    </row>
    <row r="463" spans="10:13" x14ac:dyDescent="0.2">
      <c r="J463" t="s">
        <v>119</v>
      </c>
      <c r="K463" t="s">
        <v>5541</v>
      </c>
      <c r="L463" t="s">
        <v>5618</v>
      </c>
      <c r="M463" t="s">
        <v>5618</v>
      </c>
    </row>
    <row r="464" spans="10:13" x14ac:dyDescent="0.2">
      <c r="J464" t="s">
        <v>119</v>
      </c>
      <c r="K464" t="s">
        <v>5541</v>
      </c>
      <c r="L464" t="s">
        <v>5620</v>
      </c>
      <c r="M464" t="s">
        <v>5625</v>
      </c>
    </row>
    <row r="465" spans="10:13" x14ac:dyDescent="0.2">
      <c r="J465" t="s">
        <v>119</v>
      </c>
      <c r="K465" t="s">
        <v>5549</v>
      </c>
      <c r="L465" t="s">
        <v>5618</v>
      </c>
      <c r="M465" t="s">
        <v>5624</v>
      </c>
    </row>
    <row r="466" spans="10:13" x14ac:dyDescent="0.2">
      <c r="J466" t="s">
        <v>119</v>
      </c>
      <c r="K466" t="s">
        <v>5549</v>
      </c>
      <c r="L466" t="s">
        <v>5618</v>
      </c>
      <c r="M466" t="s">
        <v>5619</v>
      </c>
    </row>
    <row r="467" spans="10:13" x14ac:dyDescent="0.2">
      <c r="J467" t="s">
        <v>119</v>
      </c>
      <c r="K467" t="s">
        <v>5541</v>
      </c>
      <c r="L467" t="s">
        <v>5618</v>
      </c>
      <c r="M467" t="s">
        <v>5618</v>
      </c>
    </row>
    <row r="468" spans="10:13" x14ac:dyDescent="0.2">
      <c r="J468" t="s">
        <v>119</v>
      </c>
      <c r="K468" t="s">
        <v>5549</v>
      </c>
      <c r="L468" t="s">
        <v>5618</v>
      </c>
      <c r="M468" t="s">
        <v>5618</v>
      </c>
    </row>
    <row r="469" spans="10:13" x14ac:dyDescent="0.2">
      <c r="J469" t="s">
        <v>119</v>
      </c>
      <c r="K469" t="s">
        <v>5541</v>
      </c>
      <c r="L469" t="s">
        <v>5618</v>
      </c>
      <c r="M469" t="s">
        <v>5618</v>
      </c>
    </row>
    <row r="470" spans="10:13" x14ac:dyDescent="0.2">
      <c r="J470" t="s">
        <v>119</v>
      </c>
      <c r="K470" t="s">
        <v>5541</v>
      </c>
      <c r="L470" t="s">
        <v>5618</v>
      </c>
      <c r="M470" t="s">
        <v>5619</v>
      </c>
    </row>
    <row r="471" spans="10:13" x14ac:dyDescent="0.2">
      <c r="J471" t="s">
        <v>119</v>
      </c>
      <c r="K471" t="s">
        <v>5541</v>
      </c>
      <c r="L471" t="s">
        <v>5618</v>
      </c>
      <c r="M471" t="s">
        <v>5623</v>
      </c>
    </row>
    <row r="472" spans="10:13" x14ac:dyDescent="0.2">
      <c r="J472" t="s">
        <v>119</v>
      </c>
      <c r="K472" t="s">
        <v>5549</v>
      </c>
      <c r="L472" t="s">
        <v>5618</v>
      </c>
      <c r="M472" t="s">
        <v>5623</v>
      </c>
    </row>
    <row r="473" spans="10:13" x14ac:dyDescent="0.2">
      <c r="J473" t="s">
        <v>5466</v>
      </c>
      <c r="K473" t="s">
        <v>5541</v>
      </c>
      <c r="L473" t="s">
        <v>5634</v>
      </c>
      <c r="M473" t="s">
        <v>5634</v>
      </c>
    </row>
    <row r="474" spans="10:13" x14ac:dyDescent="0.2">
      <c r="J474" t="s">
        <v>5466</v>
      </c>
      <c r="K474" t="s">
        <v>5549</v>
      </c>
      <c r="L474" t="s">
        <v>5618</v>
      </c>
      <c r="M474" t="s">
        <v>5618</v>
      </c>
    </row>
    <row r="475" spans="10:13" x14ac:dyDescent="0.2">
      <c r="J475" t="s">
        <v>5466</v>
      </c>
      <c r="K475" t="s">
        <v>5549</v>
      </c>
      <c r="L475" t="s">
        <v>5618</v>
      </c>
      <c r="M475" t="s">
        <v>5618</v>
      </c>
    </row>
    <row r="476" spans="10:13" x14ac:dyDescent="0.2">
      <c r="J476" t="s">
        <v>5466</v>
      </c>
      <c r="K476" t="s">
        <v>5541</v>
      </c>
      <c r="L476" t="s">
        <v>5618</v>
      </c>
      <c r="M476" t="s">
        <v>5618</v>
      </c>
    </row>
    <row r="477" spans="10:13" x14ac:dyDescent="0.2">
      <c r="J477" t="s">
        <v>5466</v>
      </c>
      <c r="K477" t="s">
        <v>5549</v>
      </c>
      <c r="L477" t="s">
        <v>5618</v>
      </c>
      <c r="M477" t="s">
        <v>5623</v>
      </c>
    </row>
    <row r="478" spans="10:13" x14ac:dyDescent="0.2">
      <c r="J478" t="s">
        <v>5466</v>
      </c>
      <c r="K478" t="s">
        <v>5549</v>
      </c>
      <c r="L478" t="s">
        <v>5620</v>
      </c>
      <c r="M478" t="s">
        <v>5621</v>
      </c>
    </row>
    <row r="479" spans="10:13" x14ac:dyDescent="0.2">
      <c r="J479" t="s">
        <v>5466</v>
      </c>
      <c r="K479" t="s">
        <v>5549</v>
      </c>
      <c r="L479" t="s">
        <v>5618</v>
      </c>
      <c r="M479" t="s">
        <v>5643</v>
      </c>
    </row>
    <row r="480" spans="10:13" x14ac:dyDescent="0.2">
      <c r="J480" t="s">
        <v>5466</v>
      </c>
      <c r="K480" t="s">
        <v>5549</v>
      </c>
      <c r="L480" t="s">
        <v>5618</v>
      </c>
      <c r="M480" t="s">
        <v>5618</v>
      </c>
    </row>
    <row r="481" spans="10:13" x14ac:dyDescent="0.2">
      <c r="J481" t="s">
        <v>5466</v>
      </c>
      <c r="K481" t="s">
        <v>5549</v>
      </c>
      <c r="L481" t="s">
        <v>5618</v>
      </c>
      <c r="M481" t="s">
        <v>5619</v>
      </c>
    </row>
    <row r="482" spans="10:13" x14ac:dyDescent="0.2">
      <c r="J482" t="s">
        <v>5466</v>
      </c>
      <c r="K482" t="s">
        <v>5549</v>
      </c>
      <c r="L482" t="s">
        <v>5620</v>
      </c>
      <c r="M482" t="s">
        <v>5622</v>
      </c>
    </row>
    <row r="483" spans="10:13" x14ac:dyDescent="0.2">
      <c r="J483" t="s">
        <v>5466</v>
      </c>
      <c r="K483" t="s">
        <v>5549</v>
      </c>
      <c r="L483" t="s">
        <v>5618</v>
      </c>
      <c r="M483" t="s">
        <v>5623</v>
      </c>
    </row>
    <row r="484" spans="10:13" x14ac:dyDescent="0.2">
      <c r="J484" t="s">
        <v>5466</v>
      </c>
      <c r="K484" t="s">
        <v>5541</v>
      </c>
      <c r="L484" t="s">
        <v>5618</v>
      </c>
      <c r="M484" t="s">
        <v>5644</v>
      </c>
    </row>
    <row r="485" spans="10:13" x14ac:dyDescent="0.2">
      <c r="J485" t="s">
        <v>5466</v>
      </c>
      <c r="K485" t="s">
        <v>5549</v>
      </c>
      <c r="L485" t="s">
        <v>5620</v>
      </c>
      <c r="M485" t="s">
        <v>5629</v>
      </c>
    </row>
    <row r="486" spans="10:13" x14ac:dyDescent="0.2">
      <c r="J486" t="s">
        <v>5466</v>
      </c>
      <c r="K486" t="s">
        <v>5541</v>
      </c>
      <c r="L486" t="s">
        <v>5620</v>
      </c>
      <c r="M486" t="s">
        <v>5620</v>
      </c>
    </row>
    <row r="487" spans="10:13" x14ac:dyDescent="0.2">
      <c r="J487" t="s">
        <v>5466</v>
      </c>
      <c r="K487" t="s">
        <v>5549</v>
      </c>
      <c r="L487" t="s">
        <v>5618</v>
      </c>
      <c r="M487" t="s">
        <v>5619</v>
      </c>
    </row>
    <row r="488" spans="10:13" x14ac:dyDescent="0.2">
      <c r="J488" t="s">
        <v>5466</v>
      </c>
      <c r="K488" t="s">
        <v>5541</v>
      </c>
      <c r="L488" t="s">
        <v>5620</v>
      </c>
      <c r="M488" t="s">
        <v>5620</v>
      </c>
    </row>
    <row r="489" spans="10:13" x14ac:dyDescent="0.2">
      <c r="J489" t="s">
        <v>5466</v>
      </c>
      <c r="K489" t="s">
        <v>5549</v>
      </c>
      <c r="L489" t="s">
        <v>5618</v>
      </c>
      <c r="M489" t="s">
        <v>5623</v>
      </c>
    </row>
    <row r="490" spans="10:13" x14ac:dyDescent="0.2">
      <c r="J490" t="s">
        <v>5466</v>
      </c>
      <c r="K490" t="s">
        <v>5549</v>
      </c>
      <c r="L490" t="s">
        <v>5618</v>
      </c>
      <c r="M490" t="s">
        <v>5623</v>
      </c>
    </row>
    <row r="491" spans="10:13" x14ac:dyDescent="0.2">
      <c r="J491" t="s">
        <v>5466</v>
      </c>
      <c r="K491" t="s">
        <v>5549</v>
      </c>
      <c r="L491" t="s">
        <v>5618</v>
      </c>
      <c r="M491" t="s">
        <v>5645</v>
      </c>
    </row>
    <row r="492" spans="10:13" x14ac:dyDescent="0.2">
      <c r="J492" t="s">
        <v>5466</v>
      </c>
      <c r="K492" t="s">
        <v>5541</v>
      </c>
      <c r="L492" t="s">
        <v>5633</v>
      </c>
      <c r="M492" t="s">
        <v>5637</v>
      </c>
    </row>
    <row r="493" spans="10:13" x14ac:dyDescent="0.2">
      <c r="J493" t="s">
        <v>5466</v>
      </c>
      <c r="K493" t="s">
        <v>5541</v>
      </c>
      <c r="L493" t="s">
        <v>5620</v>
      </c>
      <c r="M493" t="s">
        <v>5620</v>
      </c>
    </row>
    <row r="494" spans="10:13" x14ac:dyDescent="0.2">
      <c r="J494" t="s">
        <v>5466</v>
      </c>
      <c r="K494" t="s">
        <v>5549</v>
      </c>
      <c r="L494" t="s">
        <v>5620</v>
      </c>
      <c r="M494" t="s">
        <v>5622</v>
      </c>
    </row>
    <row r="495" spans="10:13" x14ac:dyDescent="0.2">
      <c r="J495" t="s">
        <v>5466</v>
      </c>
      <c r="K495" t="s">
        <v>5541</v>
      </c>
      <c r="L495" t="s">
        <v>5618</v>
      </c>
      <c r="M495" t="s">
        <v>5618</v>
      </c>
    </row>
    <row r="496" spans="10:13" x14ac:dyDescent="0.2">
      <c r="J496" t="s">
        <v>5466</v>
      </c>
      <c r="K496" t="s">
        <v>5549</v>
      </c>
      <c r="L496" t="s">
        <v>5618</v>
      </c>
      <c r="M496" t="s">
        <v>5618</v>
      </c>
    </row>
    <row r="497" spans="10:13" x14ac:dyDescent="0.2">
      <c r="J497" t="s">
        <v>5466</v>
      </c>
      <c r="K497" t="s">
        <v>5541</v>
      </c>
      <c r="L497" t="s">
        <v>5618</v>
      </c>
      <c r="M497" t="s">
        <v>5618</v>
      </c>
    </row>
    <row r="498" spans="10:13" x14ac:dyDescent="0.2">
      <c r="J498" t="s">
        <v>5466</v>
      </c>
      <c r="K498" t="s">
        <v>5541</v>
      </c>
      <c r="L498" t="s">
        <v>5618</v>
      </c>
      <c r="M498" t="s">
        <v>5618</v>
      </c>
    </row>
    <row r="499" spans="10:13" x14ac:dyDescent="0.2">
      <c r="J499" t="s">
        <v>5466</v>
      </c>
      <c r="K499" t="s">
        <v>5541</v>
      </c>
      <c r="L499" t="s">
        <v>5618</v>
      </c>
      <c r="M499" t="s">
        <v>5618</v>
      </c>
    </row>
    <row r="500" spans="10:13" x14ac:dyDescent="0.2">
      <c r="J500" t="s">
        <v>5466</v>
      </c>
      <c r="K500" t="s">
        <v>5549</v>
      </c>
      <c r="L500" t="s">
        <v>5618</v>
      </c>
      <c r="M500" t="s">
        <v>5619</v>
      </c>
    </row>
    <row r="501" spans="10:13" x14ac:dyDescent="0.2">
      <c r="J501" t="s">
        <v>5466</v>
      </c>
      <c r="K501" t="s">
        <v>5549</v>
      </c>
      <c r="L501" t="s">
        <v>5620</v>
      </c>
      <c r="M501" t="s">
        <v>5622</v>
      </c>
    </row>
    <row r="502" spans="10:13" x14ac:dyDescent="0.2">
      <c r="J502" t="s">
        <v>5466</v>
      </c>
      <c r="K502" t="s">
        <v>5549</v>
      </c>
      <c r="L502" t="s">
        <v>5620</v>
      </c>
      <c r="M502" t="s">
        <v>5621</v>
      </c>
    </row>
    <row r="503" spans="10:13" x14ac:dyDescent="0.2">
      <c r="J503" t="s">
        <v>5466</v>
      </c>
      <c r="K503" t="s">
        <v>5541</v>
      </c>
      <c r="L503" t="s">
        <v>5620</v>
      </c>
      <c r="M503" t="s">
        <v>5620</v>
      </c>
    </row>
    <row r="504" spans="10:13" x14ac:dyDescent="0.2">
      <c r="J504" t="s">
        <v>5466</v>
      </c>
      <c r="K504" t="s">
        <v>5549</v>
      </c>
      <c r="L504" t="s">
        <v>5620</v>
      </c>
      <c r="M504" t="s">
        <v>5629</v>
      </c>
    </row>
    <row r="505" spans="10:13" x14ac:dyDescent="0.2">
      <c r="J505" t="s">
        <v>5466</v>
      </c>
      <c r="K505" t="s">
        <v>5549</v>
      </c>
      <c r="L505" t="s">
        <v>5620</v>
      </c>
      <c r="M505" t="s">
        <v>5622</v>
      </c>
    </row>
    <row r="506" spans="10:13" x14ac:dyDescent="0.2">
      <c r="J506" t="s">
        <v>5466</v>
      </c>
      <c r="K506" t="s">
        <v>5549</v>
      </c>
      <c r="L506" t="s">
        <v>5646</v>
      </c>
      <c r="M506" t="s">
        <v>5646</v>
      </c>
    </row>
    <row r="507" spans="10:13" x14ac:dyDescent="0.2">
      <c r="J507" t="s">
        <v>5466</v>
      </c>
      <c r="K507" t="s">
        <v>5549</v>
      </c>
      <c r="L507" t="s">
        <v>5620</v>
      </c>
      <c r="M507" t="s">
        <v>5628</v>
      </c>
    </row>
    <row r="508" spans="10:13" x14ac:dyDescent="0.2">
      <c r="J508" t="s">
        <v>5466</v>
      </c>
      <c r="K508" t="s">
        <v>5549</v>
      </c>
      <c r="L508" t="s">
        <v>5618</v>
      </c>
      <c r="M508" t="s">
        <v>5630</v>
      </c>
    </row>
    <row r="509" spans="10:13" x14ac:dyDescent="0.2">
      <c r="J509" t="s">
        <v>5466</v>
      </c>
      <c r="K509" t="s">
        <v>5549</v>
      </c>
      <c r="L509" t="s">
        <v>5620</v>
      </c>
      <c r="M509" t="s">
        <v>5622</v>
      </c>
    </row>
    <row r="510" spans="10:13" x14ac:dyDescent="0.2">
      <c r="J510" t="s">
        <v>5466</v>
      </c>
      <c r="K510" t="s">
        <v>5549</v>
      </c>
      <c r="L510" t="s">
        <v>5620</v>
      </c>
      <c r="M510" t="s">
        <v>5622</v>
      </c>
    </row>
    <row r="511" spans="10:13" x14ac:dyDescent="0.2">
      <c r="J511" t="s">
        <v>5466</v>
      </c>
      <c r="K511" t="s">
        <v>5549</v>
      </c>
      <c r="L511" t="s">
        <v>5618</v>
      </c>
      <c r="M511" t="s">
        <v>5619</v>
      </c>
    </row>
    <row r="512" spans="10:13" x14ac:dyDescent="0.2">
      <c r="J512" t="s">
        <v>5466</v>
      </c>
      <c r="K512" t="s">
        <v>5541</v>
      </c>
      <c r="L512" t="s">
        <v>5618</v>
      </c>
      <c r="M512" t="s">
        <v>5618</v>
      </c>
    </row>
    <row r="513" spans="10:13" x14ac:dyDescent="0.2">
      <c r="J513" t="s">
        <v>5466</v>
      </c>
      <c r="K513" t="s">
        <v>5541</v>
      </c>
      <c r="L513" t="s">
        <v>5647</v>
      </c>
      <c r="M513" t="s">
        <v>5647</v>
      </c>
    </row>
    <row r="514" spans="10:13" x14ac:dyDescent="0.2">
      <c r="J514" t="s">
        <v>5466</v>
      </c>
      <c r="K514" t="s">
        <v>5541</v>
      </c>
      <c r="L514" t="s">
        <v>5620</v>
      </c>
      <c r="M514" t="s">
        <v>5620</v>
      </c>
    </row>
    <row r="515" spans="10:13" x14ac:dyDescent="0.2">
      <c r="J515" t="s">
        <v>5466</v>
      </c>
      <c r="K515" t="s">
        <v>5549</v>
      </c>
      <c r="L515" t="s">
        <v>5618</v>
      </c>
      <c r="M515" t="s">
        <v>5618</v>
      </c>
    </row>
    <row r="516" spans="10:13" x14ac:dyDescent="0.2">
      <c r="J516" t="s">
        <v>5466</v>
      </c>
      <c r="K516" t="s">
        <v>5541</v>
      </c>
      <c r="L516" t="s">
        <v>5620</v>
      </c>
      <c r="M516" t="s">
        <v>5621</v>
      </c>
    </row>
    <row r="517" spans="10:13" x14ac:dyDescent="0.2">
      <c r="J517" t="s">
        <v>5466</v>
      </c>
      <c r="K517" t="s">
        <v>5541</v>
      </c>
      <c r="L517" t="s">
        <v>5618</v>
      </c>
      <c r="M517" t="s">
        <v>5618</v>
      </c>
    </row>
    <row r="518" spans="10:13" x14ac:dyDescent="0.2">
      <c r="J518" t="s">
        <v>5466</v>
      </c>
      <c r="K518" t="s">
        <v>5549</v>
      </c>
      <c r="L518" t="s">
        <v>5618</v>
      </c>
      <c r="M518" t="s">
        <v>5643</v>
      </c>
    </row>
    <row r="519" spans="10:13" x14ac:dyDescent="0.2">
      <c r="J519" t="s">
        <v>5466</v>
      </c>
      <c r="K519" t="s">
        <v>5541</v>
      </c>
      <c r="L519" t="s">
        <v>5620</v>
      </c>
      <c r="M519" t="s">
        <v>5621</v>
      </c>
    </row>
    <row r="520" spans="10:13" x14ac:dyDescent="0.2">
      <c r="J520" t="s">
        <v>5466</v>
      </c>
      <c r="K520" t="s">
        <v>5541</v>
      </c>
      <c r="L520" t="s">
        <v>5620</v>
      </c>
      <c r="M520" t="s">
        <v>5621</v>
      </c>
    </row>
    <row r="521" spans="10:13" x14ac:dyDescent="0.2">
      <c r="J521" t="s">
        <v>5466</v>
      </c>
      <c r="K521" t="s">
        <v>5549</v>
      </c>
      <c r="L521" t="s">
        <v>5618</v>
      </c>
      <c r="M521" t="s">
        <v>5624</v>
      </c>
    </row>
    <row r="522" spans="10:13" x14ac:dyDescent="0.2">
      <c r="J522" t="s">
        <v>5466</v>
      </c>
      <c r="K522" t="s">
        <v>5549</v>
      </c>
      <c r="L522" t="s">
        <v>5620</v>
      </c>
      <c r="M522" t="s">
        <v>5622</v>
      </c>
    </row>
    <row r="523" spans="10:13" x14ac:dyDescent="0.2">
      <c r="J523" t="s">
        <v>5466</v>
      </c>
      <c r="K523" t="s">
        <v>5549</v>
      </c>
      <c r="L523" t="s">
        <v>5620</v>
      </c>
      <c r="M523" t="s">
        <v>5622</v>
      </c>
    </row>
    <row r="524" spans="10:13" x14ac:dyDescent="0.2">
      <c r="J524" t="s">
        <v>5466</v>
      </c>
      <c r="K524" t="s">
        <v>5541</v>
      </c>
      <c r="L524" t="s">
        <v>5618</v>
      </c>
      <c r="M524" t="s">
        <v>5618</v>
      </c>
    </row>
    <row r="525" spans="10:13" x14ac:dyDescent="0.2">
      <c r="J525" t="s">
        <v>5466</v>
      </c>
      <c r="K525" t="s">
        <v>5549</v>
      </c>
      <c r="L525" t="s">
        <v>5620</v>
      </c>
      <c r="M525" t="s">
        <v>5628</v>
      </c>
    </row>
    <row r="526" spans="10:13" x14ac:dyDescent="0.2">
      <c r="J526" t="s">
        <v>5466</v>
      </c>
      <c r="K526" t="s">
        <v>5541</v>
      </c>
      <c r="L526" t="s">
        <v>5618</v>
      </c>
      <c r="M526" t="s">
        <v>5648</v>
      </c>
    </row>
    <row r="527" spans="10:13" x14ac:dyDescent="0.2">
      <c r="J527" t="s">
        <v>5466</v>
      </c>
      <c r="K527" t="s">
        <v>5549</v>
      </c>
      <c r="L527" t="s">
        <v>5618</v>
      </c>
      <c r="M527" t="s">
        <v>5623</v>
      </c>
    </row>
    <row r="528" spans="10:13" x14ac:dyDescent="0.2">
      <c r="J528" t="s">
        <v>5466</v>
      </c>
      <c r="K528" t="s">
        <v>5541</v>
      </c>
      <c r="L528" t="s">
        <v>5620</v>
      </c>
      <c r="M528" t="s">
        <v>5620</v>
      </c>
    </row>
    <row r="529" spans="10:13" x14ac:dyDescent="0.2">
      <c r="J529" t="s">
        <v>5466</v>
      </c>
      <c r="K529" t="s">
        <v>5549</v>
      </c>
      <c r="L529" t="s">
        <v>5646</v>
      </c>
      <c r="M529" t="s">
        <v>5649</v>
      </c>
    </row>
    <row r="530" spans="10:13" x14ac:dyDescent="0.2">
      <c r="J530" t="s">
        <v>5466</v>
      </c>
      <c r="K530" t="s">
        <v>5541</v>
      </c>
      <c r="L530" t="s">
        <v>5620</v>
      </c>
      <c r="M530" t="s">
        <v>5627</v>
      </c>
    </row>
    <row r="531" spans="10:13" x14ac:dyDescent="0.2">
      <c r="J531" t="s">
        <v>5466</v>
      </c>
      <c r="K531" t="s">
        <v>5549</v>
      </c>
      <c r="L531" t="s">
        <v>5620</v>
      </c>
      <c r="M531" t="s">
        <v>5628</v>
      </c>
    </row>
    <row r="532" spans="10:13" x14ac:dyDescent="0.2">
      <c r="J532" t="s">
        <v>5466</v>
      </c>
      <c r="K532" t="s">
        <v>5541</v>
      </c>
      <c r="L532" t="s">
        <v>5618</v>
      </c>
      <c r="M532" t="s">
        <v>5648</v>
      </c>
    </row>
    <row r="533" spans="10:13" x14ac:dyDescent="0.2">
      <c r="J533" t="s">
        <v>5466</v>
      </c>
      <c r="K533" t="s">
        <v>5549</v>
      </c>
      <c r="L533" t="s">
        <v>5618</v>
      </c>
      <c r="M533" t="s">
        <v>5623</v>
      </c>
    </row>
    <row r="534" spans="10:13" x14ac:dyDescent="0.2">
      <c r="J534" t="s">
        <v>5466</v>
      </c>
      <c r="K534" t="s">
        <v>5549</v>
      </c>
      <c r="L534" t="s">
        <v>5618</v>
      </c>
      <c r="M534" t="s">
        <v>5618</v>
      </c>
    </row>
    <row r="535" spans="10:13" x14ac:dyDescent="0.2">
      <c r="J535" t="s">
        <v>5466</v>
      </c>
      <c r="K535" t="s">
        <v>5549</v>
      </c>
      <c r="L535" t="s">
        <v>5618</v>
      </c>
      <c r="M535" t="s">
        <v>5623</v>
      </c>
    </row>
    <row r="536" spans="10:13" x14ac:dyDescent="0.2">
      <c r="J536" t="s">
        <v>5466</v>
      </c>
      <c r="K536" t="s">
        <v>5549</v>
      </c>
      <c r="L536" t="s">
        <v>5618</v>
      </c>
      <c r="M536" t="s">
        <v>5624</v>
      </c>
    </row>
    <row r="537" spans="10:13" x14ac:dyDescent="0.2">
      <c r="J537" t="s">
        <v>5466</v>
      </c>
      <c r="K537" t="s">
        <v>5549</v>
      </c>
      <c r="L537" t="s">
        <v>5618</v>
      </c>
      <c r="M537" t="s">
        <v>5619</v>
      </c>
    </row>
    <row r="538" spans="10:13" x14ac:dyDescent="0.2">
      <c r="J538" t="s">
        <v>5466</v>
      </c>
      <c r="K538" t="s">
        <v>5549</v>
      </c>
      <c r="L538" t="s">
        <v>5618</v>
      </c>
      <c r="M538" t="s">
        <v>5619</v>
      </c>
    </row>
    <row r="539" spans="10:13" x14ac:dyDescent="0.2">
      <c r="J539" t="s">
        <v>5466</v>
      </c>
      <c r="K539" t="s">
        <v>5541</v>
      </c>
      <c r="L539" t="s">
        <v>5620</v>
      </c>
      <c r="M539" t="s">
        <v>5625</v>
      </c>
    </row>
    <row r="540" spans="10:13" x14ac:dyDescent="0.2">
      <c r="J540" t="s">
        <v>5466</v>
      </c>
      <c r="K540" t="s">
        <v>5541</v>
      </c>
      <c r="L540" t="s">
        <v>5618</v>
      </c>
      <c r="M540" t="s">
        <v>5619</v>
      </c>
    </row>
    <row r="541" spans="10:13" x14ac:dyDescent="0.2">
      <c r="J541" t="s">
        <v>5466</v>
      </c>
      <c r="K541" t="s">
        <v>5541</v>
      </c>
      <c r="L541" t="s">
        <v>5620</v>
      </c>
      <c r="M541" t="s">
        <v>5620</v>
      </c>
    </row>
    <row r="542" spans="10:13" x14ac:dyDescent="0.2">
      <c r="J542" t="s">
        <v>5466</v>
      </c>
      <c r="K542" t="s">
        <v>5549</v>
      </c>
      <c r="L542" t="s">
        <v>5620</v>
      </c>
      <c r="M542" t="s">
        <v>5622</v>
      </c>
    </row>
    <row r="543" spans="10:13" x14ac:dyDescent="0.2">
      <c r="J543" t="s">
        <v>5466</v>
      </c>
      <c r="K543" t="s">
        <v>5541</v>
      </c>
      <c r="L543" t="s">
        <v>5618</v>
      </c>
      <c r="M543" t="s">
        <v>5618</v>
      </c>
    </row>
    <row r="544" spans="10:13" x14ac:dyDescent="0.2">
      <c r="J544" t="s">
        <v>5466</v>
      </c>
      <c r="K544" t="s">
        <v>5549</v>
      </c>
      <c r="L544" t="s">
        <v>5618</v>
      </c>
      <c r="M544" t="s">
        <v>5623</v>
      </c>
    </row>
    <row r="545" spans="10:13" x14ac:dyDescent="0.2">
      <c r="J545" t="s">
        <v>5466</v>
      </c>
      <c r="K545" t="s">
        <v>5541</v>
      </c>
      <c r="L545" t="s">
        <v>5618</v>
      </c>
      <c r="M545" t="s">
        <v>5618</v>
      </c>
    </row>
    <row r="546" spans="10:13" x14ac:dyDescent="0.2">
      <c r="J546" t="s">
        <v>5466</v>
      </c>
      <c r="K546" t="s">
        <v>5541</v>
      </c>
      <c r="L546" t="s">
        <v>5620</v>
      </c>
      <c r="M546" t="s">
        <v>5650</v>
      </c>
    </row>
    <row r="547" spans="10:13" x14ac:dyDescent="0.2">
      <c r="J547" t="s">
        <v>5466</v>
      </c>
      <c r="K547" t="s">
        <v>5541</v>
      </c>
      <c r="L547" t="s">
        <v>5618</v>
      </c>
      <c r="M547" t="s">
        <v>5618</v>
      </c>
    </row>
    <row r="548" spans="10:13" x14ac:dyDescent="0.2">
      <c r="J548" t="s">
        <v>5466</v>
      </c>
      <c r="K548" t="s">
        <v>5549</v>
      </c>
      <c r="L548" t="s">
        <v>5618</v>
      </c>
      <c r="M548" t="s">
        <v>5623</v>
      </c>
    </row>
    <row r="549" spans="10:13" x14ac:dyDescent="0.2">
      <c r="J549" t="s">
        <v>5466</v>
      </c>
      <c r="K549" t="s">
        <v>5549</v>
      </c>
      <c r="L549" t="s">
        <v>5618</v>
      </c>
      <c r="M549" t="s">
        <v>5618</v>
      </c>
    </row>
    <row r="550" spans="10:13" x14ac:dyDescent="0.2">
      <c r="J550" t="s">
        <v>5466</v>
      </c>
      <c r="K550" t="s">
        <v>5541</v>
      </c>
      <c r="L550" t="s">
        <v>5620</v>
      </c>
      <c r="M550" t="s">
        <v>5620</v>
      </c>
    </row>
    <row r="551" spans="10:13" x14ac:dyDescent="0.2">
      <c r="J551" t="s">
        <v>5466</v>
      </c>
      <c r="K551" t="s">
        <v>5549</v>
      </c>
      <c r="L551" t="s">
        <v>5618</v>
      </c>
      <c r="M551" t="s">
        <v>5624</v>
      </c>
    </row>
    <row r="552" spans="10:13" x14ac:dyDescent="0.2">
      <c r="J552" t="s">
        <v>5466</v>
      </c>
      <c r="K552" t="s">
        <v>5541</v>
      </c>
      <c r="L552" t="s">
        <v>5618</v>
      </c>
      <c r="M552" t="s">
        <v>5623</v>
      </c>
    </row>
    <row r="553" spans="10:13" x14ac:dyDescent="0.2">
      <c r="J553" t="s">
        <v>5466</v>
      </c>
      <c r="K553" t="s">
        <v>5541</v>
      </c>
      <c r="L553" t="s">
        <v>5620</v>
      </c>
      <c r="M553" t="s">
        <v>5625</v>
      </c>
    </row>
    <row r="554" spans="10:13" x14ac:dyDescent="0.2">
      <c r="J554" t="s">
        <v>5466</v>
      </c>
      <c r="K554" t="s">
        <v>5549</v>
      </c>
      <c r="L554" t="s">
        <v>5620</v>
      </c>
      <c r="M554" t="s">
        <v>5628</v>
      </c>
    </row>
    <row r="555" spans="10:13" x14ac:dyDescent="0.2">
      <c r="J555" t="s">
        <v>5466</v>
      </c>
      <c r="K555" t="s">
        <v>5549</v>
      </c>
      <c r="L555" t="s">
        <v>5618</v>
      </c>
      <c r="M555" t="s">
        <v>5643</v>
      </c>
    </row>
    <row r="556" spans="10:13" x14ac:dyDescent="0.2">
      <c r="J556" t="s">
        <v>5466</v>
      </c>
      <c r="K556" t="s">
        <v>5541</v>
      </c>
      <c r="L556" t="s">
        <v>5620</v>
      </c>
      <c r="M556" t="s">
        <v>5620</v>
      </c>
    </row>
    <row r="557" spans="10:13" x14ac:dyDescent="0.2">
      <c r="J557" t="s">
        <v>5466</v>
      </c>
      <c r="K557" t="s">
        <v>5549</v>
      </c>
      <c r="L557" t="s">
        <v>5620</v>
      </c>
      <c r="M557" t="s">
        <v>5651</v>
      </c>
    </row>
    <row r="558" spans="10:13" x14ac:dyDescent="0.2">
      <c r="J558" t="s">
        <v>5466</v>
      </c>
      <c r="K558" t="s">
        <v>5549</v>
      </c>
      <c r="L558" t="s">
        <v>5620</v>
      </c>
      <c r="M558" t="s">
        <v>5626</v>
      </c>
    </row>
    <row r="559" spans="10:13" x14ac:dyDescent="0.2">
      <c r="J559" t="s">
        <v>5466</v>
      </c>
      <c r="K559" t="s">
        <v>5541</v>
      </c>
      <c r="L559" t="s">
        <v>5620</v>
      </c>
      <c r="M559" t="s">
        <v>5625</v>
      </c>
    </row>
    <row r="560" spans="10:13" x14ac:dyDescent="0.2">
      <c r="J560" t="s">
        <v>5466</v>
      </c>
      <c r="K560" t="s">
        <v>5549</v>
      </c>
      <c r="L560" t="s">
        <v>5618</v>
      </c>
      <c r="M560" t="s">
        <v>5618</v>
      </c>
    </row>
    <row r="561" spans="10:13" x14ac:dyDescent="0.2">
      <c r="J561" t="s">
        <v>5466</v>
      </c>
      <c r="K561" t="s">
        <v>5541</v>
      </c>
      <c r="L561" t="s">
        <v>5618</v>
      </c>
      <c r="M561" t="s">
        <v>5618</v>
      </c>
    </row>
    <row r="562" spans="10:13" x14ac:dyDescent="0.2">
      <c r="J562" t="s">
        <v>5466</v>
      </c>
      <c r="K562" t="s">
        <v>5541</v>
      </c>
      <c r="L562" t="s">
        <v>5620</v>
      </c>
      <c r="M562" t="s">
        <v>5620</v>
      </c>
    </row>
    <row r="563" spans="10:13" x14ac:dyDescent="0.2">
      <c r="J563" t="s">
        <v>5466</v>
      </c>
      <c r="K563" t="s">
        <v>5541</v>
      </c>
      <c r="L563" t="s">
        <v>5618</v>
      </c>
      <c r="M563" t="s">
        <v>5648</v>
      </c>
    </row>
    <row r="564" spans="10:13" x14ac:dyDescent="0.2">
      <c r="J564" t="s">
        <v>5466</v>
      </c>
      <c r="K564" t="s">
        <v>5549</v>
      </c>
      <c r="L564" t="s">
        <v>5618</v>
      </c>
      <c r="M564" t="s">
        <v>5623</v>
      </c>
    </row>
    <row r="565" spans="10:13" x14ac:dyDescent="0.2">
      <c r="J565" t="s">
        <v>5466</v>
      </c>
      <c r="K565" t="s">
        <v>5541</v>
      </c>
      <c r="L565" t="s">
        <v>5634</v>
      </c>
      <c r="M565" t="s">
        <v>5634</v>
      </c>
    </row>
    <row r="566" spans="10:13" x14ac:dyDescent="0.2">
      <c r="J566" t="s">
        <v>5466</v>
      </c>
      <c r="K566" t="s">
        <v>5549</v>
      </c>
      <c r="L566" t="s">
        <v>5618</v>
      </c>
      <c r="M566" t="s">
        <v>5618</v>
      </c>
    </row>
    <row r="567" spans="10:13" x14ac:dyDescent="0.2">
      <c r="J567" t="s">
        <v>5466</v>
      </c>
      <c r="K567" t="s">
        <v>5541</v>
      </c>
      <c r="L567" t="s">
        <v>5618</v>
      </c>
      <c r="M567" t="s">
        <v>5618</v>
      </c>
    </row>
    <row r="568" spans="10:13" x14ac:dyDescent="0.2">
      <c r="J568" t="s">
        <v>5466</v>
      </c>
      <c r="K568" t="s">
        <v>5549</v>
      </c>
      <c r="L568" t="s">
        <v>5620</v>
      </c>
      <c r="M568" t="s">
        <v>5622</v>
      </c>
    </row>
    <row r="569" spans="10:13" x14ac:dyDescent="0.2">
      <c r="J569" t="s">
        <v>5466</v>
      </c>
      <c r="K569" t="s">
        <v>5541</v>
      </c>
      <c r="L569" t="s">
        <v>5618</v>
      </c>
      <c r="M569" t="s">
        <v>5648</v>
      </c>
    </row>
    <row r="570" spans="10:13" x14ac:dyDescent="0.2">
      <c r="J570" t="s">
        <v>5466</v>
      </c>
      <c r="K570" t="s">
        <v>5541</v>
      </c>
      <c r="L570" t="s">
        <v>5618</v>
      </c>
      <c r="M570" t="s">
        <v>5623</v>
      </c>
    </row>
    <row r="571" spans="10:13" x14ac:dyDescent="0.2">
      <c r="J571" t="s">
        <v>5466</v>
      </c>
      <c r="K571" t="s">
        <v>5549</v>
      </c>
      <c r="L571" t="s">
        <v>5618</v>
      </c>
      <c r="M571" t="s">
        <v>5618</v>
      </c>
    </row>
    <row r="572" spans="10:13" x14ac:dyDescent="0.2">
      <c r="J572" t="s">
        <v>5466</v>
      </c>
      <c r="K572" t="s">
        <v>5541</v>
      </c>
      <c r="L572" t="s">
        <v>5620</v>
      </c>
      <c r="M572" t="s">
        <v>5621</v>
      </c>
    </row>
    <row r="573" spans="10:13" x14ac:dyDescent="0.2">
      <c r="J573" t="s">
        <v>5466</v>
      </c>
      <c r="K573" t="s">
        <v>5549</v>
      </c>
      <c r="L573" t="s">
        <v>5620</v>
      </c>
      <c r="M573" t="s">
        <v>5621</v>
      </c>
    </row>
    <row r="574" spans="10:13" x14ac:dyDescent="0.2">
      <c r="J574" t="s">
        <v>5466</v>
      </c>
      <c r="K574" t="s">
        <v>5541</v>
      </c>
      <c r="L574" t="s">
        <v>5620</v>
      </c>
      <c r="M574" t="s">
        <v>5620</v>
      </c>
    </row>
    <row r="575" spans="10:13" x14ac:dyDescent="0.2">
      <c r="J575" t="s">
        <v>5466</v>
      </c>
      <c r="K575" t="s">
        <v>5549</v>
      </c>
      <c r="L575" t="s">
        <v>5618</v>
      </c>
      <c r="M575" t="s">
        <v>5624</v>
      </c>
    </row>
    <row r="576" spans="10:13" x14ac:dyDescent="0.2">
      <c r="J576" t="s">
        <v>5466</v>
      </c>
      <c r="K576" t="s">
        <v>5541</v>
      </c>
      <c r="L576" t="s">
        <v>5618</v>
      </c>
      <c r="M576" t="s">
        <v>5618</v>
      </c>
    </row>
    <row r="577" spans="10:13" x14ac:dyDescent="0.2">
      <c r="J577" t="s">
        <v>5466</v>
      </c>
      <c r="K577" t="s">
        <v>5549</v>
      </c>
      <c r="L577" t="s">
        <v>5618</v>
      </c>
      <c r="M577" t="s">
        <v>5618</v>
      </c>
    </row>
    <row r="578" spans="10:13" x14ac:dyDescent="0.2">
      <c r="J578" t="s">
        <v>5466</v>
      </c>
      <c r="K578" t="s">
        <v>5541</v>
      </c>
      <c r="L578" t="s">
        <v>5620</v>
      </c>
      <c r="M578" t="s">
        <v>5627</v>
      </c>
    </row>
    <row r="579" spans="10:13" x14ac:dyDescent="0.2">
      <c r="J579" t="s">
        <v>5466</v>
      </c>
      <c r="K579" t="s">
        <v>5541</v>
      </c>
      <c r="L579" t="s">
        <v>5620</v>
      </c>
      <c r="M579" t="s">
        <v>5621</v>
      </c>
    </row>
    <row r="580" spans="10:13" x14ac:dyDescent="0.2">
      <c r="J580" t="s">
        <v>5466</v>
      </c>
      <c r="K580" t="s">
        <v>5541</v>
      </c>
      <c r="L580" t="s">
        <v>5618</v>
      </c>
      <c r="M580" t="s">
        <v>5643</v>
      </c>
    </row>
    <row r="581" spans="10:13" x14ac:dyDescent="0.2">
      <c r="J581" t="s">
        <v>5466</v>
      </c>
      <c r="K581" t="s">
        <v>5541</v>
      </c>
      <c r="L581" t="s">
        <v>5618</v>
      </c>
      <c r="M581" t="s">
        <v>5623</v>
      </c>
    </row>
    <row r="582" spans="10:13" x14ac:dyDescent="0.2">
      <c r="J582" t="s">
        <v>5466</v>
      </c>
      <c r="K582" t="s">
        <v>5549</v>
      </c>
      <c r="L582" t="s">
        <v>5618</v>
      </c>
      <c r="M582" t="s">
        <v>5624</v>
      </c>
    </row>
    <row r="583" spans="10:13" x14ac:dyDescent="0.2">
      <c r="J583" t="s">
        <v>5466</v>
      </c>
      <c r="K583" t="s">
        <v>5549</v>
      </c>
      <c r="L583" t="s">
        <v>5618</v>
      </c>
      <c r="M583" t="s">
        <v>5623</v>
      </c>
    </row>
    <row r="584" spans="10:13" x14ac:dyDescent="0.2">
      <c r="J584" t="s">
        <v>5466</v>
      </c>
      <c r="K584" t="s">
        <v>5549</v>
      </c>
      <c r="L584" t="s">
        <v>5618</v>
      </c>
      <c r="M584" t="s">
        <v>5618</v>
      </c>
    </row>
    <row r="585" spans="10:13" x14ac:dyDescent="0.2">
      <c r="J585" t="s">
        <v>5466</v>
      </c>
      <c r="K585" t="s">
        <v>5541</v>
      </c>
      <c r="L585" t="s">
        <v>5618</v>
      </c>
      <c r="M585" t="s">
        <v>5623</v>
      </c>
    </row>
    <row r="586" spans="10:13" x14ac:dyDescent="0.2">
      <c r="J586" t="s">
        <v>5466</v>
      </c>
      <c r="K586" t="s">
        <v>5541</v>
      </c>
      <c r="L586" t="s">
        <v>5618</v>
      </c>
      <c r="M586" t="s">
        <v>5618</v>
      </c>
    </row>
    <row r="587" spans="10:13" x14ac:dyDescent="0.2">
      <c r="J587" t="s">
        <v>5466</v>
      </c>
      <c r="K587" t="s">
        <v>5541</v>
      </c>
      <c r="L587" t="s">
        <v>5620</v>
      </c>
      <c r="M587" t="s">
        <v>5627</v>
      </c>
    </row>
    <row r="588" spans="10:13" x14ac:dyDescent="0.2">
      <c r="J588" t="s">
        <v>5466</v>
      </c>
      <c r="K588" t="s">
        <v>5549</v>
      </c>
      <c r="L588" t="s">
        <v>5620</v>
      </c>
      <c r="M588" t="s">
        <v>5622</v>
      </c>
    </row>
    <row r="589" spans="10:13" x14ac:dyDescent="0.2">
      <c r="J589" t="s">
        <v>5466</v>
      </c>
      <c r="K589" t="s">
        <v>5549</v>
      </c>
      <c r="L589" t="s">
        <v>5618</v>
      </c>
      <c r="M589" t="s">
        <v>5618</v>
      </c>
    </row>
    <row r="590" spans="10:13" x14ac:dyDescent="0.2">
      <c r="J590" t="s">
        <v>5466</v>
      </c>
      <c r="K590" t="s">
        <v>5549</v>
      </c>
      <c r="L590" t="s">
        <v>5618</v>
      </c>
      <c r="M590" t="s">
        <v>5623</v>
      </c>
    </row>
    <row r="591" spans="10:13" x14ac:dyDescent="0.2">
      <c r="J591" t="s">
        <v>5466</v>
      </c>
      <c r="K591" t="s">
        <v>5541</v>
      </c>
      <c r="L591" t="s">
        <v>5620</v>
      </c>
      <c r="M591" t="s">
        <v>5627</v>
      </c>
    </row>
    <row r="592" spans="10:13" x14ac:dyDescent="0.2">
      <c r="J592" t="s">
        <v>5466</v>
      </c>
      <c r="K592" t="s">
        <v>5549</v>
      </c>
      <c r="L592" t="s">
        <v>5618</v>
      </c>
      <c r="M592" t="s">
        <v>5619</v>
      </c>
    </row>
    <row r="593" spans="10:13" x14ac:dyDescent="0.2">
      <c r="J593" t="s">
        <v>5466</v>
      </c>
      <c r="K593" t="s">
        <v>5549</v>
      </c>
      <c r="L593" t="s">
        <v>5618</v>
      </c>
      <c r="M593" t="s">
        <v>5619</v>
      </c>
    </row>
    <row r="594" spans="10:13" x14ac:dyDescent="0.2">
      <c r="J594" t="s">
        <v>5466</v>
      </c>
      <c r="K594" t="s">
        <v>5541</v>
      </c>
      <c r="L594" t="s">
        <v>5620</v>
      </c>
      <c r="M594" t="s">
        <v>5620</v>
      </c>
    </row>
    <row r="595" spans="10:13" x14ac:dyDescent="0.2">
      <c r="J595" t="s">
        <v>5466</v>
      </c>
      <c r="K595" t="s">
        <v>5549</v>
      </c>
      <c r="L595" t="s">
        <v>5618</v>
      </c>
      <c r="M595" t="s">
        <v>5618</v>
      </c>
    </row>
    <row r="596" spans="10:13" x14ac:dyDescent="0.2">
      <c r="J596" t="s">
        <v>5466</v>
      </c>
      <c r="K596" t="s">
        <v>5541</v>
      </c>
      <c r="L596" t="s">
        <v>5618</v>
      </c>
      <c r="M596" t="s">
        <v>5648</v>
      </c>
    </row>
    <row r="597" spans="10:13" x14ac:dyDescent="0.2">
      <c r="J597" t="s">
        <v>5466</v>
      </c>
      <c r="K597" t="s">
        <v>5549</v>
      </c>
      <c r="L597" t="s">
        <v>5618</v>
      </c>
      <c r="M597" t="s">
        <v>5619</v>
      </c>
    </row>
    <row r="598" spans="10:13" x14ac:dyDescent="0.2">
      <c r="J598" t="s">
        <v>5466</v>
      </c>
      <c r="K598" t="s">
        <v>5549</v>
      </c>
      <c r="L598" t="s">
        <v>5618</v>
      </c>
      <c r="M598" t="s">
        <v>5623</v>
      </c>
    </row>
    <row r="599" spans="10:13" x14ac:dyDescent="0.2">
      <c r="J599" t="s">
        <v>5466</v>
      </c>
      <c r="K599" t="s">
        <v>5549</v>
      </c>
      <c r="L599" t="s">
        <v>5618</v>
      </c>
      <c r="M599" t="s">
        <v>5623</v>
      </c>
    </row>
    <row r="600" spans="10:13" x14ac:dyDescent="0.2">
      <c r="J600" t="s">
        <v>5466</v>
      </c>
      <c r="K600" t="s">
        <v>5549</v>
      </c>
      <c r="L600" t="s">
        <v>5618</v>
      </c>
      <c r="M600" t="s">
        <v>5623</v>
      </c>
    </row>
    <row r="601" spans="10:13" x14ac:dyDescent="0.2">
      <c r="J601" t="s">
        <v>5466</v>
      </c>
      <c r="K601" t="s">
        <v>5549</v>
      </c>
      <c r="L601" t="s">
        <v>5618</v>
      </c>
      <c r="M601" t="s">
        <v>5619</v>
      </c>
    </row>
    <row r="602" spans="10:13" x14ac:dyDescent="0.2">
      <c r="J602" t="s">
        <v>5466</v>
      </c>
      <c r="K602" t="s">
        <v>5549</v>
      </c>
      <c r="L602" t="s">
        <v>5618</v>
      </c>
      <c r="M602" t="s">
        <v>5623</v>
      </c>
    </row>
    <row r="603" spans="10:13" x14ac:dyDescent="0.2">
      <c r="J603" t="s">
        <v>5466</v>
      </c>
      <c r="K603" t="s">
        <v>5541</v>
      </c>
      <c r="L603" t="s">
        <v>5620</v>
      </c>
      <c r="M603" t="s">
        <v>5620</v>
      </c>
    </row>
    <row r="604" spans="10:13" x14ac:dyDescent="0.2">
      <c r="J604" t="s">
        <v>5466</v>
      </c>
      <c r="K604" t="s">
        <v>5549</v>
      </c>
      <c r="L604" t="s">
        <v>5618</v>
      </c>
      <c r="M604" t="s">
        <v>5623</v>
      </c>
    </row>
    <row r="605" spans="10:13" x14ac:dyDescent="0.2">
      <c r="J605" t="s">
        <v>5466</v>
      </c>
      <c r="K605" t="s">
        <v>5541</v>
      </c>
      <c r="L605" t="s">
        <v>5620</v>
      </c>
      <c r="M605" t="s">
        <v>5620</v>
      </c>
    </row>
    <row r="606" spans="10:13" x14ac:dyDescent="0.2">
      <c r="J606" t="s">
        <v>5466</v>
      </c>
      <c r="K606" t="s">
        <v>5549</v>
      </c>
      <c r="L606" t="s">
        <v>5618</v>
      </c>
      <c r="M606" t="s">
        <v>5623</v>
      </c>
    </row>
    <row r="607" spans="10:13" x14ac:dyDescent="0.2">
      <c r="J607" t="s">
        <v>5466</v>
      </c>
      <c r="K607" t="s">
        <v>5549</v>
      </c>
      <c r="L607" t="s">
        <v>5618</v>
      </c>
      <c r="M607" t="s">
        <v>5623</v>
      </c>
    </row>
    <row r="608" spans="10:13" x14ac:dyDescent="0.2">
      <c r="J608" t="s">
        <v>5466</v>
      </c>
      <c r="K608" t="s">
        <v>5549</v>
      </c>
      <c r="L608" t="s">
        <v>5618</v>
      </c>
      <c r="M608" t="s">
        <v>5619</v>
      </c>
    </row>
    <row r="609" spans="10:13" x14ac:dyDescent="0.2">
      <c r="J609" t="s">
        <v>5466</v>
      </c>
      <c r="K609" t="s">
        <v>5541</v>
      </c>
      <c r="L609" t="s">
        <v>5634</v>
      </c>
      <c r="M609" t="s">
        <v>5634</v>
      </c>
    </row>
    <row r="610" spans="10:13" x14ac:dyDescent="0.2">
      <c r="J610" t="s">
        <v>5466</v>
      </c>
      <c r="K610" t="s">
        <v>5549</v>
      </c>
      <c r="L610" t="s">
        <v>5618</v>
      </c>
      <c r="M610" t="s">
        <v>5618</v>
      </c>
    </row>
    <row r="611" spans="10:13" x14ac:dyDescent="0.2">
      <c r="J611" t="s">
        <v>5466</v>
      </c>
      <c r="K611" t="s">
        <v>5541</v>
      </c>
      <c r="L611" t="s">
        <v>5620</v>
      </c>
      <c r="M611" t="s">
        <v>5627</v>
      </c>
    </row>
    <row r="612" spans="10:13" x14ac:dyDescent="0.2">
      <c r="J612" t="s">
        <v>5466</v>
      </c>
      <c r="K612" t="s">
        <v>5541</v>
      </c>
      <c r="L612" t="s">
        <v>5620</v>
      </c>
      <c r="M612" t="s">
        <v>5627</v>
      </c>
    </row>
    <row r="613" spans="10:13" x14ac:dyDescent="0.2">
      <c r="J613" t="s">
        <v>5466</v>
      </c>
      <c r="K613" t="s">
        <v>5549</v>
      </c>
      <c r="L613" t="s">
        <v>5620</v>
      </c>
      <c r="M613" t="s">
        <v>5621</v>
      </c>
    </row>
    <row r="614" spans="10:13" x14ac:dyDescent="0.2">
      <c r="J614" t="s">
        <v>5466</v>
      </c>
      <c r="K614" t="s">
        <v>5541</v>
      </c>
      <c r="L614" t="s">
        <v>5618</v>
      </c>
      <c r="M614" t="s">
        <v>5618</v>
      </c>
    </row>
    <row r="615" spans="10:13" x14ac:dyDescent="0.2">
      <c r="J615" t="s">
        <v>5466</v>
      </c>
      <c r="K615" t="s">
        <v>5541</v>
      </c>
      <c r="L615" t="s">
        <v>5620</v>
      </c>
      <c r="M615" t="s">
        <v>5620</v>
      </c>
    </row>
    <row r="616" spans="10:13" x14ac:dyDescent="0.2">
      <c r="J616" t="s">
        <v>5466</v>
      </c>
      <c r="K616" t="s">
        <v>5549</v>
      </c>
      <c r="L616" t="s">
        <v>5618</v>
      </c>
      <c r="M616" t="s">
        <v>5623</v>
      </c>
    </row>
    <row r="617" spans="10:13" x14ac:dyDescent="0.2">
      <c r="J617" t="s">
        <v>5466</v>
      </c>
      <c r="K617" t="s">
        <v>5541</v>
      </c>
      <c r="L617" t="s">
        <v>5620</v>
      </c>
      <c r="M617" t="s">
        <v>5627</v>
      </c>
    </row>
    <row r="618" spans="10:13" x14ac:dyDescent="0.2">
      <c r="J618" t="s">
        <v>5466</v>
      </c>
      <c r="K618" t="s">
        <v>5541</v>
      </c>
      <c r="L618" t="s">
        <v>5620</v>
      </c>
      <c r="M618" t="s">
        <v>5627</v>
      </c>
    </row>
    <row r="619" spans="10:13" x14ac:dyDescent="0.2">
      <c r="J619" t="s">
        <v>5466</v>
      </c>
      <c r="K619" t="s">
        <v>5541</v>
      </c>
      <c r="L619" t="s">
        <v>5634</v>
      </c>
      <c r="M619" t="s">
        <v>5634</v>
      </c>
    </row>
    <row r="620" spans="10:13" x14ac:dyDescent="0.2">
      <c r="J620" t="s">
        <v>5466</v>
      </c>
      <c r="K620" t="s">
        <v>5541</v>
      </c>
      <c r="L620" t="s">
        <v>5620</v>
      </c>
      <c r="M620" t="s">
        <v>5627</v>
      </c>
    </row>
    <row r="621" spans="10:13" x14ac:dyDescent="0.2">
      <c r="J621" t="s">
        <v>5466</v>
      </c>
      <c r="K621" t="s">
        <v>5541</v>
      </c>
      <c r="L621" t="s">
        <v>5618</v>
      </c>
      <c r="M621" t="s">
        <v>5618</v>
      </c>
    </row>
    <row r="622" spans="10:13" x14ac:dyDescent="0.2">
      <c r="J622" t="s">
        <v>5466</v>
      </c>
      <c r="K622" t="s">
        <v>5541</v>
      </c>
      <c r="L622" t="s">
        <v>5620</v>
      </c>
      <c r="M622" t="s">
        <v>5620</v>
      </c>
    </row>
    <row r="623" spans="10:13" x14ac:dyDescent="0.2">
      <c r="J623" t="s">
        <v>5466</v>
      </c>
      <c r="K623" t="s">
        <v>5549</v>
      </c>
      <c r="L623" t="s">
        <v>5620</v>
      </c>
      <c r="M623" t="s">
        <v>5621</v>
      </c>
    </row>
    <row r="624" spans="10:13" x14ac:dyDescent="0.2">
      <c r="J624" t="s">
        <v>5466</v>
      </c>
      <c r="K624" t="s">
        <v>5549</v>
      </c>
      <c r="L624" t="s">
        <v>5620</v>
      </c>
      <c r="M624" t="s">
        <v>5622</v>
      </c>
    </row>
    <row r="625" spans="10:13" x14ac:dyDescent="0.2">
      <c r="J625" t="s">
        <v>5466</v>
      </c>
      <c r="K625" t="s">
        <v>5549</v>
      </c>
      <c r="L625" t="s">
        <v>5620</v>
      </c>
      <c r="M625" t="s">
        <v>5629</v>
      </c>
    </row>
    <row r="626" spans="10:13" x14ac:dyDescent="0.2">
      <c r="J626" t="s">
        <v>5466</v>
      </c>
      <c r="K626" t="s">
        <v>5549</v>
      </c>
      <c r="L626" t="s">
        <v>5618</v>
      </c>
      <c r="M626" t="s">
        <v>5618</v>
      </c>
    </row>
    <row r="627" spans="10:13" x14ac:dyDescent="0.2">
      <c r="J627" t="s">
        <v>5466</v>
      </c>
      <c r="K627" t="s">
        <v>5541</v>
      </c>
      <c r="L627" t="s">
        <v>5620</v>
      </c>
      <c r="M627" t="s">
        <v>5621</v>
      </c>
    </row>
    <row r="628" spans="10:13" x14ac:dyDescent="0.2">
      <c r="J628" t="s">
        <v>5466</v>
      </c>
      <c r="K628" t="s">
        <v>5549</v>
      </c>
      <c r="L628" t="s">
        <v>5618</v>
      </c>
      <c r="M628" t="s">
        <v>5623</v>
      </c>
    </row>
    <row r="629" spans="10:13" x14ac:dyDescent="0.2">
      <c r="J629" t="s">
        <v>5466</v>
      </c>
      <c r="K629" t="s">
        <v>5541</v>
      </c>
      <c r="L629" t="s">
        <v>5620</v>
      </c>
      <c r="M629" t="s">
        <v>5620</v>
      </c>
    </row>
    <row r="630" spans="10:13" x14ac:dyDescent="0.2">
      <c r="J630" t="s">
        <v>5466</v>
      </c>
      <c r="K630" t="s">
        <v>5549</v>
      </c>
      <c r="L630" t="s">
        <v>5620</v>
      </c>
      <c r="M630" t="s">
        <v>5629</v>
      </c>
    </row>
    <row r="631" spans="10:13" x14ac:dyDescent="0.2">
      <c r="J631" t="s">
        <v>5466</v>
      </c>
      <c r="K631" t="s">
        <v>5549</v>
      </c>
      <c r="L631" t="s">
        <v>5618</v>
      </c>
      <c r="M631" t="s">
        <v>5618</v>
      </c>
    </row>
    <row r="632" spans="10:13" x14ac:dyDescent="0.2">
      <c r="J632" t="s">
        <v>5466</v>
      </c>
      <c r="K632" t="s">
        <v>5541</v>
      </c>
      <c r="L632" t="s">
        <v>5620</v>
      </c>
      <c r="M632" t="s">
        <v>5650</v>
      </c>
    </row>
    <row r="633" spans="10:13" x14ac:dyDescent="0.2">
      <c r="J633" t="s">
        <v>5466</v>
      </c>
      <c r="K633" t="s">
        <v>5541</v>
      </c>
      <c r="L633" t="s">
        <v>5620</v>
      </c>
      <c r="M633" t="s">
        <v>5627</v>
      </c>
    </row>
    <row r="634" spans="10:13" x14ac:dyDescent="0.2">
      <c r="J634" t="s">
        <v>5466</v>
      </c>
      <c r="K634" t="s">
        <v>5549</v>
      </c>
      <c r="L634" t="s">
        <v>5618</v>
      </c>
      <c r="M634" t="s">
        <v>5618</v>
      </c>
    </row>
    <row r="635" spans="10:13" x14ac:dyDescent="0.2">
      <c r="J635" t="s">
        <v>5466</v>
      </c>
      <c r="K635" t="s">
        <v>5549</v>
      </c>
      <c r="L635" t="s">
        <v>5618</v>
      </c>
      <c r="M635" t="s">
        <v>5624</v>
      </c>
    </row>
    <row r="636" spans="10:13" x14ac:dyDescent="0.2">
      <c r="J636" t="s">
        <v>5466</v>
      </c>
      <c r="K636" t="s">
        <v>5541</v>
      </c>
      <c r="L636" t="s">
        <v>5646</v>
      </c>
      <c r="M636" t="s">
        <v>5646</v>
      </c>
    </row>
    <row r="637" spans="10:13" x14ac:dyDescent="0.2">
      <c r="J637" t="s">
        <v>5466</v>
      </c>
      <c r="K637" t="s">
        <v>5549</v>
      </c>
      <c r="L637" t="s">
        <v>5618</v>
      </c>
      <c r="M637" t="s">
        <v>5623</v>
      </c>
    </row>
    <row r="638" spans="10:13" x14ac:dyDescent="0.2">
      <c r="J638" t="s">
        <v>5466</v>
      </c>
      <c r="K638" t="s">
        <v>5541</v>
      </c>
      <c r="L638" t="s">
        <v>5633</v>
      </c>
      <c r="M638" t="s">
        <v>5637</v>
      </c>
    </row>
    <row r="639" spans="10:13" x14ac:dyDescent="0.2">
      <c r="J639" t="s">
        <v>5466</v>
      </c>
      <c r="K639" t="s">
        <v>5541</v>
      </c>
      <c r="L639" t="s">
        <v>5618</v>
      </c>
      <c r="M639" t="s">
        <v>5618</v>
      </c>
    </row>
    <row r="640" spans="10:13" x14ac:dyDescent="0.2">
      <c r="J640" t="s">
        <v>5466</v>
      </c>
      <c r="K640" t="s">
        <v>5549</v>
      </c>
      <c r="L640" t="s">
        <v>5620</v>
      </c>
      <c r="M640" t="s">
        <v>5622</v>
      </c>
    </row>
    <row r="641" spans="10:13" x14ac:dyDescent="0.2">
      <c r="J641" t="s">
        <v>5466</v>
      </c>
      <c r="K641" t="s">
        <v>5549</v>
      </c>
      <c r="L641" t="s">
        <v>5618</v>
      </c>
      <c r="M641" t="s">
        <v>5623</v>
      </c>
    </row>
    <row r="642" spans="10:13" x14ac:dyDescent="0.2">
      <c r="J642" t="s">
        <v>5466</v>
      </c>
      <c r="K642" t="s">
        <v>5549</v>
      </c>
      <c r="L642" t="s">
        <v>5618</v>
      </c>
      <c r="M642" t="s">
        <v>5623</v>
      </c>
    </row>
    <row r="643" spans="10:13" x14ac:dyDescent="0.2">
      <c r="J643" t="s">
        <v>5466</v>
      </c>
      <c r="K643" t="s">
        <v>5549</v>
      </c>
      <c r="L643" t="s">
        <v>5618</v>
      </c>
      <c r="M643" t="s">
        <v>5623</v>
      </c>
    </row>
    <row r="644" spans="10:13" x14ac:dyDescent="0.2">
      <c r="J644" t="s">
        <v>5466</v>
      </c>
      <c r="K644" t="s">
        <v>5549</v>
      </c>
      <c r="L644" t="s">
        <v>5618</v>
      </c>
      <c r="M644" t="s">
        <v>5630</v>
      </c>
    </row>
    <row r="645" spans="10:13" x14ac:dyDescent="0.2">
      <c r="J645" t="s">
        <v>5466</v>
      </c>
      <c r="K645" t="s">
        <v>5541</v>
      </c>
      <c r="L645" t="s">
        <v>5620</v>
      </c>
      <c r="M645" t="s">
        <v>5622</v>
      </c>
    </row>
    <row r="646" spans="10:13" x14ac:dyDescent="0.2">
      <c r="J646" t="s">
        <v>5466</v>
      </c>
      <c r="K646" t="s">
        <v>5541</v>
      </c>
      <c r="L646" t="s">
        <v>5620</v>
      </c>
      <c r="M646" t="s">
        <v>5622</v>
      </c>
    </row>
    <row r="647" spans="10:13" x14ac:dyDescent="0.2">
      <c r="J647" t="s">
        <v>5466</v>
      </c>
      <c r="K647" t="s">
        <v>5549</v>
      </c>
      <c r="L647" t="s">
        <v>5618</v>
      </c>
      <c r="M647" t="s">
        <v>5619</v>
      </c>
    </row>
    <row r="648" spans="10:13" x14ac:dyDescent="0.2">
      <c r="J648" t="s">
        <v>5466</v>
      </c>
      <c r="K648" t="s">
        <v>5549</v>
      </c>
      <c r="L648" t="s">
        <v>5618</v>
      </c>
      <c r="M648" t="s">
        <v>5648</v>
      </c>
    </row>
    <row r="649" spans="10:13" x14ac:dyDescent="0.2">
      <c r="J649" t="s">
        <v>5466</v>
      </c>
      <c r="K649" t="s">
        <v>5541</v>
      </c>
      <c r="L649" t="s">
        <v>5634</v>
      </c>
      <c r="M649" t="s">
        <v>5634</v>
      </c>
    </row>
    <row r="650" spans="10:13" x14ac:dyDescent="0.2">
      <c r="J650" t="s">
        <v>5466</v>
      </c>
      <c r="K650" t="s">
        <v>5541</v>
      </c>
      <c r="L650" t="s">
        <v>5633</v>
      </c>
      <c r="M650" t="s">
        <v>5637</v>
      </c>
    </row>
    <row r="651" spans="10:13" x14ac:dyDescent="0.2">
      <c r="J651" t="s">
        <v>5466</v>
      </c>
      <c r="K651" t="s">
        <v>5549</v>
      </c>
      <c r="L651" t="s">
        <v>5620</v>
      </c>
      <c r="M651" t="s">
        <v>5621</v>
      </c>
    </row>
    <row r="652" spans="10:13" x14ac:dyDescent="0.2">
      <c r="J652" t="s">
        <v>5466</v>
      </c>
      <c r="K652" t="s">
        <v>5541</v>
      </c>
      <c r="L652" t="s">
        <v>5618</v>
      </c>
      <c r="M652" t="s">
        <v>5618</v>
      </c>
    </row>
    <row r="653" spans="10:13" x14ac:dyDescent="0.2">
      <c r="J653" t="s">
        <v>5466</v>
      </c>
      <c r="K653" t="s">
        <v>5541</v>
      </c>
      <c r="L653" t="s">
        <v>5633</v>
      </c>
      <c r="M653" t="s">
        <v>5633</v>
      </c>
    </row>
    <row r="654" spans="10:13" x14ac:dyDescent="0.2">
      <c r="J654" t="s">
        <v>5466</v>
      </c>
      <c r="K654" t="s">
        <v>5541</v>
      </c>
      <c r="L654" t="s">
        <v>5618</v>
      </c>
      <c r="M654" t="s">
        <v>5618</v>
      </c>
    </row>
    <row r="655" spans="10:13" x14ac:dyDescent="0.2">
      <c r="J655" t="s">
        <v>5466</v>
      </c>
      <c r="K655" t="s">
        <v>5541</v>
      </c>
      <c r="L655" t="s">
        <v>5618</v>
      </c>
      <c r="M655" t="s">
        <v>5618</v>
      </c>
    </row>
    <row r="656" spans="10:13" x14ac:dyDescent="0.2">
      <c r="J656" t="s">
        <v>5466</v>
      </c>
      <c r="K656" t="s">
        <v>5541</v>
      </c>
      <c r="L656" t="s">
        <v>5620</v>
      </c>
      <c r="M656" t="s">
        <v>5622</v>
      </c>
    </row>
    <row r="657" spans="10:13" x14ac:dyDescent="0.2">
      <c r="J657" t="s">
        <v>5466</v>
      </c>
      <c r="K657" t="s">
        <v>5549</v>
      </c>
      <c r="L657" t="s">
        <v>5618</v>
      </c>
      <c r="M657" t="s">
        <v>5623</v>
      </c>
    </row>
    <row r="658" spans="10:13" x14ac:dyDescent="0.2">
      <c r="J658" t="s">
        <v>5466</v>
      </c>
      <c r="K658" t="s">
        <v>5541</v>
      </c>
      <c r="L658" t="s">
        <v>5620</v>
      </c>
      <c r="M658" t="s">
        <v>5625</v>
      </c>
    </row>
    <row r="659" spans="10:13" x14ac:dyDescent="0.2">
      <c r="J659" t="s">
        <v>5466</v>
      </c>
      <c r="K659" t="s">
        <v>5549</v>
      </c>
      <c r="L659" t="s">
        <v>5618</v>
      </c>
      <c r="M659" t="s">
        <v>5623</v>
      </c>
    </row>
    <row r="660" spans="10:13" x14ac:dyDescent="0.2">
      <c r="J660" t="s">
        <v>5466</v>
      </c>
      <c r="K660" t="s">
        <v>5549</v>
      </c>
      <c r="L660" t="s">
        <v>5618</v>
      </c>
      <c r="M660" t="s">
        <v>5630</v>
      </c>
    </row>
    <row r="661" spans="10:13" x14ac:dyDescent="0.2">
      <c r="J661" t="s">
        <v>5466</v>
      </c>
      <c r="K661" t="s">
        <v>5549</v>
      </c>
      <c r="L661" t="s">
        <v>5618</v>
      </c>
      <c r="M661" t="s">
        <v>5624</v>
      </c>
    </row>
    <row r="662" spans="10:13" x14ac:dyDescent="0.2">
      <c r="J662" t="s">
        <v>5466</v>
      </c>
      <c r="K662" t="s">
        <v>5549</v>
      </c>
      <c r="L662" t="s">
        <v>5618</v>
      </c>
      <c r="M662" t="s">
        <v>5624</v>
      </c>
    </row>
    <row r="663" spans="10:13" x14ac:dyDescent="0.2">
      <c r="J663" t="s">
        <v>5466</v>
      </c>
      <c r="K663" t="s">
        <v>5549</v>
      </c>
      <c r="L663" t="s">
        <v>5618</v>
      </c>
      <c r="M663" t="s">
        <v>5618</v>
      </c>
    </row>
    <row r="664" spans="10:13" x14ac:dyDescent="0.2">
      <c r="J664" t="s">
        <v>5466</v>
      </c>
      <c r="K664" t="s">
        <v>5541</v>
      </c>
      <c r="L664" t="s">
        <v>5620</v>
      </c>
      <c r="M664" t="s">
        <v>5625</v>
      </c>
    </row>
    <row r="665" spans="10:13" x14ac:dyDescent="0.2">
      <c r="J665" t="s">
        <v>5466</v>
      </c>
      <c r="K665" t="s">
        <v>5549</v>
      </c>
      <c r="L665" t="s">
        <v>5618</v>
      </c>
      <c r="M665" t="s">
        <v>5618</v>
      </c>
    </row>
    <row r="666" spans="10:13" x14ac:dyDescent="0.2">
      <c r="J666" t="s">
        <v>5466</v>
      </c>
      <c r="K666" t="s">
        <v>5549</v>
      </c>
      <c r="L666" t="s">
        <v>5618</v>
      </c>
      <c r="M666" t="s">
        <v>5618</v>
      </c>
    </row>
    <row r="667" spans="10:13" x14ac:dyDescent="0.2">
      <c r="J667" t="s">
        <v>5466</v>
      </c>
      <c r="K667" t="s">
        <v>5541</v>
      </c>
      <c r="L667" t="s">
        <v>5618</v>
      </c>
      <c r="M667" t="s">
        <v>5618</v>
      </c>
    </row>
    <row r="668" spans="10:13" x14ac:dyDescent="0.2">
      <c r="J668" t="s">
        <v>5466</v>
      </c>
      <c r="K668" t="s">
        <v>5549</v>
      </c>
      <c r="L668" t="s">
        <v>5618</v>
      </c>
      <c r="M668" t="s">
        <v>5644</v>
      </c>
    </row>
    <row r="669" spans="10:13" x14ac:dyDescent="0.2">
      <c r="J669" t="s">
        <v>5466</v>
      </c>
      <c r="K669" t="s">
        <v>5549</v>
      </c>
      <c r="L669" t="s">
        <v>5618</v>
      </c>
      <c r="M669" t="s">
        <v>5618</v>
      </c>
    </row>
    <row r="670" spans="10:13" x14ac:dyDescent="0.2">
      <c r="J670" t="s">
        <v>5466</v>
      </c>
      <c r="K670" t="s">
        <v>5549</v>
      </c>
      <c r="L670" t="s">
        <v>5618</v>
      </c>
      <c r="M670" t="s">
        <v>5618</v>
      </c>
    </row>
    <row r="671" spans="10:13" x14ac:dyDescent="0.2">
      <c r="J671" t="s">
        <v>5466</v>
      </c>
      <c r="K671" t="s">
        <v>5549</v>
      </c>
      <c r="L671" t="s">
        <v>5618</v>
      </c>
      <c r="M671" t="s">
        <v>5618</v>
      </c>
    </row>
    <row r="672" spans="10:13" x14ac:dyDescent="0.2">
      <c r="J672" t="s">
        <v>5466</v>
      </c>
      <c r="K672" t="s">
        <v>5549</v>
      </c>
      <c r="L672" t="s">
        <v>5618</v>
      </c>
      <c r="M672" t="s">
        <v>5624</v>
      </c>
    </row>
    <row r="673" spans="10:13" x14ac:dyDescent="0.2">
      <c r="J673" t="s">
        <v>5466</v>
      </c>
      <c r="K673" t="s">
        <v>5549</v>
      </c>
      <c r="L673" t="s">
        <v>5618</v>
      </c>
      <c r="M673" t="s">
        <v>5624</v>
      </c>
    </row>
    <row r="674" spans="10:13" x14ac:dyDescent="0.2">
      <c r="J674" t="s">
        <v>5466</v>
      </c>
      <c r="K674" t="s">
        <v>5549</v>
      </c>
      <c r="L674" t="s">
        <v>5620</v>
      </c>
      <c r="M674" t="s">
        <v>5622</v>
      </c>
    </row>
    <row r="675" spans="10:13" x14ac:dyDescent="0.2">
      <c r="J675" t="s">
        <v>5466</v>
      </c>
      <c r="K675" t="s">
        <v>5549</v>
      </c>
      <c r="L675" t="s">
        <v>5618</v>
      </c>
      <c r="M675" t="s">
        <v>5618</v>
      </c>
    </row>
    <row r="676" spans="10:13" x14ac:dyDescent="0.2">
      <c r="J676" t="s">
        <v>5466</v>
      </c>
      <c r="K676" t="s">
        <v>5549</v>
      </c>
      <c r="L676" t="s">
        <v>5618</v>
      </c>
      <c r="M676" t="s">
        <v>5618</v>
      </c>
    </row>
    <row r="677" spans="10:13" x14ac:dyDescent="0.2">
      <c r="J677" t="s">
        <v>5466</v>
      </c>
      <c r="K677" t="s">
        <v>5549</v>
      </c>
      <c r="L677" t="s">
        <v>5618</v>
      </c>
      <c r="M677" t="s">
        <v>5618</v>
      </c>
    </row>
    <row r="678" spans="10:13" x14ac:dyDescent="0.2">
      <c r="J678" t="s">
        <v>5466</v>
      </c>
      <c r="K678" t="s">
        <v>5549</v>
      </c>
      <c r="L678" t="s">
        <v>5618</v>
      </c>
      <c r="M678" t="s">
        <v>5624</v>
      </c>
    </row>
    <row r="679" spans="10:13" x14ac:dyDescent="0.2">
      <c r="J679" t="s">
        <v>5466</v>
      </c>
      <c r="K679" t="s">
        <v>5541</v>
      </c>
      <c r="L679" t="s">
        <v>5620</v>
      </c>
      <c r="M679" t="s">
        <v>5620</v>
      </c>
    </row>
    <row r="680" spans="10:13" x14ac:dyDescent="0.2">
      <c r="J680" t="s">
        <v>5466</v>
      </c>
      <c r="K680" t="s">
        <v>5549</v>
      </c>
      <c r="L680" t="s">
        <v>5620</v>
      </c>
      <c r="M680" t="s">
        <v>5652</v>
      </c>
    </row>
    <row r="681" spans="10:13" x14ac:dyDescent="0.2">
      <c r="J681" t="s">
        <v>5466</v>
      </c>
      <c r="K681" t="s">
        <v>5549</v>
      </c>
      <c r="L681" t="s">
        <v>5620</v>
      </c>
      <c r="M681" t="s">
        <v>5621</v>
      </c>
    </row>
    <row r="682" spans="10:13" x14ac:dyDescent="0.2">
      <c r="J682" t="s">
        <v>5466</v>
      </c>
      <c r="K682" t="s">
        <v>5541</v>
      </c>
      <c r="L682" t="s">
        <v>5618</v>
      </c>
      <c r="M682" t="s">
        <v>5618</v>
      </c>
    </row>
    <row r="683" spans="10:13" x14ac:dyDescent="0.2">
      <c r="J683" t="s">
        <v>5466</v>
      </c>
      <c r="K683" t="s">
        <v>5549</v>
      </c>
      <c r="L683" t="s">
        <v>5618</v>
      </c>
      <c r="M683" t="s">
        <v>5630</v>
      </c>
    </row>
    <row r="684" spans="10:13" x14ac:dyDescent="0.2">
      <c r="J684" t="s">
        <v>5466</v>
      </c>
      <c r="K684" t="s">
        <v>5549</v>
      </c>
      <c r="L684" t="s">
        <v>5618</v>
      </c>
      <c r="M684" t="s">
        <v>5644</v>
      </c>
    </row>
    <row r="685" spans="10:13" x14ac:dyDescent="0.2">
      <c r="J685" t="s">
        <v>5466</v>
      </c>
      <c r="K685" t="s">
        <v>5549</v>
      </c>
      <c r="L685" t="s">
        <v>5620</v>
      </c>
      <c r="M685" t="s">
        <v>5628</v>
      </c>
    </row>
    <row r="686" spans="10:13" x14ac:dyDescent="0.2">
      <c r="J686" t="s">
        <v>5466</v>
      </c>
      <c r="K686" t="s">
        <v>5541</v>
      </c>
      <c r="L686" t="s">
        <v>5653</v>
      </c>
      <c r="M686" t="s">
        <v>5654</v>
      </c>
    </row>
    <row r="687" spans="10:13" x14ac:dyDescent="0.2">
      <c r="J687" t="s">
        <v>5466</v>
      </c>
      <c r="K687" t="s">
        <v>5541</v>
      </c>
      <c r="L687" t="s">
        <v>5634</v>
      </c>
      <c r="M687" t="s">
        <v>5634</v>
      </c>
    </row>
    <row r="688" spans="10:13" x14ac:dyDescent="0.2">
      <c r="J688" t="s">
        <v>5466</v>
      </c>
      <c r="K688" t="s">
        <v>5541</v>
      </c>
      <c r="L688" t="s">
        <v>5634</v>
      </c>
      <c r="M688" t="s">
        <v>5634</v>
      </c>
    </row>
    <row r="689" spans="10:13" x14ac:dyDescent="0.2">
      <c r="J689" t="s">
        <v>5466</v>
      </c>
      <c r="K689" t="s">
        <v>5549</v>
      </c>
      <c r="L689" t="s">
        <v>5620</v>
      </c>
      <c r="M689" t="s">
        <v>5622</v>
      </c>
    </row>
    <row r="690" spans="10:13" x14ac:dyDescent="0.2">
      <c r="J690" t="s">
        <v>5466</v>
      </c>
      <c r="K690" t="s">
        <v>5549</v>
      </c>
      <c r="L690" t="s">
        <v>5618</v>
      </c>
      <c r="M690" t="s">
        <v>5624</v>
      </c>
    </row>
    <row r="691" spans="10:13" x14ac:dyDescent="0.2">
      <c r="J691" t="s">
        <v>5466</v>
      </c>
      <c r="K691" t="s">
        <v>5541</v>
      </c>
      <c r="L691" t="s">
        <v>5618</v>
      </c>
      <c r="M691" t="s">
        <v>5623</v>
      </c>
    </row>
    <row r="692" spans="10:13" x14ac:dyDescent="0.2">
      <c r="J692" t="s">
        <v>5466</v>
      </c>
      <c r="K692" t="s">
        <v>5541</v>
      </c>
      <c r="L692" t="s">
        <v>5633</v>
      </c>
      <c r="M692" t="s">
        <v>5655</v>
      </c>
    </row>
    <row r="693" spans="10:13" x14ac:dyDescent="0.2">
      <c r="J693" t="s">
        <v>5466</v>
      </c>
      <c r="K693" t="s">
        <v>5541</v>
      </c>
      <c r="L693" t="s">
        <v>5618</v>
      </c>
      <c r="M693" t="s">
        <v>5618</v>
      </c>
    </row>
    <row r="694" spans="10:13" x14ac:dyDescent="0.2">
      <c r="J694" t="s">
        <v>5466</v>
      </c>
      <c r="K694" t="s">
        <v>5549</v>
      </c>
      <c r="L694" t="s">
        <v>5618</v>
      </c>
      <c r="M694" t="s">
        <v>5623</v>
      </c>
    </row>
    <row r="695" spans="10:13" x14ac:dyDescent="0.2">
      <c r="J695" t="s">
        <v>5466</v>
      </c>
      <c r="K695" t="s">
        <v>5549</v>
      </c>
      <c r="L695" t="s">
        <v>5618</v>
      </c>
      <c r="M695" t="s">
        <v>5618</v>
      </c>
    </row>
    <row r="696" spans="10:13" x14ac:dyDescent="0.2">
      <c r="J696" t="s">
        <v>5466</v>
      </c>
      <c r="K696" t="s">
        <v>5541</v>
      </c>
      <c r="L696" t="s">
        <v>5620</v>
      </c>
      <c r="M696" t="s">
        <v>5627</v>
      </c>
    </row>
    <row r="697" spans="10:13" x14ac:dyDescent="0.2">
      <c r="J697" t="s">
        <v>5466</v>
      </c>
      <c r="K697" t="s">
        <v>5549</v>
      </c>
      <c r="L697" t="s">
        <v>5618</v>
      </c>
      <c r="M697" t="s">
        <v>5630</v>
      </c>
    </row>
    <row r="698" spans="10:13" x14ac:dyDescent="0.2">
      <c r="J698" t="s">
        <v>5466</v>
      </c>
      <c r="K698" t="s">
        <v>5549</v>
      </c>
      <c r="L698" t="s">
        <v>5620</v>
      </c>
      <c r="M698" t="s">
        <v>5651</v>
      </c>
    </row>
    <row r="699" spans="10:13" x14ac:dyDescent="0.2">
      <c r="J699" t="s">
        <v>5466</v>
      </c>
      <c r="K699" t="s">
        <v>5549</v>
      </c>
      <c r="L699" t="s">
        <v>5618</v>
      </c>
      <c r="M699" t="s">
        <v>5619</v>
      </c>
    </row>
    <row r="700" spans="10:13" x14ac:dyDescent="0.2">
      <c r="J700" t="s">
        <v>5466</v>
      </c>
      <c r="K700" t="s">
        <v>5541</v>
      </c>
      <c r="L700" t="s">
        <v>5620</v>
      </c>
      <c r="M700" t="s">
        <v>5627</v>
      </c>
    </row>
    <row r="701" spans="10:13" x14ac:dyDescent="0.2">
      <c r="J701" t="s">
        <v>5466</v>
      </c>
      <c r="K701" t="s">
        <v>5549</v>
      </c>
      <c r="L701" t="s">
        <v>5620</v>
      </c>
      <c r="M701" t="s">
        <v>5622</v>
      </c>
    </row>
    <row r="702" spans="10:13" x14ac:dyDescent="0.2">
      <c r="J702" t="s">
        <v>5466</v>
      </c>
      <c r="K702" t="s">
        <v>5541</v>
      </c>
      <c r="L702" t="s">
        <v>5618</v>
      </c>
      <c r="M702" t="s">
        <v>5648</v>
      </c>
    </row>
    <row r="703" spans="10:13" x14ac:dyDescent="0.2">
      <c r="J703" t="s">
        <v>5466</v>
      </c>
      <c r="K703" t="s">
        <v>5541</v>
      </c>
      <c r="L703" t="s">
        <v>5620</v>
      </c>
      <c r="M703" t="s">
        <v>5621</v>
      </c>
    </row>
    <row r="704" spans="10:13" x14ac:dyDescent="0.2">
      <c r="J704" t="s">
        <v>5466</v>
      </c>
      <c r="K704" t="s">
        <v>5541</v>
      </c>
      <c r="L704" t="s">
        <v>5620</v>
      </c>
      <c r="M704" t="s">
        <v>5625</v>
      </c>
    </row>
    <row r="705" spans="10:13" x14ac:dyDescent="0.2">
      <c r="J705" t="s">
        <v>5466</v>
      </c>
      <c r="K705" t="s">
        <v>5549</v>
      </c>
      <c r="L705" t="s">
        <v>5620</v>
      </c>
      <c r="M705" t="s">
        <v>5622</v>
      </c>
    </row>
    <row r="706" spans="10:13" x14ac:dyDescent="0.2">
      <c r="J706" t="s">
        <v>5466</v>
      </c>
      <c r="K706" t="s">
        <v>5549</v>
      </c>
      <c r="L706" t="s">
        <v>5618</v>
      </c>
      <c r="M706" t="s">
        <v>5618</v>
      </c>
    </row>
    <row r="707" spans="10:13" x14ac:dyDescent="0.2">
      <c r="J707" t="s">
        <v>5466</v>
      </c>
      <c r="K707" t="s">
        <v>5541</v>
      </c>
      <c r="L707" t="s">
        <v>5620</v>
      </c>
      <c r="M707" t="s">
        <v>5621</v>
      </c>
    </row>
    <row r="708" spans="10:13" x14ac:dyDescent="0.2">
      <c r="J708" t="s">
        <v>5466</v>
      </c>
      <c r="K708" t="s">
        <v>5541</v>
      </c>
      <c r="L708" t="s">
        <v>5620</v>
      </c>
      <c r="M708" t="s">
        <v>5627</v>
      </c>
    </row>
    <row r="709" spans="10:13" x14ac:dyDescent="0.2">
      <c r="J709" t="s">
        <v>5466</v>
      </c>
      <c r="K709" t="s">
        <v>5541</v>
      </c>
      <c r="L709" t="s">
        <v>5620</v>
      </c>
      <c r="M709" t="s">
        <v>5622</v>
      </c>
    </row>
    <row r="710" spans="10:13" x14ac:dyDescent="0.2">
      <c r="J710" t="s">
        <v>5466</v>
      </c>
      <c r="K710" t="s">
        <v>5549</v>
      </c>
      <c r="L710" t="s">
        <v>5618</v>
      </c>
      <c r="M710" t="s">
        <v>5623</v>
      </c>
    </row>
    <row r="711" spans="10:13" x14ac:dyDescent="0.2">
      <c r="J711" t="s">
        <v>5466</v>
      </c>
      <c r="K711" t="s">
        <v>5541</v>
      </c>
      <c r="L711" t="s">
        <v>5618</v>
      </c>
      <c r="M711" t="s">
        <v>5618</v>
      </c>
    </row>
    <row r="712" spans="10:13" x14ac:dyDescent="0.2">
      <c r="J712" t="s">
        <v>5466</v>
      </c>
      <c r="K712" t="s">
        <v>5541</v>
      </c>
      <c r="L712" t="s">
        <v>5620</v>
      </c>
      <c r="M712" t="s">
        <v>5627</v>
      </c>
    </row>
    <row r="713" spans="10:13" x14ac:dyDescent="0.2">
      <c r="J713" t="s">
        <v>5466</v>
      </c>
      <c r="K713" t="s">
        <v>5541</v>
      </c>
      <c r="L713" t="s">
        <v>5634</v>
      </c>
      <c r="M713" t="s">
        <v>5634</v>
      </c>
    </row>
    <row r="714" spans="10:13" x14ac:dyDescent="0.2">
      <c r="J714" t="s">
        <v>5466</v>
      </c>
      <c r="K714" t="s">
        <v>5549</v>
      </c>
      <c r="L714" t="s">
        <v>5618</v>
      </c>
      <c r="M714" t="s">
        <v>5618</v>
      </c>
    </row>
    <row r="715" spans="10:13" x14ac:dyDescent="0.2">
      <c r="J715" t="s">
        <v>5466</v>
      </c>
      <c r="K715" t="s">
        <v>5541</v>
      </c>
      <c r="L715" t="s">
        <v>5634</v>
      </c>
      <c r="M715" t="s">
        <v>5634</v>
      </c>
    </row>
    <row r="716" spans="10:13" x14ac:dyDescent="0.2">
      <c r="J716" t="s">
        <v>5466</v>
      </c>
      <c r="K716" t="s">
        <v>5541</v>
      </c>
      <c r="L716" t="s">
        <v>5620</v>
      </c>
      <c r="M716" t="s">
        <v>5627</v>
      </c>
    </row>
    <row r="717" spans="10:13" x14ac:dyDescent="0.2">
      <c r="J717" t="s">
        <v>5466</v>
      </c>
      <c r="K717" t="s">
        <v>5541</v>
      </c>
      <c r="L717" t="s">
        <v>5634</v>
      </c>
      <c r="M717" t="s">
        <v>5634</v>
      </c>
    </row>
    <row r="718" spans="10:13" x14ac:dyDescent="0.2">
      <c r="J718" t="s">
        <v>5466</v>
      </c>
      <c r="K718" t="s">
        <v>5541</v>
      </c>
      <c r="L718" t="s">
        <v>5620</v>
      </c>
      <c r="M718" t="s">
        <v>5627</v>
      </c>
    </row>
    <row r="719" spans="10:13" x14ac:dyDescent="0.2">
      <c r="J719" t="s">
        <v>5466</v>
      </c>
      <c r="K719" t="s">
        <v>5549</v>
      </c>
      <c r="L719" t="s">
        <v>5620</v>
      </c>
      <c r="M719" t="s">
        <v>5622</v>
      </c>
    </row>
    <row r="720" spans="10:13" x14ac:dyDescent="0.2">
      <c r="J720" t="s">
        <v>5466</v>
      </c>
      <c r="K720" t="s">
        <v>5549</v>
      </c>
      <c r="L720" t="s">
        <v>5620</v>
      </c>
      <c r="M720" t="s">
        <v>5629</v>
      </c>
    </row>
    <row r="721" spans="10:13" x14ac:dyDescent="0.2">
      <c r="J721" t="s">
        <v>5466</v>
      </c>
      <c r="K721" t="s">
        <v>5549</v>
      </c>
      <c r="L721" t="s">
        <v>5618</v>
      </c>
      <c r="M721" t="s">
        <v>5623</v>
      </c>
    </row>
    <row r="722" spans="10:13" x14ac:dyDescent="0.2">
      <c r="J722" t="s">
        <v>5466</v>
      </c>
      <c r="K722" t="s">
        <v>5541</v>
      </c>
      <c r="L722" t="s">
        <v>5620</v>
      </c>
      <c r="M722" t="s">
        <v>5625</v>
      </c>
    </row>
    <row r="723" spans="10:13" x14ac:dyDescent="0.2">
      <c r="J723" t="s">
        <v>5466</v>
      </c>
      <c r="K723" t="s">
        <v>5541</v>
      </c>
      <c r="L723" t="s">
        <v>5620</v>
      </c>
      <c r="M723" t="s">
        <v>5625</v>
      </c>
    </row>
    <row r="724" spans="10:13" x14ac:dyDescent="0.2">
      <c r="J724" t="s">
        <v>5466</v>
      </c>
      <c r="K724" t="s">
        <v>5541</v>
      </c>
      <c r="L724" t="s">
        <v>5620</v>
      </c>
      <c r="M724" t="s">
        <v>5627</v>
      </c>
    </row>
    <row r="725" spans="10:13" x14ac:dyDescent="0.2">
      <c r="J725" t="s">
        <v>5466</v>
      </c>
      <c r="K725" t="s">
        <v>5549</v>
      </c>
      <c r="L725" t="s">
        <v>5618</v>
      </c>
      <c r="M725" t="s">
        <v>5623</v>
      </c>
    </row>
    <row r="726" spans="10:13" x14ac:dyDescent="0.2">
      <c r="J726" t="s">
        <v>5466</v>
      </c>
      <c r="K726" t="s">
        <v>5549</v>
      </c>
      <c r="L726" t="s">
        <v>5620</v>
      </c>
      <c r="M726" t="s">
        <v>5626</v>
      </c>
    </row>
    <row r="727" spans="10:13" x14ac:dyDescent="0.2">
      <c r="J727" t="s">
        <v>5466</v>
      </c>
      <c r="K727" t="s">
        <v>5541</v>
      </c>
      <c r="L727" t="s">
        <v>5620</v>
      </c>
      <c r="M727" t="s">
        <v>5625</v>
      </c>
    </row>
    <row r="728" spans="10:13" x14ac:dyDescent="0.2">
      <c r="J728" t="s">
        <v>5466</v>
      </c>
      <c r="K728" t="s">
        <v>5541</v>
      </c>
      <c r="L728" t="s">
        <v>5620</v>
      </c>
      <c r="M728" t="s">
        <v>5620</v>
      </c>
    </row>
    <row r="729" spans="10:13" x14ac:dyDescent="0.2">
      <c r="J729" t="s">
        <v>5466</v>
      </c>
      <c r="K729" t="s">
        <v>5549</v>
      </c>
      <c r="L729" t="s">
        <v>5620</v>
      </c>
      <c r="M729" t="s">
        <v>5628</v>
      </c>
    </row>
    <row r="730" spans="10:13" x14ac:dyDescent="0.2">
      <c r="J730" t="s">
        <v>5466</v>
      </c>
      <c r="K730" t="s">
        <v>5541</v>
      </c>
      <c r="L730" t="s">
        <v>5620</v>
      </c>
      <c r="M730" t="s">
        <v>5620</v>
      </c>
    </row>
    <row r="731" spans="10:13" x14ac:dyDescent="0.2">
      <c r="J731" t="s">
        <v>5466</v>
      </c>
      <c r="K731" t="s">
        <v>5541</v>
      </c>
      <c r="L731" t="s">
        <v>5620</v>
      </c>
      <c r="M731" t="s">
        <v>5620</v>
      </c>
    </row>
    <row r="732" spans="10:13" x14ac:dyDescent="0.2">
      <c r="J732" t="s">
        <v>5466</v>
      </c>
      <c r="K732" t="s">
        <v>5541</v>
      </c>
      <c r="L732" t="s">
        <v>5618</v>
      </c>
      <c r="M732" t="s">
        <v>5618</v>
      </c>
    </row>
    <row r="733" spans="10:13" x14ac:dyDescent="0.2">
      <c r="J733" t="s">
        <v>5466</v>
      </c>
      <c r="K733" t="s">
        <v>5541</v>
      </c>
      <c r="L733" t="s">
        <v>5620</v>
      </c>
      <c r="M733" t="s">
        <v>5620</v>
      </c>
    </row>
    <row r="734" spans="10:13" x14ac:dyDescent="0.2">
      <c r="J734" t="s">
        <v>5466</v>
      </c>
      <c r="K734" t="s">
        <v>5541</v>
      </c>
      <c r="L734" t="s">
        <v>5618</v>
      </c>
      <c r="M734" t="s">
        <v>5618</v>
      </c>
    </row>
    <row r="735" spans="10:13" x14ac:dyDescent="0.2">
      <c r="J735" t="s">
        <v>5466</v>
      </c>
      <c r="K735" t="s">
        <v>5549</v>
      </c>
      <c r="L735" t="s">
        <v>5618</v>
      </c>
      <c r="M735" t="s">
        <v>5618</v>
      </c>
    </row>
    <row r="736" spans="10:13" x14ac:dyDescent="0.2">
      <c r="J736" t="s">
        <v>5466</v>
      </c>
      <c r="K736" t="s">
        <v>5541</v>
      </c>
      <c r="L736" t="s">
        <v>5618</v>
      </c>
      <c r="M736" t="s">
        <v>5619</v>
      </c>
    </row>
    <row r="737" spans="10:13" x14ac:dyDescent="0.2">
      <c r="J737" t="s">
        <v>5466</v>
      </c>
      <c r="K737" t="s">
        <v>5549</v>
      </c>
      <c r="L737" t="s">
        <v>5618</v>
      </c>
      <c r="M737" t="s">
        <v>5619</v>
      </c>
    </row>
    <row r="738" spans="10:13" x14ac:dyDescent="0.2">
      <c r="J738" t="s">
        <v>5466</v>
      </c>
      <c r="K738" t="s">
        <v>5541</v>
      </c>
      <c r="L738" t="s">
        <v>5620</v>
      </c>
      <c r="M738" t="s">
        <v>5620</v>
      </c>
    </row>
    <row r="739" spans="10:13" x14ac:dyDescent="0.2">
      <c r="J739" t="s">
        <v>5466</v>
      </c>
      <c r="K739" t="s">
        <v>5549</v>
      </c>
      <c r="L739" t="s">
        <v>5618</v>
      </c>
      <c r="M739" t="s">
        <v>5618</v>
      </c>
    </row>
    <row r="740" spans="10:13" x14ac:dyDescent="0.2">
      <c r="J740" t="s">
        <v>5466</v>
      </c>
      <c r="K740" t="s">
        <v>5549</v>
      </c>
      <c r="L740" t="s">
        <v>5618</v>
      </c>
      <c r="M740" t="s">
        <v>5618</v>
      </c>
    </row>
    <row r="741" spans="10:13" x14ac:dyDescent="0.2">
      <c r="J741" t="s">
        <v>5466</v>
      </c>
      <c r="K741" t="s">
        <v>5541</v>
      </c>
      <c r="L741" t="s">
        <v>5618</v>
      </c>
      <c r="M741" t="s">
        <v>5618</v>
      </c>
    </row>
    <row r="742" spans="10:13" x14ac:dyDescent="0.2">
      <c r="J742" t="s">
        <v>5466</v>
      </c>
      <c r="K742" t="s">
        <v>5549</v>
      </c>
      <c r="L742" t="s">
        <v>5618</v>
      </c>
      <c r="M742" t="s">
        <v>5630</v>
      </c>
    </row>
    <row r="743" spans="10:13" x14ac:dyDescent="0.2">
      <c r="J743" t="s">
        <v>5466</v>
      </c>
      <c r="K743" t="s">
        <v>5541</v>
      </c>
      <c r="L743" t="s">
        <v>5620</v>
      </c>
      <c r="M743" t="s">
        <v>5620</v>
      </c>
    </row>
    <row r="744" spans="10:13" x14ac:dyDescent="0.2">
      <c r="J744" t="s">
        <v>5466</v>
      </c>
      <c r="K744" t="s">
        <v>5549</v>
      </c>
      <c r="L744" t="s">
        <v>5618</v>
      </c>
      <c r="M744" t="s">
        <v>5618</v>
      </c>
    </row>
    <row r="745" spans="10:13" x14ac:dyDescent="0.2">
      <c r="J745" t="s">
        <v>5466</v>
      </c>
      <c r="K745" t="s">
        <v>5549</v>
      </c>
      <c r="L745" t="s">
        <v>5618</v>
      </c>
      <c r="M745" t="s">
        <v>5624</v>
      </c>
    </row>
    <row r="746" spans="10:13" x14ac:dyDescent="0.2">
      <c r="J746" t="s">
        <v>5466</v>
      </c>
      <c r="K746" t="s">
        <v>5549</v>
      </c>
      <c r="L746" t="s">
        <v>5618</v>
      </c>
      <c r="M746" t="s">
        <v>5630</v>
      </c>
    </row>
    <row r="747" spans="10:13" x14ac:dyDescent="0.2">
      <c r="J747" t="s">
        <v>5466</v>
      </c>
      <c r="K747" t="s">
        <v>5541</v>
      </c>
      <c r="L747" t="s">
        <v>5620</v>
      </c>
      <c r="M747" t="s">
        <v>5650</v>
      </c>
    </row>
    <row r="748" spans="10:13" x14ac:dyDescent="0.2">
      <c r="J748" t="s">
        <v>5466</v>
      </c>
      <c r="K748" t="s">
        <v>5549</v>
      </c>
      <c r="L748" t="s">
        <v>5620</v>
      </c>
      <c r="M748" t="s">
        <v>5622</v>
      </c>
    </row>
    <row r="749" spans="10:13" x14ac:dyDescent="0.2">
      <c r="J749" t="s">
        <v>5466</v>
      </c>
      <c r="K749" t="s">
        <v>5549</v>
      </c>
      <c r="L749" t="s">
        <v>5620</v>
      </c>
      <c r="M749" t="s">
        <v>5629</v>
      </c>
    </row>
    <row r="750" spans="10:13" x14ac:dyDescent="0.2">
      <c r="J750" t="s">
        <v>5466</v>
      </c>
      <c r="K750" t="s">
        <v>5549</v>
      </c>
      <c r="L750" t="s">
        <v>5620</v>
      </c>
      <c r="M750" t="s">
        <v>5621</v>
      </c>
    </row>
    <row r="751" spans="10:13" x14ac:dyDescent="0.2">
      <c r="J751" t="s">
        <v>5466</v>
      </c>
      <c r="K751" t="s">
        <v>5541</v>
      </c>
      <c r="L751" t="s">
        <v>5620</v>
      </c>
      <c r="M751" t="s">
        <v>5625</v>
      </c>
    </row>
    <row r="752" spans="10:13" x14ac:dyDescent="0.2">
      <c r="J752" t="s">
        <v>5466</v>
      </c>
      <c r="K752" t="s">
        <v>5541</v>
      </c>
      <c r="L752" t="s">
        <v>5620</v>
      </c>
      <c r="M752" t="s">
        <v>5620</v>
      </c>
    </row>
    <row r="753" spans="10:13" x14ac:dyDescent="0.2">
      <c r="J753" t="s">
        <v>5466</v>
      </c>
      <c r="K753" t="s">
        <v>5541</v>
      </c>
      <c r="L753" t="s">
        <v>5618</v>
      </c>
      <c r="M753" t="s">
        <v>5618</v>
      </c>
    </row>
    <row r="754" spans="10:13" x14ac:dyDescent="0.2">
      <c r="J754" t="s">
        <v>5466</v>
      </c>
      <c r="K754" t="s">
        <v>5541</v>
      </c>
      <c r="L754" t="s">
        <v>5620</v>
      </c>
      <c r="M754" t="s">
        <v>5627</v>
      </c>
    </row>
    <row r="755" spans="10:13" x14ac:dyDescent="0.2">
      <c r="J755" t="s">
        <v>5466</v>
      </c>
      <c r="K755" t="s">
        <v>5549</v>
      </c>
      <c r="L755" t="s">
        <v>5618</v>
      </c>
      <c r="M755" t="s">
        <v>5623</v>
      </c>
    </row>
    <row r="756" spans="10:13" x14ac:dyDescent="0.2">
      <c r="J756" t="s">
        <v>5466</v>
      </c>
      <c r="K756" t="s">
        <v>5541</v>
      </c>
      <c r="L756" t="s">
        <v>5620</v>
      </c>
      <c r="M756" t="s">
        <v>5620</v>
      </c>
    </row>
    <row r="757" spans="10:13" x14ac:dyDescent="0.2">
      <c r="J757" t="s">
        <v>5466</v>
      </c>
      <c r="K757" t="s">
        <v>5549</v>
      </c>
      <c r="L757" t="s">
        <v>5620</v>
      </c>
      <c r="M757" t="s">
        <v>5622</v>
      </c>
    </row>
    <row r="758" spans="10:13" x14ac:dyDescent="0.2">
      <c r="J758" t="s">
        <v>5466</v>
      </c>
      <c r="K758" t="s">
        <v>5549</v>
      </c>
      <c r="L758" t="s">
        <v>5620</v>
      </c>
      <c r="M758" t="s">
        <v>5622</v>
      </c>
    </row>
    <row r="759" spans="10:13" x14ac:dyDescent="0.2">
      <c r="J759" t="s">
        <v>5466</v>
      </c>
      <c r="K759" t="s">
        <v>5549</v>
      </c>
      <c r="L759" t="s">
        <v>5620</v>
      </c>
      <c r="M759" t="s">
        <v>5622</v>
      </c>
    </row>
    <row r="760" spans="10:13" x14ac:dyDescent="0.2">
      <c r="J760" t="s">
        <v>5466</v>
      </c>
      <c r="K760" t="s">
        <v>5549</v>
      </c>
      <c r="L760" t="s">
        <v>5620</v>
      </c>
      <c r="M760" t="s">
        <v>5629</v>
      </c>
    </row>
    <row r="761" spans="10:13" x14ac:dyDescent="0.2">
      <c r="J761" t="s">
        <v>5466</v>
      </c>
      <c r="K761" t="s">
        <v>5541</v>
      </c>
      <c r="L761" t="s">
        <v>5620</v>
      </c>
      <c r="M761" t="s">
        <v>5627</v>
      </c>
    </row>
    <row r="762" spans="10:13" x14ac:dyDescent="0.2">
      <c r="J762" t="s">
        <v>5466</v>
      </c>
      <c r="K762" t="s">
        <v>5549</v>
      </c>
      <c r="L762" t="s">
        <v>5620</v>
      </c>
      <c r="M762" t="s">
        <v>5621</v>
      </c>
    </row>
    <row r="763" spans="10:13" x14ac:dyDescent="0.2">
      <c r="J763" t="s">
        <v>5466</v>
      </c>
      <c r="K763" t="s">
        <v>5541</v>
      </c>
      <c r="L763" t="s">
        <v>5620</v>
      </c>
      <c r="M763" t="s">
        <v>5620</v>
      </c>
    </row>
    <row r="764" spans="10:13" x14ac:dyDescent="0.2">
      <c r="J764" t="s">
        <v>5466</v>
      </c>
      <c r="K764" t="s">
        <v>5541</v>
      </c>
      <c r="L764" t="s">
        <v>5633</v>
      </c>
      <c r="M764" t="s">
        <v>5637</v>
      </c>
    </row>
    <row r="765" spans="10:13" x14ac:dyDescent="0.2">
      <c r="J765" t="s">
        <v>5466</v>
      </c>
      <c r="K765" t="s">
        <v>5541</v>
      </c>
      <c r="L765" t="s">
        <v>5620</v>
      </c>
      <c r="M765" t="s">
        <v>5650</v>
      </c>
    </row>
    <row r="766" spans="10:13" x14ac:dyDescent="0.2">
      <c r="J766" t="s">
        <v>5466</v>
      </c>
      <c r="K766" t="s">
        <v>5549</v>
      </c>
      <c r="L766" t="s">
        <v>5618</v>
      </c>
      <c r="M766" t="s">
        <v>5623</v>
      </c>
    </row>
    <row r="767" spans="10:13" x14ac:dyDescent="0.2">
      <c r="J767" t="s">
        <v>5466</v>
      </c>
      <c r="K767" t="s">
        <v>5549</v>
      </c>
      <c r="L767" t="s">
        <v>5618</v>
      </c>
      <c r="M767" t="s">
        <v>5624</v>
      </c>
    </row>
    <row r="768" spans="10:13" x14ac:dyDescent="0.2">
      <c r="J768" t="s">
        <v>5466</v>
      </c>
      <c r="K768" t="s">
        <v>5541</v>
      </c>
      <c r="L768" t="s">
        <v>5620</v>
      </c>
      <c r="M768" t="s">
        <v>5620</v>
      </c>
    </row>
    <row r="769" spans="10:13" x14ac:dyDescent="0.2">
      <c r="J769" t="s">
        <v>5466</v>
      </c>
      <c r="K769" t="s">
        <v>5541</v>
      </c>
      <c r="L769" t="s">
        <v>5618</v>
      </c>
      <c r="M769" t="s">
        <v>5618</v>
      </c>
    </row>
    <row r="770" spans="10:13" x14ac:dyDescent="0.2">
      <c r="J770" t="s">
        <v>5466</v>
      </c>
      <c r="K770" t="s">
        <v>5541</v>
      </c>
      <c r="L770" t="s">
        <v>5620</v>
      </c>
      <c r="M770" t="s">
        <v>5620</v>
      </c>
    </row>
    <row r="771" spans="10:13" x14ac:dyDescent="0.2">
      <c r="J771" t="s">
        <v>5466</v>
      </c>
      <c r="K771" t="s">
        <v>5549</v>
      </c>
      <c r="L771" t="s">
        <v>5618</v>
      </c>
      <c r="M771" t="s">
        <v>5618</v>
      </c>
    </row>
    <row r="772" spans="10:13" x14ac:dyDescent="0.2">
      <c r="J772" t="s">
        <v>5466</v>
      </c>
      <c r="K772" t="s">
        <v>5549</v>
      </c>
      <c r="L772" t="s">
        <v>5618</v>
      </c>
      <c r="M772" t="s">
        <v>5623</v>
      </c>
    </row>
    <row r="773" spans="10:13" x14ac:dyDescent="0.2">
      <c r="J773" t="s">
        <v>5466</v>
      </c>
      <c r="K773" t="s">
        <v>5541</v>
      </c>
      <c r="L773" t="s">
        <v>5620</v>
      </c>
      <c r="M773" t="s">
        <v>5621</v>
      </c>
    </row>
    <row r="774" spans="10:13" x14ac:dyDescent="0.2">
      <c r="J774" t="s">
        <v>5466</v>
      </c>
      <c r="K774" t="s">
        <v>5549</v>
      </c>
      <c r="L774" t="s">
        <v>5618</v>
      </c>
      <c r="M774" t="s">
        <v>5623</v>
      </c>
    </row>
    <row r="775" spans="10:13" x14ac:dyDescent="0.2">
      <c r="J775" t="s">
        <v>5466</v>
      </c>
      <c r="K775" t="s">
        <v>5549</v>
      </c>
      <c r="L775" t="s">
        <v>5618</v>
      </c>
      <c r="M775" t="s">
        <v>5618</v>
      </c>
    </row>
    <row r="776" spans="10:13" x14ac:dyDescent="0.2">
      <c r="J776" t="s">
        <v>5466</v>
      </c>
      <c r="K776" t="s">
        <v>5541</v>
      </c>
      <c r="L776" t="s">
        <v>5634</v>
      </c>
      <c r="M776" t="s">
        <v>5634</v>
      </c>
    </row>
    <row r="777" spans="10:13" x14ac:dyDescent="0.2">
      <c r="J777" t="s">
        <v>5466</v>
      </c>
      <c r="K777" t="s">
        <v>5541</v>
      </c>
      <c r="L777" t="s">
        <v>5633</v>
      </c>
      <c r="M777" t="s">
        <v>5633</v>
      </c>
    </row>
    <row r="778" spans="10:13" x14ac:dyDescent="0.2">
      <c r="J778" t="s">
        <v>5466</v>
      </c>
      <c r="K778" t="s">
        <v>5541</v>
      </c>
      <c r="L778" t="s">
        <v>5618</v>
      </c>
      <c r="M778" t="s">
        <v>5623</v>
      </c>
    </row>
    <row r="779" spans="10:13" x14ac:dyDescent="0.2">
      <c r="J779" t="s">
        <v>5466</v>
      </c>
      <c r="K779" t="s">
        <v>5541</v>
      </c>
      <c r="L779" t="s">
        <v>5618</v>
      </c>
      <c r="M779" t="s">
        <v>5624</v>
      </c>
    </row>
    <row r="780" spans="10:13" x14ac:dyDescent="0.2">
      <c r="J780" t="s">
        <v>5466</v>
      </c>
      <c r="K780" t="s">
        <v>5549</v>
      </c>
      <c r="L780" t="s">
        <v>5646</v>
      </c>
      <c r="M780" t="s">
        <v>5646</v>
      </c>
    </row>
    <row r="781" spans="10:13" x14ac:dyDescent="0.2">
      <c r="J781" t="s">
        <v>5466</v>
      </c>
      <c r="K781" t="s">
        <v>5541</v>
      </c>
      <c r="L781" t="s">
        <v>5618</v>
      </c>
      <c r="M781" t="s">
        <v>5618</v>
      </c>
    </row>
    <row r="782" spans="10:13" x14ac:dyDescent="0.2">
      <c r="J782" t="s">
        <v>5466</v>
      </c>
      <c r="K782" t="s">
        <v>5541</v>
      </c>
      <c r="L782" t="s">
        <v>5634</v>
      </c>
      <c r="M782" t="s">
        <v>5634</v>
      </c>
    </row>
    <row r="783" spans="10:13" x14ac:dyDescent="0.2">
      <c r="J783" t="s">
        <v>5466</v>
      </c>
      <c r="K783" t="s">
        <v>5549</v>
      </c>
      <c r="L783" t="s">
        <v>5618</v>
      </c>
      <c r="M783" t="s">
        <v>5623</v>
      </c>
    </row>
    <row r="784" spans="10:13" x14ac:dyDescent="0.2">
      <c r="J784" t="s">
        <v>5466</v>
      </c>
      <c r="K784" t="s">
        <v>5549</v>
      </c>
      <c r="L784" t="s">
        <v>5618</v>
      </c>
      <c r="M784" t="s">
        <v>5623</v>
      </c>
    </row>
    <row r="785" spans="10:13" x14ac:dyDescent="0.2">
      <c r="J785" t="s">
        <v>5466</v>
      </c>
      <c r="K785" t="s">
        <v>5541</v>
      </c>
      <c r="L785" t="s">
        <v>5620</v>
      </c>
      <c r="M785" t="s">
        <v>5621</v>
      </c>
    </row>
    <row r="786" spans="10:13" x14ac:dyDescent="0.2">
      <c r="J786" t="s">
        <v>5466</v>
      </c>
      <c r="K786" t="s">
        <v>5541</v>
      </c>
      <c r="L786" t="s">
        <v>5620</v>
      </c>
      <c r="M786" t="s">
        <v>5621</v>
      </c>
    </row>
    <row r="787" spans="10:13" x14ac:dyDescent="0.2">
      <c r="J787" t="s">
        <v>5466</v>
      </c>
      <c r="K787" t="s">
        <v>5541</v>
      </c>
      <c r="L787" t="s">
        <v>5620</v>
      </c>
      <c r="M787" t="s">
        <v>5620</v>
      </c>
    </row>
    <row r="788" spans="10:13" x14ac:dyDescent="0.2">
      <c r="J788" t="s">
        <v>5466</v>
      </c>
      <c r="K788" t="s">
        <v>5541</v>
      </c>
      <c r="L788" t="s">
        <v>5634</v>
      </c>
      <c r="M788" t="s">
        <v>5634</v>
      </c>
    </row>
    <row r="789" spans="10:13" x14ac:dyDescent="0.2">
      <c r="J789" t="s">
        <v>5466</v>
      </c>
      <c r="K789" t="s">
        <v>5549</v>
      </c>
      <c r="L789" t="s">
        <v>5620</v>
      </c>
      <c r="M789" t="s">
        <v>5622</v>
      </c>
    </row>
    <row r="790" spans="10:13" x14ac:dyDescent="0.2">
      <c r="J790" t="s">
        <v>5466</v>
      </c>
      <c r="K790" t="s">
        <v>5549</v>
      </c>
      <c r="L790" t="s">
        <v>5620</v>
      </c>
      <c r="M790" t="s">
        <v>5622</v>
      </c>
    </row>
    <row r="791" spans="10:13" x14ac:dyDescent="0.2">
      <c r="J791" t="s">
        <v>5466</v>
      </c>
      <c r="K791" t="s">
        <v>5549</v>
      </c>
      <c r="L791" t="s">
        <v>5620</v>
      </c>
      <c r="M791" t="s">
        <v>5626</v>
      </c>
    </row>
    <row r="792" spans="10:13" x14ac:dyDescent="0.2">
      <c r="J792" t="s">
        <v>5466</v>
      </c>
      <c r="K792" t="s">
        <v>5549</v>
      </c>
      <c r="L792" t="s">
        <v>5620</v>
      </c>
      <c r="M792" t="s">
        <v>5622</v>
      </c>
    </row>
    <row r="793" spans="10:13" x14ac:dyDescent="0.2">
      <c r="J793" t="s">
        <v>5466</v>
      </c>
      <c r="K793" t="s">
        <v>5549</v>
      </c>
      <c r="L793" t="s">
        <v>5618</v>
      </c>
      <c r="M793" t="s">
        <v>5624</v>
      </c>
    </row>
    <row r="794" spans="10:13" x14ac:dyDescent="0.2">
      <c r="J794" t="s">
        <v>5466</v>
      </c>
      <c r="K794" t="s">
        <v>5541</v>
      </c>
      <c r="L794" t="s">
        <v>5620</v>
      </c>
      <c r="M794" t="s">
        <v>5620</v>
      </c>
    </row>
    <row r="795" spans="10:13" x14ac:dyDescent="0.2">
      <c r="J795" t="s">
        <v>5466</v>
      </c>
      <c r="K795" t="s">
        <v>5549</v>
      </c>
      <c r="L795" t="s">
        <v>5618</v>
      </c>
      <c r="M795" t="s">
        <v>5630</v>
      </c>
    </row>
    <row r="796" spans="10:13" x14ac:dyDescent="0.2">
      <c r="J796" t="s">
        <v>5466</v>
      </c>
      <c r="K796" t="s">
        <v>5549</v>
      </c>
      <c r="L796" t="s">
        <v>5618</v>
      </c>
      <c r="M796" t="s">
        <v>5624</v>
      </c>
    </row>
    <row r="797" spans="10:13" x14ac:dyDescent="0.2">
      <c r="J797" t="s">
        <v>5466</v>
      </c>
      <c r="K797" t="s">
        <v>5541</v>
      </c>
      <c r="L797" t="s">
        <v>5620</v>
      </c>
      <c r="M797" t="s">
        <v>5621</v>
      </c>
    </row>
    <row r="798" spans="10:13" x14ac:dyDescent="0.2">
      <c r="J798" t="s">
        <v>5466</v>
      </c>
      <c r="K798" t="s">
        <v>5549</v>
      </c>
      <c r="L798" t="s">
        <v>5618</v>
      </c>
      <c r="M798" t="s">
        <v>5618</v>
      </c>
    </row>
    <row r="799" spans="10:13" x14ac:dyDescent="0.2">
      <c r="J799" t="s">
        <v>5466</v>
      </c>
      <c r="K799" t="s">
        <v>5549</v>
      </c>
      <c r="L799" t="s">
        <v>5618</v>
      </c>
      <c r="M799" t="s">
        <v>5630</v>
      </c>
    </row>
    <row r="800" spans="10:13" x14ac:dyDescent="0.2">
      <c r="J800" t="s">
        <v>5466</v>
      </c>
      <c r="K800" t="s">
        <v>5549</v>
      </c>
      <c r="L800" t="s">
        <v>5618</v>
      </c>
      <c r="M800" t="s">
        <v>5624</v>
      </c>
    </row>
    <row r="801" spans="10:13" x14ac:dyDescent="0.2">
      <c r="J801" t="s">
        <v>5466</v>
      </c>
      <c r="K801" t="s">
        <v>5541</v>
      </c>
      <c r="L801" t="s">
        <v>5620</v>
      </c>
      <c r="M801" t="s">
        <v>5627</v>
      </c>
    </row>
    <row r="802" spans="10:13" x14ac:dyDescent="0.2">
      <c r="J802" t="s">
        <v>5466</v>
      </c>
      <c r="K802" t="s">
        <v>5541</v>
      </c>
      <c r="L802" t="s">
        <v>5620</v>
      </c>
      <c r="M802" t="s">
        <v>5620</v>
      </c>
    </row>
    <row r="803" spans="10:13" x14ac:dyDescent="0.2">
      <c r="J803" t="s">
        <v>5466</v>
      </c>
      <c r="K803" t="s">
        <v>5541</v>
      </c>
      <c r="L803" t="s">
        <v>5620</v>
      </c>
      <c r="M803" t="s">
        <v>5621</v>
      </c>
    </row>
    <row r="804" spans="10:13" x14ac:dyDescent="0.2">
      <c r="J804" t="s">
        <v>5466</v>
      </c>
      <c r="K804" t="s">
        <v>5549</v>
      </c>
      <c r="L804" t="s">
        <v>5618</v>
      </c>
      <c r="M804" t="s">
        <v>5630</v>
      </c>
    </row>
    <row r="805" spans="10:13" x14ac:dyDescent="0.2">
      <c r="J805" t="s">
        <v>5466</v>
      </c>
      <c r="K805" t="s">
        <v>5549</v>
      </c>
      <c r="L805" t="s">
        <v>5620</v>
      </c>
      <c r="M805" t="s">
        <v>5621</v>
      </c>
    </row>
    <row r="806" spans="10:13" x14ac:dyDescent="0.2">
      <c r="J806" t="s">
        <v>5466</v>
      </c>
      <c r="K806" t="s">
        <v>5549</v>
      </c>
      <c r="L806" t="s">
        <v>5620</v>
      </c>
      <c r="M806" t="s">
        <v>5622</v>
      </c>
    </row>
    <row r="807" spans="10:13" x14ac:dyDescent="0.2">
      <c r="J807" t="s">
        <v>5466</v>
      </c>
      <c r="K807" t="s">
        <v>5549</v>
      </c>
      <c r="L807" t="s">
        <v>5620</v>
      </c>
      <c r="M807" t="s">
        <v>5651</v>
      </c>
    </row>
    <row r="808" spans="10:13" x14ac:dyDescent="0.2">
      <c r="J808" t="s">
        <v>5466</v>
      </c>
      <c r="K808" t="s">
        <v>5541</v>
      </c>
      <c r="L808" t="s">
        <v>5620</v>
      </c>
      <c r="M808" t="s">
        <v>5620</v>
      </c>
    </row>
    <row r="809" spans="10:13" x14ac:dyDescent="0.2">
      <c r="J809" t="s">
        <v>5466</v>
      </c>
      <c r="K809" t="s">
        <v>5541</v>
      </c>
      <c r="L809" t="s">
        <v>5618</v>
      </c>
      <c r="M809" t="s">
        <v>5618</v>
      </c>
    </row>
    <row r="810" spans="10:13" x14ac:dyDescent="0.2">
      <c r="J810" t="s">
        <v>5466</v>
      </c>
      <c r="K810" t="s">
        <v>5549</v>
      </c>
      <c r="L810" t="s">
        <v>5620</v>
      </c>
      <c r="M810" t="s">
        <v>5629</v>
      </c>
    </row>
    <row r="811" spans="10:13" x14ac:dyDescent="0.2">
      <c r="J811" t="s">
        <v>5466</v>
      </c>
      <c r="K811" t="s">
        <v>5541</v>
      </c>
      <c r="L811" t="s">
        <v>5620</v>
      </c>
      <c r="M811" t="s">
        <v>5625</v>
      </c>
    </row>
    <row r="812" spans="10:13" x14ac:dyDescent="0.2">
      <c r="J812" t="s">
        <v>5466</v>
      </c>
      <c r="K812" t="s">
        <v>5549</v>
      </c>
      <c r="L812" t="s">
        <v>5618</v>
      </c>
      <c r="M812" t="s">
        <v>5643</v>
      </c>
    </row>
    <row r="813" spans="10:13" x14ac:dyDescent="0.2">
      <c r="J813" t="s">
        <v>5466</v>
      </c>
      <c r="K813" t="s">
        <v>5541</v>
      </c>
      <c r="L813" t="s">
        <v>5618</v>
      </c>
      <c r="M813" t="s">
        <v>5623</v>
      </c>
    </row>
    <row r="814" spans="10:13" x14ac:dyDescent="0.2">
      <c r="J814" t="s">
        <v>5466</v>
      </c>
      <c r="K814" t="s">
        <v>5541</v>
      </c>
      <c r="L814" t="s">
        <v>5620</v>
      </c>
      <c r="M814" t="s">
        <v>5627</v>
      </c>
    </row>
    <row r="815" spans="10:13" x14ac:dyDescent="0.2">
      <c r="J815" t="s">
        <v>5466</v>
      </c>
      <c r="K815" t="s">
        <v>5541</v>
      </c>
      <c r="L815" t="s">
        <v>5618</v>
      </c>
      <c r="M815" t="s">
        <v>5623</v>
      </c>
    </row>
    <row r="816" spans="10:13" x14ac:dyDescent="0.2">
      <c r="J816" t="s">
        <v>5466</v>
      </c>
      <c r="K816" t="s">
        <v>5549</v>
      </c>
      <c r="L816" t="s">
        <v>5618</v>
      </c>
      <c r="M816" t="s">
        <v>5630</v>
      </c>
    </row>
    <row r="817" spans="10:13" x14ac:dyDescent="0.2">
      <c r="J817" t="s">
        <v>5466</v>
      </c>
      <c r="K817" t="s">
        <v>5549</v>
      </c>
      <c r="L817" t="s">
        <v>5618</v>
      </c>
      <c r="M817" t="s">
        <v>5619</v>
      </c>
    </row>
    <row r="818" spans="10:13" x14ac:dyDescent="0.2">
      <c r="J818" t="s">
        <v>5466</v>
      </c>
      <c r="K818" t="s">
        <v>5541</v>
      </c>
      <c r="L818" t="s">
        <v>5620</v>
      </c>
      <c r="M818" t="s">
        <v>5621</v>
      </c>
    </row>
    <row r="819" spans="10:13" x14ac:dyDescent="0.2">
      <c r="J819" t="s">
        <v>5466</v>
      </c>
      <c r="K819" t="s">
        <v>5541</v>
      </c>
      <c r="L819" t="s">
        <v>5618</v>
      </c>
      <c r="M819" t="s">
        <v>5618</v>
      </c>
    </row>
    <row r="820" spans="10:13" x14ac:dyDescent="0.2">
      <c r="J820" t="s">
        <v>5466</v>
      </c>
      <c r="K820" t="s">
        <v>5541</v>
      </c>
      <c r="L820" t="s">
        <v>5620</v>
      </c>
      <c r="M820" t="s">
        <v>5620</v>
      </c>
    </row>
    <row r="821" spans="10:13" x14ac:dyDescent="0.2">
      <c r="J821" t="s">
        <v>5466</v>
      </c>
      <c r="K821" t="s">
        <v>5549</v>
      </c>
      <c r="L821" t="s">
        <v>5618</v>
      </c>
      <c r="M821" t="s">
        <v>5624</v>
      </c>
    </row>
    <row r="822" spans="10:13" x14ac:dyDescent="0.2">
      <c r="J822" t="s">
        <v>5466</v>
      </c>
      <c r="K822" t="s">
        <v>5549</v>
      </c>
      <c r="L822" t="s">
        <v>5618</v>
      </c>
      <c r="M822" t="s">
        <v>5618</v>
      </c>
    </row>
    <row r="823" spans="10:13" x14ac:dyDescent="0.2">
      <c r="J823" t="s">
        <v>5466</v>
      </c>
      <c r="K823" t="s">
        <v>5549</v>
      </c>
      <c r="L823" t="s">
        <v>5618</v>
      </c>
      <c r="M823" t="s">
        <v>5619</v>
      </c>
    </row>
    <row r="824" spans="10:13" x14ac:dyDescent="0.2">
      <c r="J824" t="s">
        <v>5466</v>
      </c>
      <c r="K824" t="s">
        <v>5541</v>
      </c>
      <c r="L824" t="s">
        <v>5646</v>
      </c>
      <c r="M824" t="s">
        <v>5656</v>
      </c>
    </row>
    <row r="825" spans="10:13" x14ac:dyDescent="0.2">
      <c r="J825" t="s">
        <v>5466</v>
      </c>
      <c r="K825" t="s">
        <v>5549</v>
      </c>
      <c r="L825" t="s">
        <v>5618</v>
      </c>
      <c r="M825" t="s">
        <v>5623</v>
      </c>
    </row>
    <row r="826" spans="10:13" x14ac:dyDescent="0.2">
      <c r="J826" t="s">
        <v>5466</v>
      </c>
      <c r="K826" t="s">
        <v>5549</v>
      </c>
      <c r="L826" t="s">
        <v>5618</v>
      </c>
      <c r="M826" t="s">
        <v>5645</v>
      </c>
    </row>
    <row r="827" spans="10:13" x14ac:dyDescent="0.2">
      <c r="J827" t="s">
        <v>5466</v>
      </c>
      <c r="K827" t="s">
        <v>5541</v>
      </c>
      <c r="L827" t="s">
        <v>5618</v>
      </c>
      <c r="M827" t="s">
        <v>5623</v>
      </c>
    </row>
    <row r="828" spans="10:13" x14ac:dyDescent="0.2">
      <c r="J828" t="s">
        <v>5466</v>
      </c>
      <c r="K828" t="s">
        <v>5549</v>
      </c>
      <c r="L828" t="s">
        <v>5618</v>
      </c>
      <c r="M828" t="s">
        <v>5645</v>
      </c>
    </row>
    <row r="829" spans="10:13" x14ac:dyDescent="0.2">
      <c r="J829" t="s">
        <v>5466</v>
      </c>
      <c r="K829" t="s">
        <v>5541</v>
      </c>
      <c r="L829" t="s">
        <v>5620</v>
      </c>
      <c r="M829" t="s">
        <v>5621</v>
      </c>
    </row>
    <row r="830" spans="10:13" x14ac:dyDescent="0.2">
      <c r="J830" t="s">
        <v>5466</v>
      </c>
      <c r="K830" t="s">
        <v>5541</v>
      </c>
      <c r="L830" t="s">
        <v>5618</v>
      </c>
      <c r="M830" t="s">
        <v>5623</v>
      </c>
    </row>
    <row r="831" spans="10:13" x14ac:dyDescent="0.2">
      <c r="J831" t="s">
        <v>5466</v>
      </c>
      <c r="K831" t="s">
        <v>5549</v>
      </c>
      <c r="L831" t="s">
        <v>5618</v>
      </c>
      <c r="M831" t="s">
        <v>5618</v>
      </c>
    </row>
    <row r="832" spans="10:13" x14ac:dyDescent="0.2">
      <c r="J832" t="s">
        <v>5466</v>
      </c>
      <c r="K832" t="s">
        <v>5541</v>
      </c>
      <c r="L832" t="s">
        <v>5657</v>
      </c>
      <c r="M832" t="s">
        <v>5657</v>
      </c>
    </row>
    <row r="833" spans="10:13" x14ac:dyDescent="0.2">
      <c r="J833" t="s">
        <v>5466</v>
      </c>
      <c r="K833" t="s">
        <v>5549</v>
      </c>
      <c r="L833" t="s">
        <v>5618</v>
      </c>
      <c r="M833" t="s">
        <v>5648</v>
      </c>
    </row>
    <row r="834" spans="10:13" x14ac:dyDescent="0.2">
      <c r="J834" t="s">
        <v>5466</v>
      </c>
      <c r="K834" t="s">
        <v>5549</v>
      </c>
      <c r="L834" t="s">
        <v>5618</v>
      </c>
      <c r="M834" t="s">
        <v>5658</v>
      </c>
    </row>
    <row r="835" spans="10:13" x14ac:dyDescent="0.2">
      <c r="J835" t="s">
        <v>5466</v>
      </c>
      <c r="K835" t="s">
        <v>5541</v>
      </c>
      <c r="L835" t="s">
        <v>5620</v>
      </c>
      <c r="M835" t="s">
        <v>5627</v>
      </c>
    </row>
    <row r="836" spans="10:13" x14ac:dyDescent="0.2">
      <c r="J836" t="s">
        <v>5466</v>
      </c>
      <c r="K836" t="s">
        <v>5549</v>
      </c>
      <c r="L836" t="s">
        <v>5620</v>
      </c>
      <c r="M836" t="s">
        <v>5621</v>
      </c>
    </row>
    <row r="837" spans="10:13" x14ac:dyDescent="0.2">
      <c r="J837" t="s">
        <v>5466</v>
      </c>
      <c r="K837" t="s">
        <v>5549</v>
      </c>
      <c r="L837" t="s">
        <v>5618</v>
      </c>
      <c r="M837" t="s">
        <v>5619</v>
      </c>
    </row>
    <row r="838" spans="10:13" x14ac:dyDescent="0.2">
      <c r="J838" t="s">
        <v>5466</v>
      </c>
      <c r="K838" t="s">
        <v>5549</v>
      </c>
      <c r="L838" t="s">
        <v>5618</v>
      </c>
      <c r="M838" t="s">
        <v>5624</v>
      </c>
    </row>
    <row r="839" spans="10:13" x14ac:dyDescent="0.2">
      <c r="J839" t="s">
        <v>5466</v>
      </c>
      <c r="K839" t="s">
        <v>5541</v>
      </c>
      <c r="L839" t="s">
        <v>5633</v>
      </c>
      <c r="M839" t="s">
        <v>5633</v>
      </c>
    </row>
    <row r="840" spans="10:13" x14ac:dyDescent="0.2">
      <c r="J840" t="s">
        <v>5466</v>
      </c>
      <c r="K840" t="s">
        <v>5549</v>
      </c>
      <c r="L840" t="s">
        <v>5620</v>
      </c>
      <c r="M840" t="s">
        <v>5625</v>
      </c>
    </row>
    <row r="841" spans="10:13" x14ac:dyDescent="0.2">
      <c r="J841" t="s">
        <v>5466</v>
      </c>
      <c r="K841" t="s">
        <v>5549</v>
      </c>
      <c r="L841" t="s">
        <v>5620</v>
      </c>
      <c r="M841" t="s">
        <v>5629</v>
      </c>
    </row>
    <row r="842" spans="10:13" x14ac:dyDescent="0.2">
      <c r="J842" t="s">
        <v>5466</v>
      </c>
      <c r="K842" t="s">
        <v>5541</v>
      </c>
      <c r="L842" t="s">
        <v>5620</v>
      </c>
      <c r="M842" t="s">
        <v>5625</v>
      </c>
    </row>
    <row r="843" spans="10:13" x14ac:dyDescent="0.2">
      <c r="J843" t="s">
        <v>5466</v>
      </c>
      <c r="K843" t="s">
        <v>5541</v>
      </c>
      <c r="L843" t="s">
        <v>5620</v>
      </c>
      <c r="M843" t="s">
        <v>5625</v>
      </c>
    </row>
    <row r="844" spans="10:13" x14ac:dyDescent="0.2">
      <c r="J844" t="s">
        <v>5466</v>
      </c>
      <c r="K844" t="s">
        <v>5541</v>
      </c>
      <c r="L844" t="s">
        <v>5618</v>
      </c>
      <c r="M844" t="s">
        <v>5644</v>
      </c>
    </row>
    <row r="845" spans="10:13" x14ac:dyDescent="0.2">
      <c r="J845" t="s">
        <v>5466</v>
      </c>
      <c r="K845" t="s">
        <v>5541</v>
      </c>
      <c r="L845" t="s">
        <v>5620</v>
      </c>
      <c r="M845" t="s">
        <v>5620</v>
      </c>
    </row>
    <row r="846" spans="10:13" x14ac:dyDescent="0.2">
      <c r="J846" t="s">
        <v>5466</v>
      </c>
      <c r="K846" t="s">
        <v>5541</v>
      </c>
      <c r="L846" t="s">
        <v>5620</v>
      </c>
      <c r="M846" t="s">
        <v>5625</v>
      </c>
    </row>
    <row r="847" spans="10:13" x14ac:dyDescent="0.2">
      <c r="J847" t="s">
        <v>5466</v>
      </c>
      <c r="K847" t="s">
        <v>5541</v>
      </c>
      <c r="L847" t="s">
        <v>5620</v>
      </c>
      <c r="M847" t="s">
        <v>5625</v>
      </c>
    </row>
    <row r="848" spans="10:13" x14ac:dyDescent="0.2">
      <c r="J848" t="s">
        <v>5466</v>
      </c>
      <c r="K848" t="s">
        <v>5541</v>
      </c>
      <c r="L848" t="s">
        <v>5620</v>
      </c>
      <c r="M848" t="s">
        <v>5620</v>
      </c>
    </row>
    <row r="849" spans="10:13" x14ac:dyDescent="0.2">
      <c r="J849" t="s">
        <v>5466</v>
      </c>
      <c r="K849" t="s">
        <v>5541</v>
      </c>
      <c r="L849" t="s">
        <v>5618</v>
      </c>
      <c r="M849" t="s">
        <v>5618</v>
      </c>
    </row>
    <row r="850" spans="10:13" x14ac:dyDescent="0.2">
      <c r="J850" t="s">
        <v>5466</v>
      </c>
      <c r="K850" t="s">
        <v>5541</v>
      </c>
      <c r="L850" t="s">
        <v>5620</v>
      </c>
      <c r="M850" t="s">
        <v>5625</v>
      </c>
    </row>
    <row r="851" spans="10:13" x14ac:dyDescent="0.2">
      <c r="J851" t="s">
        <v>5466</v>
      </c>
      <c r="K851" t="s">
        <v>5549</v>
      </c>
      <c r="L851" t="s">
        <v>5618</v>
      </c>
      <c r="M851" t="s">
        <v>5648</v>
      </c>
    </row>
    <row r="852" spans="10:13" x14ac:dyDescent="0.2">
      <c r="J852" t="s">
        <v>5466</v>
      </c>
      <c r="K852" t="s">
        <v>5541</v>
      </c>
      <c r="L852" t="s">
        <v>5618</v>
      </c>
      <c r="M852" t="s">
        <v>5623</v>
      </c>
    </row>
    <row r="853" spans="10:13" x14ac:dyDescent="0.2">
      <c r="J853" t="s">
        <v>5466</v>
      </c>
      <c r="K853" t="s">
        <v>5549</v>
      </c>
      <c r="L853" t="s">
        <v>5620</v>
      </c>
      <c r="M853" t="s">
        <v>5628</v>
      </c>
    </row>
    <row r="854" spans="10:13" x14ac:dyDescent="0.2">
      <c r="J854" t="s">
        <v>5466</v>
      </c>
      <c r="K854" t="s">
        <v>5541</v>
      </c>
      <c r="L854" t="s">
        <v>5620</v>
      </c>
      <c r="M854" t="s">
        <v>5620</v>
      </c>
    </row>
    <row r="855" spans="10:13" x14ac:dyDescent="0.2">
      <c r="J855" t="s">
        <v>5466</v>
      </c>
      <c r="K855" t="s">
        <v>5549</v>
      </c>
      <c r="L855" t="s">
        <v>5618</v>
      </c>
      <c r="M855" t="s">
        <v>5624</v>
      </c>
    </row>
    <row r="856" spans="10:13" x14ac:dyDescent="0.2">
      <c r="J856" t="s">
        <v>5466</v>
      </c>
      <c r="K856" t="s">
        <v>5541</v>
      </c>
      <c r="L856" t="s">
        <v>5633</v>
      </c>
      <c r="M856" t="s">
        <v>5642</v>
      </c>
    </row>
    <row r="857" spans="10:13" x14ac:dyDescent="0.2">
      <c r="J857" t="s">
        <v>5466</v>
      </c>
      <c r="K857" t="s">
        <v>5541</v>
      </c>
      <c r="L857" t="s">
        <v>5620</v>
      </c>
      <c r="M857" t="s">
        <v>5625</v>
      </c>
    </row>
    <row r="858" spans="10:13" x14ac:dyDescent="0.2">
      <c r="J858" t="s">
        <v>5466</v>
      </c>
      <c r="K858" t="s">
        <v>5541</v>
      </c>
      <c r="L858" t="s">
        <v>5618</v>
      </c>
      <c r="M858" t="s">
        <v>5618</v>
      </c>
    </row>
    <row r="859" spans="10:13" x14ac:dyDescent="0.2">
      <c r="J859" t="s">
        <v>5466</v>
      </c>
      <c r="K859" t="s">
        <v>5549</v>
      </c>
      <c r="L859" t="s">
        <v>5618</v>
      </c>
      <c r="M859" t="s">
        <v>5624</v>
      </c>
    </row>
    <row r="860" spans="10:13" x14ac:dyDescent="0.2">
      <c r="J860" t="s">
        <v>5466</v>
      </c>
      <c r="K860" t="s">
        <v>5541</v>
      </c>
      <c r="L860" t="s">
        <v>5620</v>
      </c>
      <c r="M860" t="s">
        <v>5627</v>
      </c>
    </row>
    <row r="861" spans="10:13" x14ac:dyDescent="0.2">
      <c r="J861" t="s">
        <v>5466</v>
      </c>
      <c r="K861" t="s">
        <v>5541</v>
      </c>
      <c r="L861" t="s">
        <v>5620</v>
      </c>
      <c r="M861" t="s">
        <v>5625</v>
      </c>
    </row>
    <row r="862" spans="10:13" x14ac:dyDescent="0.2">
      <c r="J862" t="s">
        <v>5466</v>
      </c>
      <c r="K862" t="s">
        <v>5549</v>
      </c>
      <c r="L862" t="s">
        <v>5618</v>
      </c>
      <c r="M862" t="s">
        <v>5643</v>
      </c>
    </row>
    <row r="863" spans="10:13" x14ac:dyDescent="0.2">
      <c r="J863" t="s">
        <v>5466</v>
      </c>
      <c r="K863" t="s">
        <v>5549</v>
      </c>
      <c r="L863" t="s">
        <v>5618</v>
      </c>
      <c r="M863" t="s">
        <v>5618</v>
      </c>
    </row>
    <row r="864" spans="10:13" x14ac:dyDescent="0.2">
      <c r="J864" t="s">
        <v>5466</v>
      </c>
      <c r="K864" t="s">
        <v>5549</v>
      </c>
      <c r="L864" t="s">
        <v>5618</v>
      </c>
      <c r="M864" t="s">
        <v>5618</v>
      </c>
    </row>
    <row r="865" spans="10:13" x14ac:dyDescent="0.2">
      <c r="J865" t="s">
        <v>5466</v>
      </c>
      <c r="K865" t="s">
        <v>5541</v>
      </c>
      <c r="L865" t="s">
        <v>5618</v>
      </c>
      <c r="M865" t="s">
        <v>5619</v>
      </c>
    </row>
    <row r="866" spans="10:13" x14ac:dyDescent="0.2">
      <c r="J866" t="s">
        <v>5466</v>
      </c>
      <c r="K866" t="s">
        <v>5541</v>
      </c>
      <c r="L866" t="s">
        <v>5620</v>
      </c>
      <c r="M866" t="s">
        <v>5625</v>
      </c>
    </row>
    <row r="867" spans="10:13" x14ac:dyDescent="0.2">
      <c r="J867" t="s">
        <v>5466</v>
      </c>
      <c r="K867" t="s">
        <v>5541</v>
      </c>
      <c r="L867" t="s">
        <v>5620</v>
      </c>
      <c r="M867" t="s">
        <v>5625</v>
      </c>
    </row>
    <row r="868" spans="10:13" x14ac:dyDescent="0.2">
      <c r="J868" t="s">
        <v>5466</v>
      </c>
      <c r="K868" t="s">
        <v>5541</v>
      </c>
      <c r="L868" t="s">
        <v>5620</v>
      </c>
      <c r="M868" t="s">
        <v>5620</v>
      </c>
    </row>
    <row r="869" spans="10:13" x14ac:dyDescent="0.2">
      <c r="J869" t="s">
        <v>5466</v>
      </c>
      <c r="K869" t="s">
        <v>5541</v>
      </c>
      <c r="L869" t="s">
        <v>5620</v>
      </c>
      <c r="M869" t="s">
        <v>5650</v>
      </c>
    </row>
    <row r="870" spans="10:13" x14ac:dyDescent="0.2">
      <c r="J870" t="s">
        <v>5466</v>
      </c>
      <c r="K870" t="s">
        <v>5541</v>
      </c>
      <c r="L870" t="s">
        <v>5620</v>
      </c>
      <c r="M870" t="s">
        <v>5650</v>
      </c>
    </row>
    <row r="871" spans="10:13" x14ac:dyDescent="0.2">
      <c r="J871" t="s">
        <v>5466</v>
      </c>
      <c r="K871" t="s">
        <v>5549</v>
      </c>
      <c r="L871" t="s">
        <v>5618</v>
      </c>
      <c r="M871" t="s">
        <v>5619</v>
      </c>
    </row>
    <row r="872" spans="10:13" x14ac:dyDescent="0.2">
      <c r="J872" t="s">
        <v>5466</v>
      </c>
      <c r="K872" t="s">
        <v>5549</v>
      </c>
      <c r="L872" t="s">
        <v>5620</v>
      </c>
      <c r="M872" t="s">
        <v>5628</v>
      </c>
    </row>
    <row r="873" spans="10:13" x14ac:dyDescent="0.2">
      <c r="J873" t="s">
        <v>5466</v>
      </c>
      <c r="K873" t="s">
        <v>5541</v>
      </c>
      <c r="L873" t="s">
        <v>5618</v>
      </c>
      <c r="M873" t="s">
        <v>5643</v>
      </c>
    </row>
    <row r="874" spans="10:13" x14ac:dyDescent="0.2">
      <c r="J874" t="s">
        <v>5466</v>
      </c>
      <c r="K874" t="s">
        <v>5541</v>
      </c>
      <c r="L874" t="s">
        <v>5620</v>
      </c>
      <c r="M874" t="s">
        <v>5620</v>
      </c>
    </row>
    <row r="875" spans="10:13" x14ac:dyDescent="0.2">
      <c r="J875" t="s">
        <v>5466</v>
      </c>
      <c r="K875" t="s">
        <v>5549</v>
      </c>
      <c r="L875" t="s">
        <v>5620</v>
      </c>
      <c r="M875" t="s">
        <v>5622</v>
      </c>
    </row>
    <row r="876" spans="10:13" x14ac:dyDescent="0.2">
      <c r="J876" t="s">
        <v>5466</v>
      </c>
      <c r="K876" t="s">
        <v>5541</v>
      </c>
      <c r="L876" t="s">
        <v>5620</v>
      </c>
      <c r="M876" t="s">
        <v>5621</v>
      </c>
    </row>
    <row r="877" spans="10:13" x14ac:dyDescent="0.2">
      <c r="J877" t="s">
        <v>5466</v>
      </c>
      <c r="K877" t="s">
        <v>5549</v>
      </c>
      <c r="L877" t="s">
        <v>5618</v>
      </c>
      <c r="M877" t="s">
        <v>5623</v>
      </c>
    </row>
    <row r="878" spans="10:13" x14ac:dyDescent="0.2">
      <c r="J878" t="s">
        <v>5466</v>
      </c>
      <c r="K878" t="s">
        <v>5549</v>
      </c>
      <c r="L878" t="s">
        <v>5618</v>
      </c>
      <c r="M878" t="s">
        <v>5619</v>
      </c>
    </row>
    <row r="879" spans="10:13" x14ac:dyDescent="0.2">
      <c r="J879" t="s">
        <v>5466</v>
      </c>
      <c r="K879" t="s">
        <v>5549</v>
      </c>
      <c r="L879" t="s">
        <v>5618</v>
      </c>
      <c r="M879" t="s">
        <v>5623</v>
      </c>
    </row>
    <row r="880" spans="10:13" x14ac:dyDescent="0.2">
      <c r="J880" t="s">
        <v>5466</v>
      </c>
      <c r="K880" t="s">
        <v>5541</v>
      </c>
      <c r="L880" t="s">
        <v>5620</v>
      </c>
      <c r="M880" t="s">
        <v>5622</v>
      </c>
    </row>
    <row r="881" spans="10:13" x14ac:dyDescent="0.2">
      <c r="J881" t="s">
        <v>5466</v>
      </c>
      <c r="K881" t="s">
        <v>5541</v>
      </c>
      <c r="L881" t="s">
        <v>5620</v>
      </c>
      <c r="M881" t="s">
        <v>5627</v>
      </c>
    </row>
    <row r="882" spans="10:13" x14ac:dyDescent="0.2">
      <c r="J882" t="s">
        <v>5466</v>
      </c>
      <c r="K882" t="s">
        <v>5541</v>
      </c>
      <c r="L882" t="s">
        <v>5620</v>
      </c>
      <c r="M882" t="s">
        <v>5627</v>
      </c>
    </row>
    <row r="883" spans="10:13" x14ac:dyDescent="0.2">
      <c r="J883" t="s">
        <v>5466</v>
      </c>
      <c r="K883" t="s">
        <v>5541</v>
      </c>
      <c r="L883" t="s">
        <v>5620</v>
      </c>
      <c r="M883" t="s">
        <v>5621</v>
      </c>
    </row>
    <row r="884" spans="10:13" x14ac:dyDescent="0.2">
      <c r="J884" t="s">
        <v>5466</v>
      </c>
      <c r="K884" t="s">
        <v>5549</v>
      </c>
      <c r="L884" t="s">
        <v>5618</v>
      </c>
      <c r="M884" t="s">
        <v>5618</v>
      </c>
    </row>
    <row r="885" spans="10:13" x14ac:dyDescent="0.2">
      <c r="J885" t="s">
        <v>5466</v>
      </c>
      <c r="K885" t="s">
        <v>5549</v>
      </c>
      <c r="L885" t="s">
        <v>5618</v>
      </c>
      <c r="M885" t="s">
        <v>5624</v>
      </c>
    </row>
    <row r="886" spans="10:13" x14ac:dyDescent="0.2">
      <c r="J886" t="s">
        <v>5466</v>
      </c>
      <c r="K886" t="s">
        <v>5541</v>
      </c>
      <c r="L886" t="s">
        <v>5620</v>
      </c>
      <c r="M886" t="s">
        <v>5620</v>
      </c>
    </row>
    <row r="887" spans="10:13" x14ac:dyDescent="0.2">
      <c r="J887" t="s">
        <v>5466</v>
      </c>
      <c r="K887" t="s">
        <v>5549</v>
      </c>
      <c r="L887" t="s">
        <v>5618</v>
      </c>
      <c r="M887" t="s">
        <v>5623</v>
      </c>
    </row>
    <row r="888" spans="10:13" x14ac:dyDescent="0.2">
      <c r="J888" t="s">
        <v>5466</v>
      </c>
      <c r="K888" t="s">
        <v>5541</v>
      </c>
      <c r="L888" t="s">
        <v>5620</v>
      </c>
      <c r="M888" t="s">
        <v>5621</v>
      </c>
    </row>
    <row r="889" spans="10:13" x14ac:dyDescent="0.2">
      <c r="J889" t="s">
        <v>5466</v>
      </c>
      <c r="K889" t="s">
        <v>5549</v>
      </c>
      <c r="L889" t="s">
        <v>5618</v>
      </c>
      <c r="M889" t="s">
        <v>5619</v>
      </c>
    </row>
    <row r="890" spans="10:13" x14ac:dyDescent="0.2">
      <c r="J890" t="s">
        <v>5466</v>
      </c>
      <c r="K890" t="s">
        <v>5549</v>
      </c>
      <c r="L890" t="s">
        <v>5620</v>
      </c>
      <c r="M890" t="s">
        <v>5622</v>
      </c>
    </row>
    <row r="891" spans="10:13" x14ac:dyDescent="0.2">
      <c r="J891" t="s">
        <v>5466</v>
      </c>
      <c r="K891" t="s">
        <v>5549</v>
      </c>
      <c r="L891" t="s">
        <v>5618</v>
      </c>
      <c r="M891" t="s">
        <v>5618</v>
      </c>
    </row>
    <row r="892" spans="10:13" x14ac:dyDescent="0.2">
      <c r="J892" t="s">
        <v>5466</v>
      </c>
      <c r="K892" t="s">
        <v>5549</v>
      </c>
      <c r="L892" t="s">
        <v>5618</v>
      </c>
      <c r="M892" t="s">
        <v>5618</v>
      </c>
    </row>
    <row r="893" spans="10:13" x14ac:dyDescent="0.2">
      <c r="J893" t="s">
        <v>5466</v>
      </c>
      <c r="K893" t="s">
        <v>5541</v>
      </c>
      <c r="L893" t="s">
        <v>5620</v>
      </c>
      <c r="M893" t="s">
        <v>5651</v>
      </c>
    </row>
    <row r="894" spans="10:13" x14ac:dyDescent="0.2">
      <c r="J894" t="s">
        <v>5466</v>
      </c>
      <c r="K894" t="s">
        <v>5549</v>
      </c>
      <c r="L894" t="s">
        <v>5618</v>
      </c>
      <c r="M894" t="s">
        <v>5618</v>
      </c>
    </row>
    <row r="895" spans="10:13" x14ac:dyDescent="0.2">
      <c r="J895" t="s">
        <v>5466</v>
      </c>
      <c r="K895" t="s">
        <v>5541</v>
      </c>
      <c r="L895" t="s">
        <v>5620</v>
      </c>
      <c r="M895" t="s">
        <v>5627</v>
      </c>
    </row>
    <row r="896" spans="10:13" x14ac:dyDescent="0.2">
      <c r="J896" t="s">
        <v>5466</v>
      </c>
      <c r="K896" t="s">
        <v>5549</v>
      </c>
      <c r="L896" t="s">
        <v>5618</v>
      </c>
      <c r="M896" t="s">
        <v>5623</v>
      </c>
    </row>
    <row r="897" spans="10:13" x14ac:dyDescent="0.2">
      <c r="J897" t="s">
        <v>5466</v>
      </c>
      <c r="K897" t="s">
        <v>5549</v>
      </c>
      <c r="L897" t="s">
        <v>5618</v>
      </c>
      <c r="M897" t="s">
        <v>5623</v>
      </c>
    </row>
    <row r="898" spans="10:13" x14ac:dyDescent="0.2">
      <c r="J898" t="s">
        <v>5466</v>
      </c>
      <c r="K898" t="s">
        <v>5549</v>
      </c>
      <c r="L898" t="s">
        <v>5618</v>
      </c>
      <c r="M898" t="s">
        <v>5618</v>
      </c>
    </row>
    <row r="899" spans="10:13" x14ac:dyDescent="0.2">
      <c r="J899" t="s">
        <v>5466</v>
      </c>
      <c r="K899" t="s">
        <v>5549</v>
      </c>
      <c r="L899" t="s">
        <v>5618</v>
      </c>
      <c r="M899" t="s">
        <v>5618</v>
      </c>
    </row>
    <row r="900" spans="10:13" x14ac:dyDescent="0.2">
      <c r="J900" t="s">
        <v>5466</v>
      </c>
      <c r="K900" t="s">
        <v>5541</v>
      </c>
      <c r="L900" t="s">
        <v>5620</v>
      </c>
      <c r="M900" t="s">
        <v>5625</v>
      </c>
    </row>
    <row r="901" spans="10:13" x14ac:dyDescent="0.2">
      <c r="J901" t="s">
        <v>5466</v>
      </c>
      <c r="K901" t="s">
        <v>5541</v>
      </c>
      <c r="L901" t="s">
        <v>5620</v>
      </c>
      <c r="M901" t="s">
        <v>5625</v>
      </c>
    </row>
    <row r="902" spans="10:13" x14ac:dyDescent="0.2">
      <c r="J902" t="s">
        <v>5466</v>
      </c>
      <c r="K902" t="s">
        <v>5541</v>
      </c>
      <c r="L902" t="s">
        <v>5620</v>
      </c>
      <c r="M902" t="s">
        <v>5625</v>
      </c>
    </row>
    <row r="903" spans="10:13" x14ac:dyDescent="0.2">
      <c r="J903" t="s">
        <v>5466</v>
      </c>
      <c r="K903" t="s">
        <v>5549</v>
      </c>
      <c r="L903" t="s">
        <v>5618</v>
      </c>
      <c r="M903" t="s">
        <v>5623</v>
      </c>
    </row>
    <row r="904" spans="10:13" x14ac:dyDescent="0.2">
      <c r="J904" t="s">
        <v>5466</v>
      </c>
      <c r="K904" t="s">
        <v>5541</v>
      </c>
      <c r="L904" t="s">
        <v>5646</v>
      </c>
      <c r="M904" t="s">
        <v>5646</v>
      </c>
    </row>
    <row r="905" spans="10:13" x14ac:dyDescent="0.2">
      <c r="J905" t="s">
        <v>5466</v>
      </c>
      <c r="K905" t="s">
        <v>5541</v>
      </c>
      <c r="L905" t="s">
        <v>5620</v>
      </c>
      <c r="M905" t="s">
        <v>5620</v>
      </c>
    </row>
    <row r="906" spans="10:13" x14ac:dyDescent="0.2">
      <c r="J906" t="s">
        <v>5466</v>
      </c>
      <c r="K906" t="s">
        <v>5541</v>
      </c>
      <c r="L906" t="s">
        <v>5620</v>
      </c>
      <c r="M906" t="s">
        <v>5621</v>
      </c>
    </row>
    <row r="907" spans="10:13" x14ac:dyDescent="0.2">
      <c r="J907" t="s">
        <v>5466</v>
      </c>
      <c r="K907" t="s">
        <v>5549</v>
      </c>
      <c r="L907" t="s">
        <v>5618</v>
      </c>
      <c r="M907" t="s">
        <v>5618</v>
      </c>
    </row>
    <row r="908" spans="10:13" x14ac:dyDescent="0.2">
      <c r="J908" t="s">
        <v>5466</v>
      </c>
      <c r="K908" t="s">
        <v>5541</v>
      </c>
      <c r="L908" t="s">
        <v>5620</v>
      </c>
      <c r="M908" t="s">
        <v>5627</v>
      </c>
    </row>
    <row r="909" spans="10:13" x14ac:dyDescent="0.2">
      <c r="J909" t="s">
        <v>5466</v>
      </c>
      <c r="K909" t="s">
        <v>5541</v>
      </c>
      <c r="L909" t="s">
        <v>5634</v>
      </c>
      <c r="M909" t="s">
        <v>5634</v>
      </c>
    </row>
    <row r="910" spans="10:13" x14ac:dyDescent="0.2">
      <c r="J910" t="s">
        <v>5466</v>
      </c>
      <c r="K910" t="s">
        <v>5541</v>
      </c>
      <c r="L910" t="s">
        <v>5618</v>
      </c>
      <c r="M910" t="s">
        <v>5645</v>
      </c>
    </row>
    <row r="911" spans="10:13" x14ac:dyDescent="0.2">
      <c r="J911" t="s">
        <v>5466</v>
      </c>
      <c r="K911" t="s">
        <v>5541</v>
      </c>
      <c r="L911" t="s">
        <v>5620</v>
      </c>
      <c r="M911" t="s">
        <v>5621</v>
      </c>
    </row>
    <row r="912" spans="10:13" x14ac:dyDescent="0.2">
      <c r="J912" t="s">
        <v>5466</v>
      </c>
      <c r="K912" t="s">
        <v>5541</v>
      </c>
      <c r="L912" t="s">
        <v>5620</v>
      </c>
      <c r="M912" t="s">
        <v>5620</v>
      </c>
    </row>
    <row r="913" spans="10:13" x14ac:dyDescent="0.2">
      <c r="J913" t="s">
        <v>5466</v>
      </c>
      <c r="K913" t="s">
        <v>5541</v>
      </c>
      <c r="L913" t="s">
        <v>5634</v>
      </c>
      <c r="M913" t="s">
        <v>5634</v>
      </c>
    </row>
    <row r="914" spans="10:13" x14ac:dyDescent="0.2">
      <c r="J914" t="s">
        <v>5466</v>
      </c>
      <c r="K914" t="s">
        <v>5541</v>
      </c>
      <c r="L914" t="s">
        <v>5618</v>
      </c>
      <c r="M914" t="s">
        <v>5619</v>
      </c>
    </row>
    <row r="915" spans="10:13" x14ac:dyDescent="0.2">
      <c r="J915" t="s">
        <v>5466</v>
      </c>
      <c r="K915" t="s">
        <v>5541</v>
      </c>
      <c r="L915" t="s">
        <v>5659</v>
      </c>
      <c r="M915" t="s">
        <v>5659</v>
      </c>
    </row>
    <row r="916" spans="10:13" x14ac:dyDescent="0.2">
      <c r="J916" t="s">
        <v>5466</v>
      </c>
      <c r="K916" t="s">
        <v>5549</v>
      </c>
      <c r="L916" t="s">
        <v>5620</v>
      </c>
      <c r="M916" t="s">
        <v>5622</v>
      </c>
    </row>
    <row r="917" spans="10:13" x14ac:dyDescent="0.2">
      <c r="J917" t="s">
        <v>5466</v>
      </c>
      <c r="K917" t="s">
        <v>5541</v>
      </c>
      <c r="L917" t="s">
        <v>5618</v>
      </c>
      <c r="M917" t="s">
        <v>5618</v>
      </c>
    </row>
    <row r="918" spans="10:13" x14ac:dyDescent="0.2">
      <c r="J918" t="s">
        <v>5466</v>
      </c>
      <c r="K918" t="s">
        <v>5541</v>
      </c>
      <c r="L918" t="s">
        <v>5620</v>
      </c>
      <c r="M918" t="s">
        <v>5621</v>
      </c>
    </row>
    <row r="919" spans="10:13" x14ac:dyDescent="0.2">
      <c r="J919" t="s">
        <v>5466</v>
      </c>
      <c r="K919" t="s">
        <v>5541</v>
      </c>
      <c r="L919" t="s">
        <v>5618</v>
      </c>
      <c r="M919" t="s">
        <v>5618</v>
      </c>
    </row>
    <row r="920" spans="10:13" x14ac:dyDescent="0.2">
      <c r="J920" t="s">
        <v>5466</v>
      </c>
      <c r="K920" t="s">
        <v>5541</v>
      </c>
      <c r="L920" t="s">
        <v>5634</v>
      </c>
      <c r="M920" t="s">
        <v>5634</v>
      </c>
    </row>
    <row r="921" spans="10:13" x14ac:dyDescent="0.2">
      <c r="J921" t="s">
        <v>5466</v>
      </c>
      <c r="K921" t="s">
        <v>5541</v>
      </c>
      <c r="L921" t="s">
        <v>5634</v>
      </c>
      <c r="M921" t="s">
        <v>5634</v>
      </c>
    </row>
    <row r="922" spans="10:13" x14ac:dyDescent="0.2">
      <c r="J922" t="s">
        <v>5466</v>
      </c>
      <c r="K922" t="s">
        <v>5549</v>
      </c>
      <c r="L922" t="s">
        <v>5618</v>
      </c>
      <c r="M922" t="s">
        <v>5618</v>
      </c>
    </row>
    <row r="923" spans="10:13" x14ac:dyDescent="0.2">
      <c r="J923" t="s">
        <v>5466</v>
      </c>
      <c r="K923" t="s">
        <v>5549</v>
      </c>
      <c r="L923" t="s">
        <v>5618</v>
      </c>
      <c r="M923" t="s">
        <v>5623</v>
      </c>
    </row>
    <row r="924" spans="10:13" x14ac:dyDescent="0.2">
      <c r="J924" t="s">
        <v>5466</v>
      </c>
      <c r="K924" t="s">
        <v>5549</v>
      </c>
      <c r="L924" t="s">
        <v>5618</v>
      </c>
      <c r="M924" t="s">
        <v>5623</v>
      </c>
    </row>
    <row r="925" spans="10:13" x14ac:dyDescent="0.2">
      <c r="J925" t="s">
        <v>5466</v>
      </c>
      <c r="K925" t="s">
        <v>5541</v>
      </c>
      <c r="L925" t="s">
        <v>5634</v>
      </c>
      <c r="M925" t="s">
        <v>5634</v>
      </c>
    </row>
    <row r="926" spans="10:13" x14ac:dyDescent="0.2">
      <c r="J926" t="s">
        <v>5466</v>
      </c>
      <c r="K926" t="s">
        <v>5549</v>
      </c>
      <c r="L926" t="s">
        <v>5618</v>
      </c>
      <c r="M926" t="s">
        <v>5618</v>
      </c>
    </row>
    <row r="927" spans="10:13" x14ac:dyDescent="0.2">
      <c r="J927" t="s">
        <v>5466</v>
      </c>
      <c r="K927" t="s">
        <v>5549</v>
      </c>
      <c r="L927" t="s">
        <v>5618</v>
      </c>
      <c r="M927" t="s">
        <v>5618</v>
      </c>
    </row>
    <row r="928" spans="10:13" x14ac:dyDescent="0.2">
      <c r="J928" t="s">
        <v>5466</v>
      </c>
      <c r="K928" t="s">
        <v>5541</v>
      </c>
      <c r="L928" t="s">
        <v>5620</v>
      </c>
      <c r="M928" t="s">
        <v>5620</v>
      </c>
    </row>
    <row r="929" spans="10:13" x14ac:dyDescent="0.2">
      <c r="J929" t="s">
        <v>5466</v>
      </c>
      <c r="K929" t="s">
        <v>5541</v>
      </c>
      <c r="L929" t="s">
        <v>5634</v>
      </c>
      <c r="M929" t="s">
        <v>5634</v>
      </c>
    </row>
    <row r="930" spans="10:13" x14ac:dyDescent="0.2">
      <c r="J930" t="s">
        <v>5466</v>
      </c>
      <c r="K930" t="s">
        <v>5541</v>
      </c>
      <c r="L930" t="s">
        <v>5634</v>
      </c>
      <c r="M930" t="s">
        <v>5634</v>
      </c>
    </row>
    <row r="931" spans="10:13" x14ac:dyDescent="0.2">
      <c r="J931" t="s">
        <v>5466</v>
      </c>
      <c r="K931" t="s">
        <v>5541</v>
      </c>
      <c r="L931" t="s">
        <v>5620</v>
      </c>
      <c r="M931" t="s">
        <v>5621</v>
      </c>
    </row>
    <row r="932" spans="10:13" x14ac:dyDescent="0.2">
      <c r="J932" t="s">
        <v>5466</v>
      </c>
      <c r="K932" t="s">
        <v>5549</v>
      </c>
      <c r="L932" t="s">
        <v>5620</v>
      </c>
      <c r="M932" t="s">
        <v>5628</v>
      </c>
    </row>
    <row r="933" spans="10:13" x14ac:dyDescent="0.2">
      <c r="J933" t="s">
        <v>5466</v>
      </c>
      <c r="K933" t="s">
        <v>5549</v>
      </c>
      <c r="L933" t="s">
        <v>5618</v>
      </c>
      <c r="M933" t="s">
        <v>5618</v>
      </c>
    </row>
    <row r="934" spans="10:13" x14ac:dyDescent="0.2">
      <c r="J934" t="s">
        <v>5466</v>
      </c>
      <c r="K934" t="s">
        <v>5549</v>
      </c>
      <c r="L934" t="s">
        <v>5618</v>
      </c>
      <c r="M934" t="s">
        <v>5618</v>
      </c>
    </row>
    <row r="935" spans="10:13" x14ac:dyDescent="0.2">
      <c r="J935" t="s">
        <v>5466</v>
      </c>
      <c r="K935" t="s">
        <v>5541</v>
      </c>
      <c r="L935" t="s">
        <v>5618</v>
      </c>
      <c r="M935" t="s">
        <v>5618</v>
      </c>
    </row>
    <row r="936" spans="10:13" x14ac:dyDescent="0.2">
      <c r="J936" t="s">
        <v>5466</v>
      </c>
      <c r="K936" t="s">
        <v>5541</v>
      </c>
      <c r="L936" t="s">
        <v>5618</v>
      </c>
      <c r="M936" t="s">
        <v>5648</v>
      </c>
    </row>
    <row r="937" spans="10:13" x14ac:dyDescent="0.2">
      <c r="J937" t="s">
        <v>5466</v>
      </c>
      <c r="K937" t="s">
        <v>5549</v>
      </c>
      <c r="L937" t="s">
        <v>5618</v>
      </c>
      <c r="M937" t="s">
        <v>5624</v>
      </c>
    </row>
    <row r="938" spans="10:13" x14ac:dyDescent="0.2">
      <c r="J938" t="s">
        <v>5466</v>
      </c>
      <c r="K938" t="s">
        <v>5549</v>
      </c>
      <c r="L938" t="s">
        <v>5618</v>
      </c>
      <c r="M938" t="s">
        <v>5624</v>
      </c>
    </row>
    <row r="939" spans="10:13" x14ac:dyDescent="0.2">
      <c r="J939" t="s">
        <v>5466</v>
      </c>
      <c r="K939" t="s">
        <v>5541</v>
      </c>
      <c r="L939" t="s">
        <v>5618</v>
      </c>
      <c r="M939" t="s">
        <v>5618</v>
      </c>
    </row>
    <row r="940" spans="10:13" x14ac:dyDescent="0.2">
      <c r="J940" t="s">
        <v>5466</v>
      </c>
      <c r="K940" t="s">
        <v>5541</v>
      </c>
      <c r="L940" t="s">
        <v>5647</v>
      </c>
      <c r="M940" t="s">
        <v>5647</v>
      </c>
    </row>
    <row r="941" spans="10:13" x14ac:dyDescent="0.2">
      <c r="J941" t="s">
        <v>5466</v>
      </c>
      <c r="K941" t="s">
        <v>5549</v>
      </c>
      <c r="L941" t="s">
        <v>5618</v>
      </c>
      <c r="M941" t="s">
        <v>5630</v>
      </c>
    </row>
    <row r="942" spans="10:13" x14ac:dyDescent="0.2">
      <c r="J942" t="s">
        <v>5466</v>
      </c>
      <c r="K942" t="s">
        <v>5549</v>
      </c>
      <c r="L942" t="s">
        <v>5618</v>
      </c>
      <c r="M942" t="s">
        <v>5619</v>
      </c>
    </row>
    <row r="943" spans="10:13" x14ac:dyDescent="0.2">
      <c r="J943" t="s">
        <v>5466</v>
      </c>
      <c r="K943" t="s">
        <v>5549</v>
      </c>
      <c r="L943" t="s">
        <v>5620</v>
      </c>
      <c r="M943" t="s">
        <v>5622</v>
      </c>
    </row>
    <row r="944" spans="10:13" x14ac:dyDescent="0.2">
      <c r="J944" t="s">
        <v>5466</v>
      </c>
      <c r="K944" t="s">
        <v>5541</v>
      </c>
      <c r="L944" t="s">
        <v>5646</v>
      </c>
      <c r="M944" t="s">
        <v>5656</v>
      </c>
    </row>
    <row r="945" spans="10:13" x14ac:dyDescent="0.2">
      <c r="J945" t="s">
        <v>5466</v>
      </c>
      <c r="K945" t="s">
        <v>5541</v>
      </c>
      <c r="L945" t="s">
        <v>5620</v>
      </c>
      <c r="M945" t="s">
        <v>5627</v>
      </c>
    </row>
    <row r="946" spans="10:13" x14ac:dyDescent="0.2">
      <c r="J946" t="s">
        <v>5466</v>
      </c>
      <c r="K946" t="s">
        <v>5549</v>
      </c>
      <c r="L946" t="s">
        <v>5620</v>
      </c>
      <c r="M946" t="s">
        <v>5628</v>
      </c>
    </row>
    <row r="947" spans="10:13" x14ac:dyDescent="0.2">
      <c r="J947" t="s">
        <v>5466</v>
      </c>
      <c r="K947" t="s">
        <v>5541</v>
      </c>
      <c r="L947" t="s">
        <v>5660</v>
      </c>
      <c r="M947" t="s">
        <v>5660</v>
      </c>
    </row>
    <row r="948" spans="10:13" x14ac:dyDescent="0.2">
      <c r="J948" t="s">
        <v>5466</v>
      </c>
      <c r="K948" t="s">
        <v>5549</v>
      </c>
      <c r="L948" t="s">
        <v>5618</v>
      </c>
      <c r="M948" t="s">
        <v>5623</v>
      </c>
    </row>
    <row r="949" spans="10:13" x14ac:dyDescent="0.2">
      <c r="J949" t="s">
        <v>5466</v>
      </c>
      <c r="K949" t="s">
        <v>5549</v>
      </c>
      <c r="L949" t="s">
        <v>5620</v>
      </c>
      <c r="M949" t="s">
        <v>5621</v>
      </c>
    </row>
    <row r="950" spans="10:13" x14ac:dyDescent="0.2">
      <c r="J950" t="s">
        <v>5466</v>
      </c>
      <c r="K950" t="s">
        <v>5541</v>
      </c>
      <c r="L950" t="s">
        <v>5620</v>
      </c>
      <c r="M950" t="s">
        <v>5620</v>
      </c>
    </row>
    <row r="951" spans="10:13" x14ac:dyDescent="0.2">
      <c r="J951" t="s">
        <v>5466</v>
      </c>
      <c r="K951" t="s">
        <v>5549</v>
      </c>
      <c r="L951" t="s">
        <v>5620</v>
      </c>
      <c r="M951" t="s">
        <v>5621</v>
      </c>
    </row>
    <row r="952" spans="10:13" x14ac:dyDescent="0.2">
      <c r="J952" t="s">
        <v>5466</v>
      </c>
      <c r="K952" t="s">
        <v>5541</v>
      </c>
      <c r="L952" t="s">
        <v>5620</v>
      </c>
      <c r="M952" t="s">
        <v>5620</v>
      </c>
    </row>
    <row r="953" spans="10:13" x14ac:dyDescent="0.2">
      <c r="J953" t="s">
        <v>5466</v>
      </c>
      <c r="K953" t="s">
        <v>5549</v>
      </c>
      <c r="L953" t="s">
        <v>5620</v>
      </c>
      <c r="M953" t="s">
        <v>5622</v>
      </c>
    </row>
    <row r="954" spans="10:13" x14ac:dyDescent="0.2">
      <c r="J954" t="s">
        <v>5466</v>
      </c>
      <c r="K954" t="s">
        <v>5541</v>
      </c>
      <c r="L954" t="s">
        <v>5620</v>
      </c>
      <c r="M954" t="s">
        <v>5621</v>
      </c>
    </row>
    <row r="955" spans="10:13" x14ac:dyDescent="0.2">
      <c r="J955" t="s">
        <v>5466</v>
      </c>
      <c r="K955" t="s">
        <v>5541</v>
      </c>
      <c r="L955" t="s">
        <v>5620</v>
      </c>
      <c r="M955" t="s">
        <v>5620</v>
      </c>
    </row>
    <row r="956" spans="10:13" x14ac:dyDescent="0.2">
      <c r="J956" t="s">
        <v>5466</v>
      </c>
      <c r="K956" t="s">
        <v>5549</v>
      </c>
      <c r="L956" t="s">
        <v>5618</v>
      </c>
      <c r="M956" t="s">
        <v>5619</v>
      </c>
    </row>
    <row r="957" spans="10:13" x14ac:dyDescent="0.2">
      <c r="J957" t="s">
        <v>5466</v>
      </c>
      <c r="K957" t="s">
        <v>5541</v>
      </c>
      <c r="L957" t="s">
        <v>5620</v>
      </c>
      <c r="M957" t="s">
        <v>5625</v>
      </c>
    </row>
    <row r="958" spans="10:13" x14ac:dyDescent="0.2">
      <c r="J958" t="s">
        <v>5466</v>
      </c>
      <c r="K958" t="s">
        <v>5541</v>
      </c>
      <c r="L958" t="s">
        <v>5618</v>
      </c>
      <c r="M958" t="s">
        <v>5618</v>
      </c>
    </row>
    <row r="959" spans="10:13" x14ac:dyDescent="0.2">
      <c r="J959" t="s">
        <v>5466</v>
      </c>
      <c r="K959" t="s">
        <v>5541</v>
      </c>
      <c r="L959" t="s">
        <v>5618</v>
      </c>
      <c r="M959" t="s">
        <v>5618</v>
      </c>
    </row>
    <row r="960" spans="10:13" x14ac:dyDescent="0.2">
      <c r="J960" t="s">
        <v>5475</v>
      </c>
      <c r="K960" t="s">
        <v>5549</v>
      </c>
      <c r="L960" t="s">
        <v>5618</v>
      </c>
      <c r="M960" t="s">
        <v>5618</v>
      </c>
    </row>
    <row r="961" spans="10:13" x14ac:dyDescent="0.2">
      <c r="J961" t="s">
        <v>5475</v>
      </c>
      <c r="K961" t="s">
        <v>5541</v>
      </c>
      <c r="L961" t="s">
        <v>5620</v>
      </c>
      <c r="M961" t="s">
        <v>5620</v>
      </c>
    </row>
    <row r="962" spans="10:13" x14ac:dyDescent="0.2">
      <c r="J962" t="s">
        <v>5475</v>
      </c>
      <c r="K962" t="s">
        <v>5549</v>
      </c>
      <c r="L962" t="s">
        <v>5620</v>
      </c>
      <c r="M962" t="s">
        <v>5621</v>
      </c>
    </row>
    <row r="963" spans="10:13" x14ac:dyDescent="0.2">
      <c r="J963" t="s">
        <v>5475</v>
      </c>
      <c r="K963" t="s">
        <v>5549</v>
      </c>
      <c r="L963" t="s">
        <v>5620</v>
      </c>
      <c r="M963" t="s">
        <v>5621</v>
      </c>
    </row>
    <row r="964" spans="10:13" x14ac:dyDescent="0.2">
      <c r="J964" t="s">
        <v>5475</v>
      </c>
      <c r="K964" t="s">
        <v>5541</v>
      </c>
      <c r="L964" t="s">
        <v>5620</v>
      </c>
      <c r="M964" t="s">
        <v>5622</v>
      </c>
    </row>
    <row r="965" spans="10:13" x14ac:dyDescent="0.2">
      <c r="J965" t="s">
        <v>5475</v>
      </c>
      <c r="K965" t="s">
        <v>5541</v>
      </c>
      <c r="L965" t="s">
        <v>5620</v>
      </c>
      <c r="M965" t="s">
        <v>5620</v>
      </c>
    </row>
    <row r="966" spans="10:13" x14ac:dyDescent="0.2">
      <c r="J966" t="s">
        <v>5475</v>
      </c>
      <c r="K966" t="s">
        <v>5541</v>
      </c>
      <c r="L966" t="s">
        <v>5633</v>
      </c>
      <c r="M966" t="s">
        <v>5633</v>
      </c>
    </row>
    <row r="967" spans="10:13" x14ac:dyDescent="0.2">
      <c r="J967" t="s">
        <v>5475</v>
      </c>
      <c r="K967" t="s">
        <v>5541</v>
      </c>
      <c r="L967" t="s">
        <v>5618</v>
      </c>
      <c r="M967" t="s">
        <v>5618</v>
      </c>
    </row>
    <row r="968" spans="10:13" x14ac:dyDescent="0.2">
      <c r="J968" t="s">
        <v>5475</v>
      </c>
      <c r="K968" t="s">
        <v>5549</v>
      </c>
      <c r="L968" t="s">
        <v>5620</v>
      </c>
      <c r="M968" t="s">
        <v>5622</v>
      </c>
    </row>
    <row r="969" spans="10:13" x14ac:dyDescent="0.2">
      <c r="J969" t="s">
        <v>5475</v>
      </c>
      <c r="K969" t="s">
        <v>5541</v>
      </c>
      <c r="L969" t="s">
        <v>5620</v>
      </c>
      <c r="M969" t="s">
        <v>5627</v>
      </c>
    </row>
    <row r="970" spans="10:13" x14ac:dyDescent="0.2">
      <c r="J970" t="s">
        <v>5475</v>
      </c>
      <c r="K970" t="s">
        <v>5541</v>
      </c>
      <c r="L970" t="s">
        <v>5620</v>
      </c>
      <c r="M970" t="s">
        <v>5620</v>
      </c>
    </row>
    <row r="971" spans="10:13" x14ac:dyDescent="0.2">
      <c r="J971" t="s">
        <v>5475</v>
      </c>
      <c r="K971" t="s">
        <v>5541</v>
      </c>
      <c r="L971" t="s">
        <v>5618</v>
      </c>
      <c r="M971" t="s">
        <v>5618</v>
      </c>
    </row>
    <row r="972" spans="10:13" x14ac:dyDescent="0.2">
      <c r="J972" t="s">
        <v>5475</v>
      </c>
      <c r="K972" t="s">
        <v>5541</v>
      </c>
      <c r="L972" t="s">
        <v>5620</v>
      </c>
      <c r="M972" t="s">
        <v>5621</v>
      </c>
    </row>
    <row r="973" spans="10:13" x14ac:dyDescent="0.2">
      <c r="J973" t="s">
        <v>5475</v>
      </c>
      <c r="K973" t="s">
        <v>5541</v>
      </c>
      <c r="L973" t="s">
        <v>5620</v>
      </c>
      <c r="M973" t="s">
        <v>5621</v>
      </c>
    </row>
    <row r="974" spans="10:13" x14ac:dyDescent="0.2">
      <c r="J974" t="s">
        <v>5475</v>
      </c>
      <c r="K974" t="s">
        <v>5541</v>
      </c>
      <c r="L974" t="s">
        <v>5620</v>
      </c>
      <c r="M974" t="s">
        <v>5620</v>
      </c>
    </row>
    <row r="975" spans="10:13" x14ac:dyDescent="0.2">
      <c r="J975" t="s">
        <v>5475</v>
      </c>
      <c r="K975" t="s">
        <v>5541</v>
      </c>
      <c r="L975" t="s">
        <v>5618</v>
      </c>
      <c r="M975" t="s">
        <v>5618</v>
      </c>
    </row>
    <row r="976" spans="10:13" x14ac:dyDescent="0.2">
      <c r="J976" t="s">
        <v>5475</v>
      </c>
      <c r="K976" t="s">
        <v>5541</v>
      </c>
      <c r="L976" t="s">
        <v>5618</v>
      </c>
      <c r="M976" t="s">
        <v>5631</v>
      </c>
    </row>
    <row r="977" spans="10:13" x14ac:dyDescent="0.2">
      <c r="J977" t="s">
        <v>5475</v>
      </c>
      <c r="K977" t="s">
        <v>5541</v>
      </c>
      <c r="L977" t="s">
        <v>5618</v>
      </c>
      <c r="M977" t="s">
        <v>5618</v>
      </c>
    </row>
    <row r="978" spans="10:13" x14ac:dyDescent="0.2">
      <c r="J978" t="s">
        <v>5475</v>
      </c>
      <c r="K978" t="s">
        <v>5541</v>
      </c>
      <c r="L978" t="s">
        <v>5620</v>
      </c>
      <c r="M978" t="s">
        <v>5620</v>
      </c>
    </row>
    <row r="979" spans="10:13" x14ac:dyDescent="0.2">
      <c r="J979" t="s">
        <v>5475</v>
      </c>
      <c r="K979" t="s">
        <v>5541</v>
      </c>
      <c r="L979" t="s">
        <v>5634</v>
      </c>
      <c r="M979" t="s">
        <v>5634</v>
      </c>
    </row>
    <row r="980" spans="10:13" x14ac:dyDescent="0.2">
      <c r="J980" t="s">
        <v>5475</v>
      </c>
      <c r="K980" t="s">
        <v>5549</v>
      </c>
      <c r="L980" t="s">
        <v>5620</v>
      </c>
      <c r="M980" t="s">
        <v>5621</v>
      </c>
    </row>
    <row r="981" spans="10:13" x14ac:dyDescent="0.2">
      <c r="J981" t="s">
        <v>5475</v>
      </c>
      <c r="K981" t="s">
        <v>5541</v>
      </c>
      <c r="L981" t="s">
        <v>5620</v>
      </c>
      <c r="M981" t="s">
        <v>5620</v>
      </c>
    </row>
    <row r="982" spans="10:13" x14ac:dyDescent="0.2">
      <c r="J982" t="s">
        <v>5475</v>
      </c>
      <c r="K982" t="s">
        <v>5541</v>
      </c>
      <c r="L982" t="s">
        <v>5620</v>
      </c>
      <c r="M982" t="s">
        <v>5620</v>
      </c>
    </row>
    <row r="983" spans="10:13" x14ac:dyDescent="0.2">
      <c r="J983" t="s">
        <v>5475</v>
      </c>
      <c r="K983" t="s">
        <v>5541</v>
      </c>
      <c r="L983" t="s">
        <v>5620</v>
      </c>
      <c r="M983" t="s">
        <v>5620</v>
      </c>
    </row>
    <row r="984" spans="10:13" x14ac:dyDescent="0.2">
      <c r="J984" t="s">
        <v>5475</v>
      </c>
      <c r="K984" t="s">
        <v>5541</v>
      </c>
      <c r="L984" t="s">
        <v>5620</v>
      </c>
      <c r="M984" t="s">
        <v>5620</v>
      </c>
    </row>
    <row r="985" spans="10:13" x14ac:dyDescent="0.2">
      <c r="J985" t="s">
        <v>5475</v>
      </c>
      <c r="K985" t="s">
        <v>5541</v>
      </c>
      <c r="L985" t="s">
        <v>5618</v>
      </c>
      <c r="M985" t="s">
        <v>5623</v>
      </c>
    </row>
    <row r="986" spans="10:13" x14ac:dyDescent="0.2">
      <c r="J986" t="s">
        <v>5475</v>
      </c>
      <c r="K986" t="s">
        <v>5549</v>
      </c>
      <c r="L986" t="s">
        <v>5618</v>
      </c>
      <c r="M986" t="s">
        <v>5630</v>
      </c>
    </row>
    <row r="987" spans="10:13" x14ac:dyDescent="0.2">
      <c r="J987" t="s">
        <v>5475</v>
      </c>
      <c r="K987" t="s">
        <v>5541</v>
      </c>
      <c r="L987" t="s">
        <v>5620</v>
      </c>
      <c r="M987" t="s">
        <v>5620</v>
      </c>
    </row>
    <row r="988" spans="10:13" x14ac:dyDescent="0.2">
      <c r="J988" t="s">
        <v>5475</v>
      </c>
      <c r="K988" t="s">
        <v>5549</v>
      </c>
      <c r="L988" t="s">
        <v>5618</v>
      </c>
      <c r="M988" t="s">
        <v>5623</v>
      </c>
    </row>
    <row r="989" spans="10:13" x14ac:dyDescent="0.2">
      <c r="J989" t="s">
        <v>5475</v>
      </c>
      <c r="K989" t="s">
        <v>5541</v>
      </c>
      <c r="L989" t="s">
        <v>5620</v>
      </c>
      <c r="M989" t="s">
        <v>5620</v>
      </c>
    </row>
    <row r="990" spans="10:13" x14ac:dyDescent="0.2">
      <c r="J990" t="s">
        <v>5475</v>
      </c>
      <c r="K990" t="s">
        <v>5549</v>
      </c>
      <c r="L990" t="s">
        <v>5620</v>
      </c>
      <c r="M990" t="s">
        <v>5620</v>
      </c>
    </row>
    <row r="991" spans="10:13" x14ac:dyDescent="0.2">
      <c r="J991" t="s">
        <v>5475</v>
      </c>
      <c r="K991" t="s">
        <v>5541</v>
      </c>
      <c r="L991" t="s">
        <v>5618</v>
      </c>
      <c r="M991" t="s">
        <v>5618</v>
      </c>
    </row>
    <row r="992" spans="10:13" x14ac:dyDescent="0.2">
      <c r="J992" t="s">
        <v>5475</v>
      </c>
      <c r="K992" t="s">
        <v>5549</v>
      </c>
      <c r="L992" t="s">
        <v>5620</v>
      </c>
      <c r="M992" t="s">
        <v>5620</v>
      </c>
    </row>
    <row r="993" spans="10:13" x14ac:dyDescent="0.2">
      <c r="J993" t="s">
        <v>5475</v>
      </c>
      <c r="K993" t="s">
        <v>5541</v>
      </c>
      <c r="L993" t="s">
        <v>5620</v>
      </c>
      <c r="M993" t="s">
        <v>5620</v>
      </c>
    </row>
    <row r="994" spans="10:13" x14ac:dyDescent="0.2">
      <c r="J994" t="s">
        <v>5475</v>
      </c>
      <c r="K994" t="s">
        <v>5549</v>
      </c>
      <c r="L994" t="s">
        <v>5618</v>
      </c>
      <c r="M994" t="s">
        <v>5618</v>
      </c>
    </row>
    <row r="995" spans="10:13" x14ac:dyDescent="0.2">
      <c r="J995" t="s">
        <v>5475</v>
      </c>
      <c r="K995" t="s">
        <v>5541</v>
      </c>
      <c r="L995" t="s">
        <v>5618</v>
      </c>
      <c r="M995" t="s">
        <v>5618</v>
      </c>
    </row>
    <row r="996" spans="10:13" x14ac:dyDescent="0.2">
      <c r="J996" t="s">
        <v>5475</v>
      </c>
      <c r="K996" t="s">
        <v>5541</v>
      </c>
      <c r="L996" t="s">
        <v>5620</v>
      </c>
      <c r="M996" t="s">
        <v>5627</v>
      </c>
    </row>
    <row r="997" spans="10:13" x14ac:dyDescent="0.2">
      <c r="J997" t="s">
        <v>5475</v>
      </c>
      <c r="K997" t="s">
        <v>5541</v>
      </c>
      <c r="L997" t="s">
        <v>5620</v>
      </c>
      <c r="M997" t="s">
        <v>5627</v>
      </c>
    </row>
    <row r="998" spans="10:13" x14ac:dyDescent="0.2">
      <c r="J998" t="s">
        <v>5475</v>
      </c>
      <c r="K998" t="s">
        <v>5549</v>
      </c>
      <c r="L998" t="s">
        <v>5618</v>
      </c>
      <c r="M998" t="s">
        <v>546</v>
      </c>
    </row>
    <row r="999" spans="10:13" x14ac:dyDescent="0.2">
      <c r="J999" t="s">
        <v>5475</v>
      </c>
      <c r="K999" t="s">
        <v>5541</v>
      </c>
      <c r="L999" t="s">
        <v>5618</v>
      </c>
      <c r="M999" t="s">
        <v>5623</v>
      </c>
    </row>
    <row r="1000" spans="10:13" x14ac:dyDescent="0.2">
      <c r="J1000" t="s">
        <v>5475</v>
      </c>
      <c r="K1000" t="s">
        <v>5549</v>
      </c>
      <c r="L1000" t="s">
        <v>5620</v>
      </c>
      <c r="M1000" t="s">
        <v>5621</v>
      </c>
    </row>
    <row r="1001" spans="10:13" x14ac:dyDescent="0.2">
      <c r="J1001" t="s">
        <v>5475</v>
      </c>
      <c r="K1001" t="s">
        <v>5549</v>
      </c>
      <c r="L1001" t="s">
        <v>5618</v>
      </c>
      <c r="M1001" t="s">
        <v>5635</v>
      </c>
    </row>
    <row r="1002" spans="10:13" x14ac:dyDescent="0.2">
      <c r="J1002" t="s">
        <v>5475</v>
      </c>
      <c r="K1002" t="s">
        <v>5541</v>
      </c>
      <c r="L1002" t="s">
        <v>5620</v>
      </c>
      <c r="M1002" t="s">
        <v>5625</v>
      </c>
    </row>
    <row r="1003" spans="10:13" x14ac:dyDescent="0.2">
      <c r="J1003" t="s">
        <v>5475</v>
      </c>
      <c r="K1003" t="s">
        <v>5549</v>
      </c>
      <c r="L1003" t="s">
        <v>5623</v>
      </c>
      <c r="M1003" t="s">
        <v>5631</v>
      </c>
    </row>
    <row r="1004" spans="10:13" x14ac:dyDescent="0.2">
      <c r="J1004" t="s">
        <v>5475</v>
      </c>
      <c r="K1004" t="s">
        <v>5549</v>
      </c>
      <c r="L1004" t="s">
        <v>5620</v>
      </c>
      <c r="M1004" t="s">
        <v>5628</v>
      </c>
    </row>
    <row r="1005" spans="10:13" x14ac:dyDescent="0.2">
      <c r="J1005" t="s">
        <v>5475</v>
      </c>
      <c r="K1005" t="s">
        <v>5541</v>
      </c>
      <c r="L1005" t="s">
        <v>5618</v>
      </c>
      <c r="M1005" t="s">
        <v>5623</v>
      </c>
    </row>
    <row r="1006" spans="10:13" x14ac:dyDescent="0.2">
      <c r="J1006" t="s">
        <v>5475</v>
      </c>
      <c r="K1006" t="s">
        <v>5549</v>
      </c>
      <c r="L1006" t="s">
        <v>5618</v>
      </c>
      <c r="M1006" t="s">
        <v>5636</v>
      </c>
    </row>
    <row r="1007" spans="10:13" x14ac:dyDescent="0.2">
      <c r="J1007" t="s">
        <v>5475</v>
      </c>
      <c r="K1007" t="s">
        <v>5549</v>
      </c>
      <c r="L1007" t="s">
        <v>5618</v>
      </c>
      <c r="M1007" t="s">
        <v>5635</v>
      </c>
    </row>
    <row r="1008" spans="10:13" x14ac:dyDescent="0.2">
      <c r="J1008" t="s">
        <v>5475</v>
      </c>
      <c r="K1008" t="s">
        <v>5541</v>
      </c>
      <c r="L1008" t="s">
        <v>5618</v>
      </c>
      <c r="M1008" t="s">
        <v>5636</v>
      </c>
    </row>
    <row r="1009" spans="10:13" x14ac:dyDescent="0.2">
      <c r="J1009" t="s">
        <v>5475</v>
      </c>
      <c r="K1009" t="s">
        <v>5549</v>
      </c>
      <c r="L1009" t="s">
        <v>5618</v>
      </c>
      <c r="M1009" t="s">
        <v>5619</v>
      </c>
    </row>
    <row r="1010" spans="10:13" x14ac:dyDescent="0.2">
      <c r="J1010" t="s">
        <v>5475</v>
      </c>
      <c r="K1010" t="s">
        <v>5541</v>
      </c>
      <c r="L1010" t="s">
        <v>5618</v>
      </c>
      <c r="M1010" t="s">
        <v>5618</v>
      </c>
    </row>
    <row r="1011" spans="10:13" x14ac:dyDescent="0.2">
      <c r="J1011" t="s">
        <v>5475</v>
      </c>
      <c r="K1011" t="s">
        <v>5541</v>
      </c>
      <c r="L1011" t="s">
        <v>5618</v>
      </c>
      <c r="M1011" t="s">
        <v>5623</v>
      </c>
    </row>
    <row r="1012" spans="10:13" x14ac:dyDescent="0.2">
      <c r="J1012" t="s">
        <v>5475</v>
      </c>
      <c r="K1012" t="s">
        <v>5541</v>
      </c>
      <c r="L1012" t="s">
        <v>5618</v>
      </c>
      <c r="M1012" t="s">
        <v>5618</v>
      </c>
    </row>
    <row r="1013" spans="10:13" x14ac:dyDescent="0.2">
      <c r="J1013" t="s">
        <v>5475</v>
      </c>
      <c r="K1013" t="s">
        <v>5549</v>
      </c>
      <c r="L1013" t="s">
        <v>5618</v>
      </c>
      <c r="M1013" t="s">
        <v>5632</v>
      </c>
    </row>
    <row r="1014" spans="10:13" x14ac:dyDescent="0.2">
      <c r="J1014" t="s">
        <v>5475</v>
      </c>
      <c r="K1014" t="s">
        <v>5541</v>
      </c>
      <c r="L1014" t="s">
        <v>5620</v>
      </c>
      <c r="M1014" t="s">
        <v>5621</v>
      </c>
    </row>
    <row r="1015" spans="10:13" x14ac:dyDescent="0.2">
      <c r="J1015" t="s">
        <v>5475</v>
      </c>
      <c r="K1015" t="s">
        <v>5549</v>
      </c>
      <c r="L1015" t="s">
        <v>5618</v>
      </c>
      <c r="M1015" t="s">
        <v>5618</v>
      </c>
    </row>
    <row r="1016" spans="10:13" x14ac:dyDescent="0.2">
      <c r="J1016" t="s">
        <v>5475</v>
      </c>
      <c r="K1016" t="s">
        <v>5549</v>
      </c>
      <c r="L1016" t="s">
        <v>5633</v>
      </c>
      <c r="M1016" t="s">
        <v>5637</v>
      </c>
    </row>
    <row r="1017" spans="10:13" x14ac:dyDescent="0.2">
      <c r="J1017" t="s">
        <v>5475</v>
      </c>
      <c r="K1017" t="s">
        <v>5541</v>
      </c>
      <c r="L1017" t="s">
        <v>5620</v>
      </c>
      <c r="M1017" t="s">
        <v>5621</v>
      </c>
    </row>
    <row r="1018" spans="10:13" x14ac:dyDescent="0.2">
      <c r="J1018" t="s">
        <v>5475</v>
      </c>
      <c r="K1018" t="s">
        <v>5541</v>
      </c>
      <c r="L1018" t="s">
        <v>5620</v>
      </c>
      <c r="M1018" t="s">
        <v>5627</v>
      </c>
    </row>
    <row r="1019" spans="10:13" x14ac:dyDescent="0.2">
      <c r="J1019" t="s">
        <v>5475</v>
      </c>
      <c r="K1019" t="s">
        <v>5541</v>
      </c>
      <c r="L1019" t="s">
        <v>5620</v>
      </c>
      <c r="M1019" t="s">
        <v>5620</v>
      </c>
    </row>
    <row r="1020" spans="10:13" x14ac:dyDescent="0.2">
      <c r="J1020" t="s">
        <v>5475</v>
      </c>
      <c r="K1020" t="s">
        <v>5541</v>
      </c>
      <c r="L1020" t="s">
        <v>5620</v>
      </c>
      <c r="M1020" t="s">
        <v>5620</v>
      </c>
    </row>
    <row r="1021" spans="10:13" x14ac:dyDescent="0.2">
      <c r="J1021" t="s">
        <v>5475</v>
      </c>
      <c r="K1021" t="s">
        <v>5541</v>
      </c>
      <c r="L1021" t="s">
        <v>5620</v>
      </c>
      <c r="M1021" t="s">
        <v>5620</v>
      </c>
    </row>
    <row r="1022" spans="10:13" x14ac:dyDescent="0.2">
      <c r="J1022" t="s">
        <v>5475</v>
      </c>
      <c r="K1022" t="s">
        <v>5541</v>
      </c>
      <c r="L1022" t="s">
        <v>5620</v>
      </c>
      <c r="M1022" t="s">
        <v>5627</v>
      </c>
    </row>
    <row r="1023" spans="10:13" x14ac:dyDescent="0.2">
      <c r="J1023" t="s">
        <v>5475</v>
      </c>
      <c r="K1023" t="s">
        <v>5541</v>
      </c>
      <c r="L1023" t="s">
        <v>5620</v>
      </c>
      <c r="M1023" t="s">
        <v>5627</v>
      </c>
    </row>
    <row r="1024" spans="10:13" x14ac:dyDescent="0.2">
      <c r="J1024" t="s">
        <v>5475</v>
      </c>
      <c r="K1024" t="s">
        <v>5541</v>
      </c>
      <c r="L1024" t="s">
        <v>5618</v>
      </c>
      <c r="M1024" t="s">
        <v>5618</v>
      </c>
    </row>
    <row r="1025" spans="10:13" x14ac:dyDescent="0.2">
      <c r="J1025" t="s">
        <v>5475</v>
      </c>
      <c r="K1025" t="s">
        <v>5549</v>
      </c>
      <c r="L1025" t="s">
        <v>5618</v>
      </c>
      <c r="M1025" t="s">
        <v>5618</v>
      </c>
    </row>
    <row r="1026" spans="10:13" x14ac:dyDescent="0.2">
      <c r="J1026" t="s">
        <v>5475</v>
      </c>
      <c r="K1026" t="s">
        <v>5549</v>
      </c>
      <c r="L1026" t="s">
        <v>5620</v>
      </c>
      <c r="M1026" t="s">
        <v>5621</v>
      </c>
    </row>
    <row r="1027" spans="10:13" x14ac:dyDescent="0.2">
      <c r="J1027" t="s">
        <v>5475</v>
      </c>
      <c r="K1027" t="s">
        <v>5549</v>
      </c>
      <c r="L1027" t="s">
        <v>5618</v>
      </c>
      <c r="M1027" t="s">
        <v>5623</v>
      </c>
    </row>
    <row r="1028" spans="10:13" x14ac:dyDescent="0.2">
      <c r="J1028" t="s">
        <v>5475</v>
      </c>
      <c r="K1028" t="s">
        <v>5549</v>
      </c>
      <c r="L1028" t="s">
        <v>5620</v>
      </c>
      <c r="M1028" t="s">
        <v>5621</v>
      </c>
    </row>
    <row r="1029" spans="10:13" x14ac:dyDescent="0.2">
      <c r="J1029" t="s">
        <v>5475</v>
      </c>
      <c r="K1029" t="s">
        <v>5549</v>
      </c>
      <c r="L1029" t="s">
        <v>5620</v>
      </c>
      <c r="M1029" t="s">
        <v>5621</v>
      </c>
    </row>
    <row r="1030" spans="10:13" x14ac:dyDescent="0.2">
      <c r="J1030" t="s">
        <v>5475</v>
      </c>
      <c r="K1030" t="s">
        <v>5549</v>
      </c>
      <c r="L1030" t="s">
        <v>5620</v>
      </c>
      <c r="M1030" t="s">
        <v>5621</v>
      </c>
    </row>
    <row r="1031" spans="10:13" x14ac:dyDescent="0.2">
      <c r="J1031" t="s">
        <v>5475</v>
      </c>
      <c r="K1031" t="s">
        <v>5549</v>
      </c>
      <c r="L1031" t="s">
        <v>5620</v>
      </c>
      <c r="M1031" t="s">
        <v>5621</v>
      </c>
    </row>
    <row r="1032" spans="10:13" x14ac:dyDescent="0.2">
      <c r="J1032" t="s">
        <v>5475</v>
      </c>
      <c r="K1032" t="s">
        <v>5549</v>
      </c>
      <c r="L1032" t="s">
        <v>5620</v>
      </c>
      <c r="M1032" t="s">
        <v>5626</v>
      </c>
    </row>
    <row r="1033" spans="10:13" x14ac:dyDescent="0.2">
      <c r="J1033" t="s">
        <v>5475</v>
      </c>
      <c r="K1033" t="s">
        <v>5541</v>
      </c>
      <c r="L1033" t="s">
        <v>5620</v>
      </c>
      <c r="M1033" t="s">
        <v>5620</v>
      </c>
    </row>
    <row r="1034" spans="10:13" x14ac:dyDescent="0.2">
      <c r="J1034" t="s">
        <v>5475</v>
      </c>
      <c r="K1034" t="s">
        <v>5541</v>
      </c>
      <c r="L1034" t="s">
        <v>5620</v>
      </c>
      <c r="M1034" t="s">
        <v>5620</v>
      </c>
    </row>
    <row r="1035" spans="10:13" x14ac:dyDescent="0.2">
      <c r="J1035" t="s">
        <v>5475</v>
      </c>
      <c r="K1035" t="s">
        <v>5541</v>
      </c>
      <c r="L1035" t="s">
        <v>5618</v>
      </c>
      <c r="M1035" t="s">
        <v>5623</v>
      </c>
    </row>
    <row r="1036" spans="10:13" x14ac:dyDescent="0.2">
      <c r="J1036" t="s">
        <v>5475</v>
      </c>
      <c r="K1036" t="s">
        <v>5549</v>
      </c>
      <c r="L1036" t="s">
        <v>5618</v>
      </c>
      <c r="M1036" t="s">
        <v>5623</v>
      </c>
    </row>
    <row r="1037" spans="10:13" x14ac:dyDescent="0.2">
      <c r="J1037" t="s">
        <v>5475</v>
      </c>
      <c r="K1037" t="s">
        <v>5549</v>
      </c>
      <c r="L1037" t="s">
        <v>5618</v>
      </c>
      <c r="M1037" t="s">
        <v>5618</v>
      </c>
    </row>
    <row r="1038" spans="10:13" x14ac:dyDescent="0.2">
      <c r="J1038" t="s">
        <v>5475</v>
      </c>
      <c r="K1038" t="s">
        <v>5549</v>
      </c>
      <c r="L1038" t="s">
        <v>5618</v>
      </c>
      <c r="M1038" t="s">
        <v>5623</v>
      </c>
    </row>
    <row r="1039" spans="10:13" x14ac:dyDescent="0.2">
      <c r="J1039" t="s">
        <v>5475</v>
      </c>
      <c r="K1039" t="s">
        <v>5541</v>
      </c>
      <c r="L1039" t="s">
        <v>5618</v>
      </c>
      <c r="M1039" t="s">
        <v>5623</v>
      </c>
    </row>
    <row r="1040" spans="10:13" x14ac:dyDescent="0.2">
      <c r="J1040" t="s">
        <v>5475</v>
      </c>
      <c r="K1040" t="s">
        <v>5541</v>
      </c>
      <c r="L1040" t="s">
        <v>5618</v>
      </c>
      <c r="M1040" t="s">
        <v>5623</v>
      </c>
    </row>
    <row r="1041" spans="10:13" x14ac:dyDescent="0.2">
      <c r="J1041" t="s">
        <v>5475</v>
      </c>
      <c r="K1041" t="s">
        <v>5541</v>
      </c>
      <c r="L1041" t="s">
        <v>5618</v>
      </c>
      <c r="M1041" t="s">
        <v>5623</v>
      </c>
    </row>
    <row r="1042" spans="10:13" x14ac:dyDescent="0.2">
      <c r="J1042" t="s">
        <v>5475</v>
      </c>
      <c r="K1042" t="s">
        <v>5541</v>
      </c>
      <c r="L1042" t="s">
        <v>5618</v>
      </c>
      <c r="M1042" t="s">
        <v>5623</v>
      </c>
    </row>
    <row r="1043" spans="10:13" x14ac:dyDescent="0.2">
      <c r="J1043" t="s">
        <v>5475</v>
      </c>
      <c r="K1043" t="s">
        <v>5541</v>
      </c>
      <c r="L1043" t="s">
        <v>5618</v>
      </c>
      <c r="M1043" t="s">
        <v>5618</v>
      </c>
    </row>
    <row r="1044" spans="10:13" x14ac:dyDescent="0.2">
      <c r="J1044" t="s">
        <v>5475</v>
      </c>
      <c r="K1044" t="s">
        <v>5549</v>
      </c>
      <c r="L1044" t="s">
        <v>5618</v>
      </c>
      <c r="M1044" t="s">
        <v>546</v>
      </c>
    </row>
    <row r="1045" spans="10:13" x14ac:dyDescent="0.2">
      <c r="J1045" t="s">
        <v>5475</v>
      </c>
      <c r="K1045" t="s">
        <v>5541</v>
      </c>
      <c r="L1045" t="s">
        <v>5620</v>
      </c>
      <c r="M1045" t="s">
        <v>5621</v>
      </c>
    </row>
    <row r="1046" spans="10:13" x14ac:dyDescent="0.2">
      <c r="J1046" t="s">
        <v>5475</v>
      </c>
      <c r="K1046" t="s">
        <v>5541</v>
      </c>
      <c r="L1046" t="s">
        <v>5620</v>
      </c>
      <c r="M1046" t="s">
        <v>5620</v>
      </c>
    </row>
    <row r="1047" spans="10:13" x14ac:dyDescent="0.2">
      <c r="J1047" t="s">
        <v>5475</v>
      </c>
      <c r="K1047" t="s">
        <v>5541</v>
      </c>
      <c r="L1047" t="s">
        <v>5620</v>
      </c>
      <c r="M1047" t="s">
        <v>5620</v>
      </c>
    </row>
    <row r="1048" spans="10:13" x14ac:dyDescent="0.2">
      <c r="J1048" t="s">
        <v>5475</v>
      </c>
      <c r="K1048" t="s">
        <v>5549</v>
      </c>
      <c r="L1048" t="s">
        <v>5618</v>
      </c>
      <c r="M1048" t="s">
        <v>5631</v>
      </c>
    </row>
    <row r="1049" spans="10:13" x14ac:dyDescent="0.2">
      <c r="J1049" t="s">
        <v>5475</v>
      </c>
      <c r="K1049" t="s">
        <v>5541</v>
      </c>
      <c r="L1049" t="s">
        <v>5620</v>
      </c>
      <c r="M1049" t="s">
        <v>5620</v>
      </c>
    </row>
    <row r="1050" spans="10:13" x14ac:dyDescent="0.2">
      <c r="J1050" t="s">
        <v>5475</v>
      </c>
      <c r="K1050" t="s">
        <v>5541</v>
      </c>
      <c r="L1050" t="s">
        <v>5620</v>
      </c>
      <c r="M1050" t="s">
        <v>5620</v>
      </c>
    </row>
    <row r="1051" spans="10:13" x14ac:dyDescent="0.2">
      <c r="J1051" t="s">
        <v>5475</v>
      </c>
      <c r="K1051" t="s">
        <v>5541</v>
      </c>
      <c r="L1051" t="s">
        <v>5620</v>
      </c>
      <c r="M1051" t="s">
        <v>5620</v>
      </c>
    </row>
    <row r="1052" spans="10:13" x14ac:dyDescent="0.2">
      <c r="J1052" t="s">
        <v>5475</v>
      </c>
      <c r="K1052" t="s">
        <v>5541</v>
      </c>
      <c r="L1052" t="s">
        <v>5620</v>
      </c>
      <c r="M1052" t="s">
        <v>5620</v>
      </c>
    </row>
    <row r="1053" spans="10:13" x14ac:dyDescent="0.2">
      <c r="J1053" t="s">
        <v>5475</v>
      </c>
      <c r="K1053" t="s">
        <v>5549</v>
      </c>
      <c r="L1053" t="s">
        <v>5618</v>
      </c>
      <c r="M1053" t="s">
        <v>5623</v>
      </c>
    </row>
    <row r="1054" spans="10:13" x14ac:dyDescent="0.2">
      <c r="J1054" t="s">
        <v>5475</v>
      </c>
      <c r="K1054" t="s">
        <v>5541</v>
      </c>
      <c r="L1054" t="s">
        <v>5620</v>
      </c>
      <c r="M1054" t="s">
        <v>5620</v>
      </c>
    </row>
    <row r="1055" spans="10:13" x14ac:dyDescent="0.2">
      <c r="J1055" t="s">
        <v>5475</v>
      </c>
      <c r="K1055" t="s">
        <v>5549</v>
      </c>
      <c r="L1055" t="s">
        <v>5620</v>
      </c>
      <c r="M1055" t="s">
        <v>5622</v>
      </c>
    </row>
    <row r="1056" spans="10:13" x14ac:dyDescent="0.2">
      <c r="J1056" t="s">
        <v>5475</v>
      </c>
      <c r="K1056" t="s">
        <v>5549</v>
      </c>
      <c r="L1056" t="s">
        <v>5618</v>
      </c>
      <c r="M1056" t="s">
        <v>5632</v>
      </c>
    </row>
    <row r="1057" spans="10:13" x14ac:dyDescent="0.2">
      <c r="J1057" t="s">
        <v>5475</v>
      </c>
      <c r="K1057" t="s">
        <v>5541</v>
      </c>
      <c r="L1057" t="s">
        <v>5618</v>
      </c>
      <c r="M1057" t="s">
        <v>5618</v>
      </c>
    </row>
    <row r="1058" spans="10:13" x14ac:dyDescent="0.2">
      <c r="J1058" t="s">
        <v>5475</v>
      </c>
      <c r="K1058" t="s">
        <v>5541</v>
      </c>
      <c r="L1058" t="s">
        <v>5620</v>
      </c>
      <c r="M1058" t="s">
        <v>5621</v>
      </c>
    </row>
    <row r="1059" spans="10:13" x14ac:dyDescent="0.2">
      <c r="J1059" t="s">
        <v>5475</v>
      </c>
      <c r="K1059" t="s">
        <v>5541</v>
      </c>
      <c r="L1059" t="s">
        <v>5620</v>
      </c>
      <c r="M1059" t="s">
        <v>5620</v>
      </c>
    </row>
    <row r="1060" spans="10:13" x14ac:dyDescent="0.2">
      <c r="J1060" t="s">
        <v>5475</v>
      </c>
      <c r="K1060" t="s">
        <v>5541</v>
      </c>
      <c r="L1060" t="s">
        <v>5620</v>
      </c>
      <c r="M1060" t="s">
        <v>5621</v>
      </c>
    </row>
    <row r="1061" spans="10:13" x14ac:dyDescent="0.2">
      <c r="J1061" t="s">
        <v>5475</v>
      </c>
      <c r="K1061" t="s">
        <v>5541</v>
      </c>
      <c r="L1061" t="s">
        <v>5620</v>
      </c>
      <c r="M1061" t="s">
        <v>5625</v>
      </c>
    </row>
    <row r="1062" spans="10:13" x14ac:dyDescent="0.2">
      <c r="J1062" t="s">
        <v>5475</v>
      </c>
      <c r="K1062" t="s">
        <v>5549</v>
      </c>
      <c r="L1062" t="s">
        <v>5618</v>
      </c>
      <c r="M1062" t="s">
        <v>323</v>
      </c>
    </row>
    <row r="1063" spans="10:13" x14ac:dyDescent="0.2">
      <c r="J1063" t="s">
        <v>5475</v>
      </c>
      <c r="K1063" t="s">
        <v>5541</v>
      </c>
      <c r="L1063" t="s">
        <v>5620</v>
      </c>
      <c r="M1063" t="s">
        <v>5620</v>
      </c>
    </row>
    <row r="1064" spans="10:13" x14ac:dyDescent="0.2">
      <c r="J1064" t="s">
        <v>5475</v>
      </c>
      <c r="K1064" t="s">
        <v>5549</v>
      </c>
      <c r="L1064" t="s">
        <v>5618</v>
      </c>
      <c r="M1064" t="s">
        <v>546</v>
      </c>
    </row>
    <row r="1065" spans="10:13" x14ac:dyDescent="0.2">
      <c r="J1065" t="s">
        <v>5475</v>
      </c>
      <c r="K1065" t="s">
        <v>5549</v>
      </c>
      <c r="L1065" t="s">
        <v>5618</v>
      </c>
      <c r="M1065" t="s">
        <v>5632</v>
      </c>
    </row>
    <row r="1066" spans="10:13" x14ac:dyDescent="0.2">
      <c r="J1066" t="s">
        <v>5475</v>
      </c>
      <c r="K1066" t="s">
        <v>5541</v>
      </c>
      <c r="L1066" t="s">
        <v>5620</v>
      </c>
      <c r="M1066" t="s">
        <v>5621</v>
      </c>
    </row>
    <row r="1067" spans="10:13" x14ac:dyDescent="0.2">
      <c r="J1067" t="s">
        <v>5475</v>
      </c>
      <c r="K1067" t="s">
        <v>5541</v>
      </c>
      <c r="L1067" t="s">
        <v>5620</v>
      </c>
      <c r="M1067" t="s">
        <v>5621</v>
      </c>
    </row>
    <row r="1068" spans="10:13" x14ac:dyDescent="0.2">
      <c r="J1068" t="s">
        <v>5478</v>
      </c>
      <c r="K1068" t="s">
        <v>5541</v>
      </c>
      <c r="L1068" t="s">
        <v>5618</v>
      </c>
      <c r="M1068" t="s">
        <v>5623</v>
      </c>
    </row>
    <row r="1069" spans="10:13" x14ac:dyDescent="0.2">
      <c r="J1069" t="s">
        <v>5478</v>
      </c>
      <c r="K1069" t="s">
        <v>5549</v>
      </c>
      <c r="L1069" t="s">
        <v>5618</v>
      </c>
      <c r="M1069" t="s">
        <v>5619</v>
      </c>
    </row>
    <row r="1070" spans="10:13" x14ac:dyDescent="0.2">
      <c r="J1070" t="s">
        <v>5478</v>
      </c>
      <c r="K1070" t="s">
        <v>5541</v>
      </c>
      <c r="L1070" t="s">
        <v>5620</v>
      </c>
      <c r="M1070" t="s">
        <v>5627</v>
      </c>
    </row>
    <row r="1071" spans="10:13" x14ac:dyDescent="0.2">
      <c r="J1071" t="s">
        <v>5478</v>
      </c>
      <c r="K1071" t="s">
        <v>5549</v>
      </c>
      <c r="L1071" t="s">
        <v>5618</v>
      </c>
      <c r="M1071" t="s">
        <v>5618</v>
      </c>
    </row>
    <row r="1072" spans="10:13" x14ac:dyDescent="0.2">
      <c r="J1072" t="s">
        <v>5478</v>
      </c>
      <c r="K1072" t="s">
        <v>5549</v>
      </c>
      <c r="L1072" t="s">
        <v>5618</v>
      </c>
      <c r="M1072" t="s">
        <v>5618</v>
      </c>
    </row>
    <row r="1073" spans="10:13" x14ac:dyDescent="0.2">
      <c r="J1073" t="s">
        <v>5478</v>
      </c>
      <c r="K1073" t="s">
        <v>5541</v>
      </c>
      <c r="L1073" t="s">
        <v>5618</v>
      </c>
      <c r="M1073" t="s">
        <v>5623</v>
      </c>
    </row>
    <row r="1074" spans="10:13" x14ac:dyDescent="0.2">
      <c r="J1074" t="s">
        <v>5478</v>
      </c>
      <c r="K1074" t="s">
        <v>5541</v>
      </c>
      <c r="L1074" t="s">
        <v>5620</v>
      </c>
      <c r="M1074" t="s">
        <v>5620</v>
      </c>
    </row>
    <row r="1075" spans="10:13" x14ac:dyDescent="0.2">
      <c r="J1075" t="s">
        <v>5478</v>
      </c>
      <c r="K1075" t="s">
        <v>5549</v>
      </c>
      <c r="L1075" t="s">
        <v>5618</v>
      </c>
      <c r="M1075" t="s">
        <v>5618</v>
      </c>
    </row>
    <row r="1076" spans="10:13" x14ac:dyDescent="0.2">
      <c r="J1076" t="s">
        <v>5478</v>
      </c>
      <c r="K1076" t="s">
        <v>5549</v>
      </c>
      <c r="L1076" t="s">
        <v>5620</v>
      </c>
      <c r="M1076" t="s">
        <v>5621</v>
      </c>
    </row>
    <row r="1077" spans="10:13" x14ac:dyDescent="0.2">
      <c r="J1077" t="s">
        <v>5478</v>
      </c>
      <c r="K1077" t="s">
        <v>5549</v>
      </c>
      <c r="L1077" t="s">
        <v>5618</v>
      </c>
      <c r="M1077" t="s">
        <v>5618</v>
      </c>
    </row>
    <row r="1078" spans="10:13" x14ac:dyDescent="0.2">
      <c r="J1078" t="s">
        <v>5478</v>
      </c>
      <c r="K1078" t="s">
        <v>5549</v>
      </c>
      <c r="L1078" t="s">
        <v>5618</v>
      </c>
      <c r="M1078" t="s">
        <v>5623</v>
      </c>
    </row>
    <row r="1079" spans="10:13" x14ac:dyDescent="0.2">
      <c r="J1079" t="s">
        <v>5478</v>
      </c>
      <c r="K1079" t="s">
        <v>5549</v>
      </c>
      <c r="L1079" t="s">
        <v>5618</v>
      </c>
      <c r="M1079" t="s">
        <v>5618</v>
      </c>
    </row>
    <row r="1080" spans="10:13" x14ac:dyDescent="0.2">
      <c r="J1080" t="s">
        <v>5478</v>
      </c>
      <c r="K1080" t="s">
        <v>5549</v>
      </c>
      <c r="L1080" t="s">
        <v>5618</v>
      </c>
      <c r="M1080" t="s">
        <v>5623</v>
      </c>
    </row>
    <row r="1081" spans="10:13" x14ac:dyDescent="0.2">
      <c r="J1081" t="s">
        <v>5478</v>
      </c>
      <c r="K1081" t="s">
        <v>5541</v>
      </c>
      <c r="L1081" t="s">
        <v>5620</v>
      </c>
      <c r="M1081" t="s">
        <v>5627</v>
      </c>
    </row>
    <row r="1082" spans="10:13" x14ac:dyDescent="0.2">
      <c r="J1082" t="s">
        <v>5478</v>
      </c>
      <c r="K1082" t="s">
        <v>5549</v>
      </c>
      <c r="L1082" t="s">
        <v>5618</v>
      </c>
      <c r="M1082" t="s">
        <v>5623</v>
      </c>
    </row>
    <row r="1083" spans="10:13" x14ac:dyDescent="0.2">
      <c r="J1083" t="s">
        <v>5478</v>
      </c>
      <c r="K1083" t="s">
        <v>5541</v>
      </c>
      <c r="L1083" t="s">
        <v>5620</v>
      </c>
      <c r="M1083" t="s">
        <v>5627</v>
      </c>
    </row>
    <row r="1084" spans="10:13" x14ac:dyDescent="0.2">
      <c r="J1084" t="s">
        <v>5478</v>
      </c>
      <c r="K1084" t="s">
        <v>5549</v>
      </c>
      <c r="L1084" t="s">
        <v>5618</v>
      </c>
      <c r="M1084" t="s">
        <v>5623</v>
      </c>
    </row>
    <row r="1085" spans="10:13" x14ac:dyDescent="0.2">
      <c r="J1085" t="s">
        <v>5478</v>
      </c>
      <c r="K1085" t="s">
        <v>5549</v>
      </c>
      <c r="L1085" t="s">
        <v>5618</v>
      </c>
      <c r="M1085" t="s">
        <v>5619</v>
      </c>
    </row>
    <row r="1086" spans="10:13" x14ac:dyDescent="0.2">
      <c r="J1086" t="s">
        <v>5478</v>
      </c>
      <c r="K1086" t="s">
        <v>5549</v>
      </c>
      <c r="L1086" t="s">
        <v>5618</v>
      </c>
      <c r="M1086" t="s">
        <v>5618</v>
      </c>
    </row>
    <row r="1087" spans="10:13" x14ac:dyDescent="0.2">
      <c r="J1087" t="s">
        <v>5478</v>
      </c>
      <c r="K1087" t="s">
        <v>5541</v>
      </c>
      <c r="L1087" t="s">
        <v>5620</v>
      </c>
      <c r="M1087" t="s">
        <v>5620</v>
      </c>
    </row>
    <row r="1088" spans="10:13" x14ac:dyDescent="0.2">
      <c r="J1088" t="s">
        <v>5478</v>
      </c>
      <c r="K1088" t="s">
        <v>5549</v>
      </c>
      <c r="L1088" t="s">
        <v>5618</v>
      </c>
      <c r="M1088" t="s">
        <v>5624</v>
      </c>
    </row>
    <row r="1089" spans="10:13" x14ac:dyDescent="0.2">
      <c r="J1089" t="s">
        <v>5478</v>
      </c>
      <c r="K1089" t="s">
        <v>5549</v>
      </c>
      <c r="L1089" t="s">
        <v>5618</v>
      </c>
      <c r="M1089" t="s">
        <v>5623</v>
      </c>
    </row>
    <row r="1090" spans="10:13" x14ac:dyDescent="0.2">
      <c r="J1090" t="s">
        <v>5478</v>
      </c>
      <c r="K1090" t="s">
        <v>5541</v>
      </c>
      <c r="L1090" t="s">
        <v>5620</v>
      </c>
      <c r="M1090" t="s">
        <v>5620</v>
      </c>
    </row>
    <row r="1091" spans="10:13" x14ac:dyDescent="0.2">
      <c r="J1091" t="s">
        <v>5478</v>
      </c>
      <c r="K1091" t="s">
        <v>5549</v>
      </c>
      <c r="L1091" t="s">
        <v>5618</v>
      </c>
      <c r="M1091" t="s">
        <v>5618</v>
      </c>
    </row>
    <row r="1092" spans="10:13" x14ac:dyDescent="0.2">
      <c r="J1092" t="s">
        <v>5478</v>
      </c>
      <c r="K1092" t="s">
        <v>5541</v>
      </c>
      <c r="L1092" t="s">
        <v>5620</v>
      </c>
      <c r="M1092" t="s">
        <v>5620</v>
      </c>
    </row>
    <row r="1093" spans="10:13" x14ac:dyDescent="0.2">
      <c r="J1093" t="s">
        <v>5478</v>
      </c>
      <c r="K1093" t="s">
        <v>5549</v>
      </c>
      <c r="L1093" t="s">
        <v>5620</v>
      </c>
      <c r="M1093" t="s">
        <v>5622</v>
      </c>
    </row>
    <row r="1094" spans="10:13" x14ac:dyDescent="0.2">
      <c r="J1094" t="s">
        <v>5478</v>
      </c>
      <c r="K1094" t="s">
        <v>5541</v>
      </c>
      <c r="L1094" t="s">
        <v>5620</v>
      </c>
      <c r="M1094" t="s">
        <v>5620</v>
      </c>
    </row>
    <row r="1095" spans="10:13" x14ac:dyDescent="0.2">
      <c r="J1095" t="s">
        <v>5478</v>
      </c>
      <c r="K1095" t="s">
        <v>5549</v>
      </c>
      <c r="L1095" t="s">
        <v>5618</v>
      </c>
      <c r="M1095" t="s">
        <v>5618</v>
      </c>
    </row>
    <row r="1096" spans="10:13" x14ac:dyDescent="0.2">
      <c r="J1096" t="s">
        <v>5478</v>
      </c>
      <c r="K1096" t="s">
        <v>5549</v>
      </c>
      <c r="L1096" t="s">
        <v>5620</v>
      </c>
      <c r="M1096" t="s">
        <v>5622</v>
      </c>
    </row>
    <row r="1097" spans="10:13" x14ac:dyDescent="0.2">
      <c r="J1097" t="s">
        <v>5478</v>
      </c>
      <c r="K1097" t="s">
        <v>5541</v>
      </c>
      <c r="L1097" t="s">
        <v>5618</v>
      </c>
      <c r="M1097" t="s">
        <v>5618</v>
      </c>
    </row>
    <row r="1098" spans="10:13" x14ac:dyDescent="0.2">
      <c r="J1098" t="s">
        <v>5478</v>
      </c>
      <c r="K1098" t="s">
        <v>5549</v>
      </c>
      <c r="L1098" t="s">
        <v>5618</v>
      </c>
      <c r="M1098" t="s">
        <v>5619</v>
      </c>
    </row>
    <row r="1099" spans="10:13" x14ac:dyDescent="0.2">
      <c r="J1099" t="s">
        <v>5478</v>
      </c>
      <c r="K1099" t="s">
        <v>5541</v>
      </c>
      <c r="L1099" t="s">
        <v>5618</v>
      </c>
      <c r="M1099" t="s">
        <v>5618</v>
      </c>
    </row>
    <row r="1100" spans="10:13" x14ac:dyDescent="0.2">
      <c r="J1100" t="s">
        <v>5478</v>
      </c>
      <c r="K1100" t="s">
        <v>5541</v>
      </c>
      <c r="L1100" t="s">
        <v>5620</v>
      </c>
      <c r="M1100" t="s">
        <v>5621</v>
      </c>
    </row>
    <row r="1101" spans="10:13" x14ac:dyDescent="0.2">
      <c r="J1101" t="s">
        <v>5478</v>
      </c>
      <c r="K1101" t="s">
        <v>5549</v>
      </c>
      <c r="L1101" t="s">
        <v>5620</v>
      </c>
      <c r="M1101" t="s">
        <v>5621</v>
      </c>
    </row>
    <row r="1102" spans="10:13" x14ac:dyDescent="0.2">
      <c r="J1102" t="s">
        <v>5478</v>
      </c>
      <c r="K1102" t="s">
        <v>5549</v>
      </c>
      <c r="L1102" t="s">
        <v>5620</v>
      </c>
      <c r="M1102" t="s">
        <v>5622</v>
      </c>
    </row>
    <row r="1103" spans="10:13" x14ac:dyDescent="0.2">
      <c r="J1103" t="s">
        <v>5478</v>
      </c>
      <c r="K1103" t="s">
        <v>5549</v>
      </c>
      <c r="L1103" t="s">
        <v>5618</v>
      </c>
      <c r="M1103" t="s">
        <v>5623</v>
      </c>
    </row>
    <row r="1104" spans="10:13" x14ac:dyDescent="0.2">
      <c r="J1104" t="s">
        <v>5478</v>
      </c>
      <c r="K1104" t="s">
        <v>5549</v>
      </c>
      <c r="L1104" t="s">
        <v>5620</v>
      </c>
      <c r="M1104" t="s">
        <v>5622</v>
      </c>
    </row>
    <row r="1105" spans="10:13" x14ac:dyDescent="0.2">
      <c r="J1105" t="s">
        <v>5478</v>
      </c>
      <c r="K1105" t="s">
        <v>5549</v>
      </c>
      <c r="L1105" t="s">
        <v>5620</v>
      </c>
      <c r="M1105" t="s">
        <v>5621</v>
      </c>
    </row>
    <row r="1106" spans="10:13" x14ac:dyDescent="0.2">
      <c r="J1106" t="s">
        <v>5478</v>
      </c>
      <c r="K1106" t="s">
        <v>5549</v>
      </c>
      <c r="L1106" t="s">
        <v>5618</v>
      </c>
      <c r="M1106" t="s">
        <v>5618</v>
      </c>
    </row>
    <row r="1107" spans="10:13" x14ac:dyDescent="0.2">
      <c r="J1107" t="s">
        <v>5478</v>
      </c>
      <c r="K1107" t="s">
        <v>5549</v>
      </c>
      <c r="L1107" t="s">
        <v>5618</v>
      </c>
      <c r="M1107" t="s">
        <v>5624</v>
      </c>
    </row>
    <row r="1108" spans="10:13" x14ac:dyDescent="0.2">
      <c r="J1108" t="s">
        <v>5478</v>
      </c>
      <c r="K1108" t="s">
        <v>5541</v>
      </c>
      <c r="L1108" t="s">
        <v>5620</v>
      </c>
      <c r="M1108" t="s">
        <v>5621</v>
      </c>
    </row>
    <row r="1109" spans="10:13" x14ac:dyDescent="0.2">
      <c r="J1109" t="s">
        <v>5478</v>
      </c>
      <c r="K1109" t="s">
        <v>5549</v>
      </c>
      <c r="L1109" t="s">
        <v>5618</v>
      </c>
      <c r="M1109" t="s">
        <v>5618</v>
      </c>
    </row>
    <row r="1110" spans="10:13" x14ac:dyDescent="0.2">
      <c r="J1110" t="s">
        <v>5478</v>
      </c>
      <c r="K1110" t="s">
        <v>5549</v>
      </c>
      <c r="L1110" t="s">
        <v>5618</v>
      </c>
      <c r="M1110" t="s">
        <v>5618</v>
      </c>
    </row>
    <row r="1111" spans="10:13" x14ac:dyDescent="0.2">
      <c r="J1111" t="s">
        <v>5478</v>
      </c>
      <c r="K1111" t="s">
        <v>5549</v>
      </c>
      <c r="L1111" t="s">
        <v>5618</v>
      </c>
      <c r="M1111" t="s">
        <v>5623</v>
      </c>
    </row>
    <row r="1112" spans="10:13" x14ac:dyDescent="0.2">
      <c r="J1112" t="s">
        <v>5478</v>
      </c>
      <c r="K1112" t="s">
        <v>5549</v>
      </c>
      <c r="L1112" t="s">
        <v>5620</v>
      </c>
      <c r="M1112" t="s">
        <v>5622</v>
      </c>
    </row>
    <row r="1113" spans="10:13" x14ac:dyDescent="0.2">
      <c r="J1113" t="s">
        <v>5478</v>
      </c>
      <c r="K1113" t="s">
        <v>5541</v>
      </c>
      <c r="L1113" t="s">
        <v>5618</v>
      </c>
      <c r="M1113" t="s">
        <v>5618</v>
      </c>
    </row>
    <row r="1114" spans="10:13" x14ac:dyDescent="0.2">
      <c r="J1114" t="s">
        <v>5478</v>
      </c>
      <c r="K1114" t="s">
        <v>5549</v>
      </c>
      <c r="L1114" t="s">
        <v>5618</v>
      </c>
      <c r="M1114" t="s">
        <v>5623</v>
      </c>
    </row>
    <row r="1115" spans="10:13" x14ac:dyDescent="0.2">
      <c r="J1115" t="s">
        <v>5478</v>
      </c>
      <c r="K1115" t="s">
        <v>5541</v>
      </c>
      <c r="L1115" t="s">
        <v>5618</v>
      </c>
      <c r="M1115" t="s">
        <v>5623</v>
      </c>
    </row>
    <row r="1116" spans="10:13" x14ac:dyDescent="0.2">
      <c r="J1116" t="s">
        <v>5478</v>
      </c>
      <c r="K1116" t="s">
        <v>5549</v>
      </c>
      <c r="L1116" t="s">
        <v>5620</v>
      </c>
      <c r="M1116" t="s">
        <v>5621</v>
      </c>
    </row>
    <row r="1117" spans="10:13" x14ac:dyDescent="0.2">
      <c r="J1117" t="s">
        <v>5478</v>
      </c>
      <c r="K1117" t="s">
        <v>5541</v>
      </c>
      <c r="L1117" t="s">
        <v>5618</v>
      </c>
      <c r="M1117" t="s">
        <v>5618</v>
      </c>
    </row>
    <row r="1118" spans="10:13" x14ac:dyDescent="0.2">
      <c r="J1118" t="s">
        <v>5478</v>
      </c>
      <c r="K1118" t="s">
        <v>5541</v>
      </c>
      <c r="L1118" t="s">
        <v>5620</v>
      </c>
      <c r="M1118" t="s">
        <v>5620</v>
      </c>
    </row>
    <row r="1119" spans="10:13" x14ac:dyDescent="0.2">
      <c r="J1119" t="s">
        <v>5478</v>
      </c>
      <c r="K1119" t="s">
        <v>5549</v>
      </c>
      <c r="L1119" t="s">
        <v>5618</v>
      </c>
      <c r="M1119" t="s">
        <v>5624</v>
      </c>
    </row>
    <row r="1120" spans="10:13" x14ac:dyDescent="0.2">
      <c r="J1120" t="s">
        <v>5478</v>
      </c>
      <c r="K1120" t="s">
        <v>5549</v>
      </c>
      <c r="L1120" t="s">
        <v>5620</v>
      </c>
      <c r="M1120" t="s">
        <v>5622</v>
      </c>
    </row>
    <row r="1121" spans="10:13" x14ac:dyDescent="0.2">
      <c r="J1121" t="s">
        <v>5478</v>
      </c>
      <c r="K1121" t="s">
        <v>5549</v>
      </c>
      <c r="L1121" t="s">
        <v>5618</v>
      </c>
      <c r="M1121" t="s">
        <v>5618</v>
      </c>
    </row>
    <row r="1122" spans="10:13" x14ac:dyDescent="0.2">
      <c r="J1122" t="s">
        <v>5478</v>
      </c>
      <c r="K1122" t="s">
        <v>5541</v>
      </c>
      <c r="L1122" t="s">
        <v>5620</v>
      </c>
      <c r="M1122" t="s">
        <v>5620</v>
      </c>
    </row>
    <row r="1123" spans="10:13" x14ac:dyDescent="0.2">
      <c r="J1123" t="s">
        <v>5478</v>
      </c>
      <c r="K1123" t="s">
        <v>5541</v>
      </c>
      <c r="L1123" t="s">
        <v>5618</v>
      </c>
      <c r="M1123" t="s">
        <v>5618</v>
      </c>
    </row>
    <row r="1124" spans="10:13" x14ac:dyDescent="0.2">
      <c r="J1124" t="s">
        <v>5478</v>
      </c>
      <c r="K1124" t="s">
        <v>5541</v>
      </c>
      <c r="L1124" t="s">
        <v>5618</v>
      </c>
      <c r="M1124" t="s">
        <v>5623</v>
      </c>
    </row>
    <row r="1125" spans="10:13" x14ac:dyDescent="0.2">
      <c r="J1125" t="s">
        <v>5478</v>
      </c>
      <c r="K1125" t="s">
        <v>5549</v>
      </c>
      <c r="L1125" t="s">
        <v>5618</v>
      </c>
      <c r="M1125" t="s">
        <v>5619</v>
      </c>
    </row>
    <row r="1126" spans="10:13" x14ac:dyDescent="0.2">
      <c r="J1126" t="s">
        <v>5478</v>
      </c>
      <c r="K1126" t="s">
        <v>5541</v>
      </c>
      <c r="L1126" t="s">
        <v>5620</v>
      </c>
      <c r="M1126" t="s">
        <v>5621</v>
      </c>
    </row>
    <row r="1127" spans="10:13" x14ac:dyDescent="0.2">
      <c r="J1127" t="s">
        <v>5478</v>
      </c>
      <c r="K1127" t="s">
        <v>5549</v>
      </c>
      <c r="L1127" t="s">
        <v>5618</v>
      </c>
      <c r="M1127" t="s">
        <v>5618</v>
      </c>
    </row>
    <row r="1128" spans="10:13" x14ac:dyDescent="0.2">
      <c r="J1128" t="s">
        <v>5478</v>
      </c>
      <c r="K1128" t="s">
        <v>5541</v>
      </c>
      <c r="L1128" t="s">
        <v>5618</v>
      </c>
      <c r="M1128" t="s">
        <v>5618</v>
      </c>
    </row>
    <row r="1129" spans="10:13" x14ac:dyDescent="0.2">
      <c r="J1129" t="s">
        <v>5478</v>
      </c>
      <c r="K1129" t="s">
        <v>5549</v>
      </c>
      <c r="L1129" t="s">
        <v>5618</v>
      </c>
      <c r="M1129" t="s">
        <v>5623</v>
      </c>
    </row>
    <row r="1130" spans="10:13" x14ac:dyDescent="0.2">
      <c r="J1130" t="s">
        <v>5478</v>
      </c>
      <c r="K1130" t="s">
        <v>5541</v>
      </c>
      <c r="L1130" t="s">
        <v>5620</v>
      </c>
      <c r="M1130" t="s">
        <v>5620</v>
      </c>
    </row>
    <row r="1131" spans="10:13" x14ac:dyDescent="0.2">
      <c r="J1131" t="s">
        <v>5478</v>
      </c>
      <c r="K1131" t="s">
        <v>5541</v>
      </c>
      <c r="L1131" t="s">
        <v>5618</v>
      </c>
      <c r="M1131" t="s">
        <v>5618</v>
      </c>
    </row>
    <row r="1132" spans="10:13" x14ac:dyDescent="0.2">
      <c r="J1132" t="s">
        <v>5478</v>
      </c>
      <c r="K1132" t="s">
        <v>5541</v>
      </c>
      <c r="L1132" t="s">
        <v>5618</v>
      </c>
      <c r="M1132" t="s">
        <v>5618</v>
      </c>
    </row>
    <row r="1133" spans="10:13" x14ac:dyDescent="0.2">
      <c r="J1133" t="s">
        <v>5478</v>
      </c>
      <c r="K1133" t="s">
        <v>5541</v>
      </c>
      <c r="L1133" t="s">
        <v>5620</v>
      </c>
      <c r="M1133" t="s">
        <v>5625</v>
      </c>
    </row>
    <row r="1134" spans="10:13" x14ac:dyDescent="0.2">
      <c r="J1134" t="s">
        <v>5478</v>
      </c>
      <c r="K1134" t="s">
        <v>5549</v>
      </c>
      <c r="L1134" t="s">
        <v>5618</v>
      </c>
      <c r="M1134" t="s">
        <v>5623</v>
      </c>
    </row>
    <row r="1135" spans="10:13" x14ac:dyDescent="0.2">
      <c r="J1135" t="s">
        <v>5478</v>
      </c>
      <c r="K1135" t="s">
        <v>5549</v>
      </c>
      <c r="L1135" t="s">
        <v>5618</v>
      </c>
      <c r="M1135" t="s">
        <v>5618</v>
      </c>
    </row>
    <row r="1136" spans="10:13" x14ac:dyDescent="0.2">
      <c r="J1136" t="s">
        <v>5478</v>
      </c>
      <c r="K1136" t="s">
        <v>5541</v>
      </c>
      <c r="L1136" t="s">
        <v>5620</v>
      </c>
      <c r="M1136" t="s">
        <v>5621</v>
      </c>
    </row>
    <row r="1137" spans="10:13" x14ac:dyDescent="0.2">
      <c r="J1137" t="s">
        <v>5478</v>
      </c>
      <c r="K1137" t="s">
        <v>5541</v>
      </c>
      <c r="L1137" t="s">
        <v>5618</v>
      </c>
      <c r="M1137" t="s">
        <v>5618</v>
      </c>
    </row>
    <row r="1138" spans="10:13" x14ac:dyDescent="0.2">
      <c r="J1138" t="s">
        <v>5478</v>
      </c>
      <c r="K1138" t="s">
        <v>5541</v>
      </c>
      <c r="L1138" t="s">
        <v>5620</v>
      </c>
      <c r="M1138" t="s">
        <v>5620</v>
      </c>
    </row>
    <row r="1139" spans="10:13" x14ac:dyDescent="0.2">
      <c r="J1139" t="s">
        <v>5478</v>
      </c>
      <c r="K1139" t="s">
        <v>5549</v>
      </c>
      <c r="L1139" t="s">
        <v>5620</v>
      </c>
      <c r="M1139" t="s">
        <v>5626</v>
      </c>
    </row>
    <row r="1140" spans="10:13" x14ac:dyDescent="0.2">
      <c r="J1140" t="s">
        <v>5478</v>
      </c>
      <c r="K1140" t="s">
        <v>5541</v>
      </c>
      <c r="L1140" t="s">
        <v>5618</v>
      </c>
      <c r="M1140" t="s">
        <v>5618</v>
      </c>
    </row>
    <row r="1141" spans="10:13" x14ac:dyDescent="0.2">
      <c r="J1141" t="s">
        <v>5478</v>
      </c>
      <c r="K1141" t="s">
        <v>5549</v>
      </c>
      <c r="L1141" t="s">
        <v>5618</v>
      </c>
      <c r="M1141" t="s">
        <v>5619</v>
      </c>
    </row>
    <row r="1142" spans="10:13" x14ac:dyDescent="0.2">
      <c r="J1142" t="s">
        <v>5478</v>
      </c>
      <c r="K1142" t="s">
        <v>5541</v>
      </c>
      <c r="L1142" t="s">
        <v>5620</v>
      </c>
      <c r="M1142" t="s">
        <v>5620</v>
      </c>
    </row>
    <row r="1143" spans="10:13" x14ac:dyDescent="0.2">
      <c r="J1143" t="s">
        <v>5478</v>
      </c>
      <c r="K1143" t="s">
        <v>5541</v>
      </c>
      <c r="L1143" t="s">
        <v>5618</v>
      </c>
      <c r="M1143" t="s">
        <v>5618</v>
      </c>
    </row>
    <row r="1144" spans="10:13" x14ac:dyDescent="0.2">
      <c r="J1144" t="s">
        <v>5478</v>
      </c>
      <c r="K1144" t="s">
        <v>5549</v>
      </c>
      <c r="L1144" t="s">
        <v>5618</v>
      </c>
      <c r="M1144" t="s">
        <v>5618</v>
      </c>
    </row>
    <row r="1145" spans="10:13" x14ac:dyDescent="0.2">
      <c r="J1145" t="s">
        <v>5478</v>
      </c>
      <c r="K1145" t="s">
        <v>5541</v>
      </c>
      <c r="L1145" t="s">
        <v>5618</v>
      </c>
      <c r="M1145" t="s">
        <v>5618</v>
      </c>
    </row>
    <row r="1146" spans="10:13" x14ac:dyDescent="0.2">
      <c r="J1146" t="s">
        <v>5478</v>
      </c>
      <c r="K1146" t="s">
        <v>5541</v>
      </c>
      <c r="L1146" t="s">
        <v>5618</v>
      </c>
      <c r="M1146" t="s">
        <v>5618</v>
      </c>
    </row>
    <row r="1147" spans="10:13" x14ac:dyDescent="0.2">
      <c r="J1147" t="s">
        <v>5478</v>
      </c>
      <c r="K1147" t="s">
        <v>5541</v>
      </c>
      <c r="L1147" t="s">
        <v>5618</v>
      </c>
      <c r="M1147" t="s">
        <v>5618</v>
      </c>
    </row>
    <row r="1148" spans="10:13" x14ac:dyDescent="0.2">
      <c r="J1148" t="s">
        <v>5478</v>
      </c>
      <c r="K1148" t="s">
        <v>5541</v>
      </c>
      <c r="L1148" t="s">
        <v>5618</v>
      </c>
      <c r="M1148" t="s">
        <v>5618</v>
      </c>
    </row>
    <row r="1149" spans="10:13" x14ac:dyDescent="0.2">
      <c r="J1149" t="s">
        <v>5478</v>
      </c>
      <c r="K1149" t="s">
        <v>5549</v>
      </c>
      <c r="L1149" t="s">
        <v>5618</v>
      </c>
      <c r="M1149" t="s">
        <v>5623</v>
      </c>
    </row>
    <row r="1150" spans="10:13" x14ac:dyDescent="0.2">
      <c r="J1150" t="s">
        <v>5478</v>
      </c>
      <c r="K1150" t="s">
        <v>5549</v>
      </c>
      <c r="L1150" t="s">
        <v>5618</v>
      </c>
      <c r="M1150" t="s">
        <v>5618</v>
      </c>
    </row>
    <row r="1151" spans="10:13" x14ac:dyDescent="0.2">
      <c r="J1151" t="s">
        <v>5478</v>
      </c>
      <c r="K1151" t="s">
        <v>5541</v>
      </c>
      <c r="L1151" t="s">
        <v>5620</v>
      </c>
      <c r="M1151" t="s">
        <v>5627</v>
      </c>
    </row>
    <row r="1152" spans="10:13" x14ac:dyDescent="0.2">
      <c r="J1152" t="s">
        <v>5478</v>
      </c>
      <c r="K1152" t="s">
        <v>5549</v>
      </c>
      <c r="L1152" t="s">
        <v>5618</v>
      </c>
      <c r="M1152" t="s">
        <v>5624</v>
      </c>
    </row>
    <row r="1153" spans="10:13" x14ac:dyDescent="0.2">
      <c r="J1153" t="s">
        <v>5478</v>
      </c>
      <c r="K1153" t="s">
        <v>5549</v>
      </c>
      <c r="L1153" t="s">
        <v>5618</v>
      </c>
      <c r="M1153" t="s">
        <v>5618</v>
      </c>
    </row>
    <row r="1154" spans="10:13" x14ac:dyDescent="0.2">
      <c r="J1154" t="s">
        <v>5478</v>
      </c>
      <c r="K1154" t="s">
        <v>5541</v>
      </c>
      <c r="L1154" t="s">
        <v>5618</v>
      </c>
      <c r="M1154" t="s">
        <v>5623</v>
      </c>
    </row>
    <row r="1155" spans="10:13" x14ac:dyDescent="0.2">
      <c r="J1155" t="s">
        <v>5478</v>
      </c>
      <c r="K1155" t="s">
        <v>5549</v>
      </c>
      <c r="L1155" t="s">
        <v>5618</v>
      </c>
      <c r="M1155" t="s">
        <v>5624</v>
      </c>
    </row>
    <row r="1156" spans="10:13" x14ac:dyDescent="0.2">
      <c r="J1156" t="s">
        <v>5478</v>
      </c>
      <c r="K1156" t="s">
        <v>5549</v>
      </c>
      <c r="L1156" t="s">
        <v>5618</v>
      </c>
      <c r="M1156" t="s">
        <v>5619</v>
      </c>
    </row>
    <row r="1157" spans="10:13" x14ac:dyDescent="0.2">
      <c r="J1157" t="s">
        <v>5478</v>
      </c>
      <c r="K1157" t="s">
        <v>5549</v>
      </c>
      <c r="L1157" t="s">
        <v>5618</v>
      </c>
      <c r="M1157" t="s">
        <v>5624</v>
      </c>
    </row>
    <row r="1158" spans="10:13" x14ac:dyDescent="0.2">
      <c r="J1158" t="s">
        <v>5478</v>
      </c>
      <c r="K1158" t="s">
        <v>5549</v>
      </c>
      <c r="L1158" t="s">
        <v>5620</v>
      </c>
      <c r="M1158" t="s">
        <v>5626</v>
      </c>
    </row>
    <row r="1159" spans="10:13" x14ac:dyDescent="0.2">
      <c r="J1159" t="s">
        <v>5478</v>
      </c>
      <c r="K1159" t="s">
        <v>5549</v>
      </c>
      <c r="L1159" t="s">
        <v>5618</v>
      </c>
      <c r="M1159" t="s">
        <v>5618</v>
      </c>
    </row>
    <row r="1160" spans="10:13" x14ac:dyDescent="0.2">
      <c r="J1160" t="s">
        <v>5478</v>
      </c>
      <c r="K1160" t="s">
        <v>5549</v>
      </c>
      <c r="L1160" t="s">
        <v>5618</v>
      </c>
      <c r="M1160" t="s">
        <v>5619</v>
      </c>
    </row>
    <row r="1161" spans="10:13" x14ac:dyDescent="0.2">
      <c r="J1161" t="s">
        <v>5478</v>
      </c>
      <c r="K1161" t="s">
        <v>5541</v>
      </c>
      <c r="L1161" t="s">
        <v>5618</v>
      </c>
      <c r="M1161" t="s">
        <v>5618</v>
      </c>
    </row>
    <row r="1162" spans="10:13" x14ac:dyDescent="0.2">
      <c r="J1162" t="s">
        <v>5478</v>
      </c>
      <c r="K1162" t="s">
        <v>5549</v>
      </c>
      <c r="L1162" t="s">
        <v>5618</v>
      </c>
      <c r="M1162" t="s">
        <v>5623</v>
      </c>
    </row>
    <row r="1163" spans="10:13" x14ac:dyDescent="0.2">
      <c r="J1163" t="s">
        <v>5478</v>
      </c>
      <c r="K1163" t="s">
        <v>5549</v>
      </c>
      <c r="L1163" t="s">
        <v>5618</v>
      </c>
      <c r="M1163" t="s">
        <v>5618</v>
      </c>
    </row>
    <row r="1164" spans="10:13" x14ac:dyDescent="0.2">
      <c r="J1164" t="s">
        <v>5478</v>
      </c>
      <c r="K1164" t="s">
        <v>5549</v>
      </c>
      <c r="L1164" t="s">
        <v>5618</v>
      </c>
      <c r="M1164" t="s">
        <v>5618</v>
      </c>
    </row>
    <row r="1165" spans="10:13" x14ac:dyDescent="0.2">
      <c r="J1165" t="s">
        <v>5478</v>
      </c>
      <c r="K1165" t="s">
        <v>5549</v>
      </c>
      <c r="L1165" t="s">
        <v>5620</v>
      </c>
      <c r="M1165" t="s">
        <v>5621</v>
      </c>
    </row>
    <row r="1166" spans="10:13" x14ac:dyDescent="0.2">
      <c r="J1166" t="s">
        <v>5478</v>
      </c>
      <c r="K1166" t="s">
        <v>5549</v>
      </c>
      <c r="L1166" t="s">
        <v>5618</v>
      </c>
      <c r="M1166" t="s">
        <v>5624</v>
      </c>
    </row>
    <row r="1167" spans="10:13" x14ac:dyDescent="0.2">
      <c r="J1167" t="s">
        <v>5478</v>
      </c>
      <c r="K1167" t="s">
        <v>5549</v>
      </c>
      <c r="L1167" t="s">
        <v>5620</v>
      </c>
      <c r="M1167" t="s">
        <v>5621</v>
      </c>
    </row>
    <row r="1168" spans="10:13" x14ac:dyDescent="0.2">
      <c r="J1168" t="s">
        <v>5478</v>
      </c>
      <c r="K1168" t="s">
        <v>5549</v>
      </c>
      <c r="L1168" t="s">
        <v>5618</v>
      </c>
      <c r="M1168" t="s">
        <v>5623</v>
      </c>
    </row>
    <row r="1169" spans="10:13" x14ac:dyDescent="0.2">
      <c r="J1169" t="s">
        <v>5478</v>
      </c>
      <c r="K1169" t="s">
        <v>5549</v>
      </c>
      <c r="L1169" t="s">
        <v>5620</v>
      </c>
      <c r="M1169" t="s">
        <v>5621</v>
      </c>
    </row>
    <row r="1170" spans="10:13" x14ac:dyDescent="0.2">
      <c r="J1170" t="s">
        <v>5478</v>
      </c>
      <c r="K1170" t="s">
        <v>5549</v>
      </c>
      <c r="L1170" t="s">
        <v>5620</v>
      </c>
      <c r="M1170" t="s">
        <v>5621</v>
      </c>
    </row>
    <row r="1171" spans="10:13" x14ac:dyDescent="0.2">
      <c r="J1171" t="s">
        <v>5478</v>
      </c>
      <c r="K1171" t="s">
        <v>5541</v>
      </c>
      <c r="L1171" t="s">
        <v>5620</v>
      </c>
      <c r="M1171" t="s">
        <v>5620</v>
      </c>
    </row>
    <row r="1172" spans="10:13" x14ac:dyDescent="0.2">
      <c r="J1172" t="s">
        <v>5478</v>
      </c>
      <c r="K1172" t="s">
        <v>5549</v>
      </c>
      <c r="L1172" t="s">
        <v>5620</v>
      </c>
      <c r="M1172" t="s">
        <v>5621</v>
      </c>
    </row>
    <row r="1173" spans="10:13" x14ac:dyDescent="0.2">
      <c r="J1173" t="s">
        <v>5478</v>
      </c>
      <c r="K1173" t="s">
        <v>5541</v>
      </c>
      <c r="L1173" t="s">
        <v>5620</v>
      </c>
      <c r="M1173" t="s">
        <v>5620</v>
      </c>
    </row>
    <row r="1174" spans="10:13" x14ac:dyDescent="0.2">
      <c r="J1174" t="s">
        <v>5478</v>
      </c>
      <c r="K1174" t="s">
        <v>5549</v>
      </c>
      <c r="L1174" t="s">
        <v>5620</v>
      </c>
      <c r="M1174" t="s">
        <v>5622</v>
      </c>
    </row>
    <row r="1175" spans="10:13" x14ac:dyDescent="0.2">
      <c r="J1175" t="s">
        <v>5478</v>
      </c>
      <c r="K1175" t="s">
        <v>5541</v>
      </c>
      <c r="L1175" t="s">
        <v>5618</v>
      </c>
      <c r="M1175" t="s">
        <v>5618</v>
      </c>
    </row>
    <row r="1176" spans="10:13" x14ac:dyDescent="0.2">
      <c r="J1176" t="s">
        <v>5478</v>
      </c>
      <c r="K1176" t="s">
        <v>5549</v>
      </c>
      <c r="L1176" t="s">
        <v>5618</v>
      </c>
      <c r="M1176" t="s">
        <v>5623</v>
      </c>
    </row>
    <row r="1177" spans="10:13" x14ac:dyDescent="0.2">
      <c r="J1177" t="s">
        <v>5478</v>
      </c>
      <c r="K1177" t="s">
        <v>5549</v>
      </c>
      <c r="L1177" t="s">
        <v>5618</v>
      </c>
      <c r="M1177" t="s">
        <v>5624</v>
      </c>
    </row>
    <row r="1178" spans="10:13" x14ac:dyDescent="0.2">
      <c r="J1178" t="s">
        <v>5478</v>
      </c>
      <c r="K1178" t="s">
        <v>5549</v>
      </c>
      <c r="L1178" t="s">
        <v>5618</v>
      </c>
      <c r="M1178" t="s">
        <v>5618</v>
      </c>
    </row>
    <row r="1179" spans="10:13" x14ac:dyDescent="0.2">
      <c r="J1179" t="s">
        <v>5478</v>
      </c>
      <c r="K1179" t="s">
        <v>5549</v>
      </c>
      <c r="L1179" t="s">
        <v>5618</v>
      </c>
      <c r="M1179" t="s">
        <v>5624</v>
      </c>
    </row>
    <row r="1180" spans="10:13" x14ac:dyDescent="0.2">
      <c r="J1180" t="s">
        <v>5478</v>
      </c>
      <c r="K1180" t="s">
        <v>5549</v>
      </c>
      <c r="L1180" t="s">
        <v>5620</v>
      </c>
      <c r="M1180" t="s">
        <v>5625</v>
      </c>
    </row>
    <row r="1181" spans="10:13" x14ac:dyDescent="0.2">
      <c r="J1181" t="s">
        <v>5478</v>
      </c>
      <c r="K1181" t="s">
        <v>5549</v>
      </c>
      <c r="L1181" t="s">
        <v>5618</v>
      </c>
      <c r="M1181" t="s">
        <v>5624</v>
      </c>
    </row>
    <row r="1182" spans="10:13" x14ac:dyDescent="0.2">
      <c r="J1182" t="s">
        <v>5478</v>
      </c>
      <c r="K1182" t="s">
        <v>5541</v>
      </c>
      <c r="L1182" t="s">
        <v>5620</v>
      </c>
      <c r="M1182" t="s">
        <v>5625</v>
      </c>
    </row>
    <row r="1183" spans="10:13" x14ac:dyDescent="0.2">
      <c r="J1183" t="s">
        <v>5478</v>
      </c>
      <c r="K1183" t="s">
        <v>5549</v>
      </c>
      <c r="L1183" t="s">
        <v>5618</v>
      </c>
      <c r="M1183" t="s">
        <v>5618</v>
      </c>
    </row>
    <row r="1184" spans="10:13" x14ac:dyDescent="0.2">
      <c r="J1184" t="s">
        <v>5478</v>
      </c>
      <c r="K1184" t="s">
        <v>5549</v>
      </c>
      <c r="L1184" t="s">
        <v>5618</v>
      </c>
      <c r="M1184" t="s">
        <v>5623</v>
      </c>
    </row>
    <row r="1185" spans="10:13" x14ac:dyDescent="0.2">
      <c r="J1185" t="s">
        <v>5478</v>
      </c>
      <c r="K1185" t="s">
        <v>5549</v>
      </c>
      <c r="L1185" t="s">
        <v>5618</v>
      </c>
      <c r="M1185" t="s">
        <v>5623</v>
      </c>
    </row>
    <row r="1186" spans="10:13" x14ac:dyDescent="0.2">
      <c r="J1186" t="s">
        <v>5478</v>
      </c>
      <c r="K1186" t="s">
        <v>5549</v>
      </c>
      <c r="L1186" t="s">
        <v>5620</v>
      </c>
      <c r="M1186" t="s">
        <v>5622</v>
      </c>
    </row>
    <row r="1187" spans="10:13" x14ac:dyDescent="0.2">
      <c r="J1187" t="s">
        <v>5478</v>
      </c>
      <c r="K1187" t="s">
        <v>5549</v>
      </c>
      <c r="L1187" t="s">
        <v>5618</v>
      </c>
      <c r="M1187" t="s">
        <v>5623</v>
      </c>
    </row>
    <row r="1188" spans="10:13" x14ac:dyDescent="0.2">
      <c r="J1188" t="s">
        <v>5478</v>
      </c>
      <c r="K1188" t="s">
        <v>5549</v>
      </c>
      <c r="L1188" t="s">
        <v>5618</v>
      </c>
      <c r="M1188" t="s">
        <v>5623</v>
      </c>
    </row>
    <row r="1189" spans="10:13" x14ac:dyDescent="0.2">
      <c r="J1189" t="s">
        <v>5478</v>
      </c>
      <c r="K1189" t="s">
        <v>5549</v>
      </c>
      <c r="L1189" t="s">
        <v>5620</v>
      </c>
      <c r="M1189" t="s">
        <v>5621</v>
      </c>
    </row>
    <row r="1190" spans="10:13" x14ac:dyDescent="0.2">
      <c r="J1190" t="s">
        <v>5478</v>
      </c>
      <c r="K1190" t="s">
        <v>5541</v>
      </c>
      <c r="L1190" t="s">
        <v>5618</v>
      </c>
      <c r="M1190" t="s">
        <v>5618</v>
      </c>
    </row>
    <row r="1191" spans="10:13" x14ac:dyDescent="0.2">
      <c r="J1191" t="s">
        <v>5478</v>
      </c>
      <c r="K1191" t="s">
        <v>5549</v>
      </c>
      <c r="L1191" t="s">
        <v>5618</v>
      </c>
      <c r="M1191" t="s">
        <v>5623</v>
      </c>
    </row>
    <row r="1192" spans="10:13" x14ac:dyDescent="0.2">
      <c r="J1192" t="s">
        <v>5478</v>
      </c>
      <c r="K1192" t="s">
        <v>5541</v>
      </c>
      <c r="L1192" t="s">
        <v>5620</v>
      </c>
      <c r="M1192" t="s">
        <v>5620</v>
      </c>
    </row>
    <row r="1193" spans="10:13" x14ac:dyDescent="0.2">
      <c r="J1193" t="s">
        <v>5478</v>
      </c>
      <c r="K1193" t="s">
        <v>5549</v>
      </c>
      <c r="L1193" t="s">
        <v>5618</v>
      </c>
      <c r="M1193" t="s">
        <v>5624</v>
      </c>
    </row>
    <row r="1194" spans="10:13" x14ac:dyDescent="0.2">
      <c r="J1194" t="s">
        <v>5478</v>
      </c>
      <c r="K1194" t="s">
        <v>5549</v>
      </c>
      <c r="L1194" t="s">
        <v>5618</v>
      </c>
      <c r="M1194" t="s">
        <v>5623</v>
      </c>
    </row>
    <row r="1195" spans="10:13" x14ac:dyDescent="0.2">
      <c r="J1195" t="s">
        <v>5478</v>
      </c>
      <c r="K1195" t="s">
        <v>5549</v>
      </c>
      <c r="L1195" t="s">
        <v>5618</v>
      </c>
      <c r="M1195" t="s">
        <v>5624</v>
      </c>
    </row>
    <row r="1196" spans="10:13" x14ac:dyDescent="0.2">
      <c r="J1196" t="s">
        <v>5478</v>
      </c>
      <c r="K1196" t="s">
        <v>5541</v>
      </c>
      <c r="L1196" t="s">
        <v>5620</v>
      </c>
      <c r="M1196" t="s">
        <v>5627</v>
      </c>
    </row>
    <row r="1197" spans="10:13" x14ac:dyDescent="0.2">
      <c r="J1197" t="s">
        <v>5478</v>
      </c>
      <c r="K1197" t="s">
        <v>5549</v>
      </c>
      <c r="L1197" t="s">
        <v>5618</v>
      </c>
      <c r="M1197" t="s">
        <v>5624</v>
      </c>
    </row>
    <row r="1198" spans="10:13" x14ac:dyDescent="0.2">
      <c r="J1198" t="s">
        <v>5478</v>
      </c>
      <c r="K1198" t="s">
        <v>5549</v>
      </c>
      <c r="L1198" t="s">
        <v>5620</v>
      </c>
      <c r="M1198" t="s">
        <v>5622</v>
      </c>
    </row>
    <row r="1199" spans="10:13" x14ac:dyDescent="0.2">
      <c r="J1199" t="s">
        <v>5478</v>
      </c>
      <c r="K1199" t="s">
        <v>5541</v>
      </c>
      <c r="L1199" t="s">
        <v>5618</v>
      </c>
      <c r="M1199" t="s">
        <v>5618</v>
      </c>
    </row>
    <row r="1200" spans="10:13" x14ac:dyDescent="0.2">
      <c r="J1200" t="s">
        <v>5478</v>
      </c>
      <c r="K1200" t="s">
        <v>5541</v>
      </c>
      <c r="L1200" t="s">
        <v>5618</v>
      </c>
      <c r="M1200" t="s">
        <v>5618</v>
      </c>
    </row>
    <row r="1201" spans="10:13" x14ac:dyDescent="0.2">
      <c r="J1201" t="s">
        <v>5478</v>
      </c>
      <c r="K1201" t="s">
        <v>5541</v>
      </c>
      <c r="L1201" t="s">
        <v>5620</v>
      </c>
      <c r="M1201" t="s">
        <v>5621</v>
      </c>
    </row>
    <row r="1202" spans="10:13" x14ac:dyDescent="0.2">
      <c r="J1202" t="s">
        <v>5478</v>
      </c>
      <c r="K1202" t="s">
        <v>5549</v>
      </c>
      <c r="L1202" t="s">
        <v>5618</v>
      </c>
      <c r="M1202" t="s">
        <v>5618</v>
      </c>
    </row>
    <row r="1203" spans="10:13" x14ac:dyDescent="0.2">
      <c r="J1203" t="s">
        <v>5478</v>
      </c>
      <c r="K1203" t="s">
        <v>5541</v>
      </c>
      <c r="L1203" t="s">
        <v>5620</v>
      </c>
      <c r="M1203" t="s">
        <v>5621</v>
      </c>
    </row>
    <row r="1204" spans="10:13" x14ac:dyDescent="0.2">
      <c r="J1204" t="s">
        <v>5478</v>
      </c>
      <c r="K1204" t="s">
        <v>5549</v>
      </c>
      <c r="L1204" t="s">
        <v>5620</v>
      </c>
      <c r="M1204" t="s">
        <v>5625</v>
      </c>
    </row>
    <row r="1205" spans="10:13" x14ac:dyDescent="0.2">
      <c r="J1205" t="s">
        <v>5478</v>
      </c>
      <c r="K1205" t="s">
        <v>5541</v>
      </c>
      <c r="L1205" t="s">
        <v>5618</v>
      </c>
      <c r="M1205" t="s">
        <v>5618</v>
      </c>
    </row>
    <row r="1206" spans="10:13" x14ac:dyDescent="0.2">
      <c r="J1206" t="s">
        <v>5478</v>
      </c>
      <c r="K1206" t="s">
        <v>5541</v>
      </c>
      <c r="L1206" t="s">
        <v>5618</v>
      </c>
      <c r="M1206" t="s">
        <v>5618</v>
      </c>
    </row>
    <row r="1207" spans="10:13" x14ac:dyDescent="0.2">
      <c r="J1207" t="s">
        <v>5478</v>
      </c>
      <c r="K1207" t="s">
        <v>5549</v>
      </c>
      <c r="L1207" t="s">
        <v>5618</v>
      </c>
      <c r="M1207" t="s">
        <v>5624</v>
      </c>
    </row>
    <row r="1208" spans="10:13" x14ac:dyDescent="0.2">
      <c r="J1208" t="s">
        <v>5478</v>
      </c>
      <c r="K1208" t="s">
        <v>5549</v>
      </c>
      <c r="L1208" t="s">
        <v>5618</v>
      </c>
      <c r="M1208" t="s">
        <v>5624</v>
      </c>
    </row>
    <row r="1209" spans="10:13" x14ac:dyDescent="0.2">
      <c r="J1209" t="s">
        <v>5478</v>
      </c>
      <c r="K1209" t="s">
        <v>5549</v>
      </c>
      <c r="L1209" t="s">
        <v>5618</v>
      </c>
      <c r="M1209" t="s">
        <v>5624</v>
      </c>
    </row>
    <row r="1210" spans="10:13" x14ac:dyDescent="0.2">
      <c r="J1210" t="s">
        <v>5478</v>
      </c>
      <c r="K1210" t="s">
        <v>5549</v>
      </c>
      <c r="L1210" t="s">
        <v>5618</v>
      </c>
      <c r="M1210" t="s">
        <v>5618</v>
      </c>
    </row>
    <row r="1211" spans="10:13" x14ac:dyDescent="0.2">
      <c r="J1211" t="s">
        <v>5478</v>
      </c>
      <c r="K1211" t="s">
        <v>5541</v>
      </c>
      <c r="L1211" t="s">
        <v>5618</v>
      </c>
      <c r="M1211" t="s">
        <v>5618</v>
      </c>
    </row>
    <row r="1212" spans="10:13" x14ac:dyDescent="0.2">
      <c r="J1212" t="s">
        <v>5478</v>
      </c>
      <c r="K1212" t="s">
        <v>5549</v>
      </c>
      <c r="L1212" t="s">
        <v>5618</v>
      </c>
      <c r="M1212" t="s">
        <v>5624</v>
      </c>
    </row>
    <row r="1213" spans="10:13" x14ac:dyDescent="0.2">
      <c r="J1213" t="s">
        <v>5478</v>
      </c>
      <c r="K1213" t="s">
        <v>5549</v>
      </c>
      <c r="L1213" t="s">
        <v>5618</v>
      </c>
      <c r="M1213" t="s">
        <v>5618</v>
      </c>
    </row>
    <row r="1214" spans="10:13" x14ac:dyDescent="0.2">
      <c r="J1214" t="s">
        <v>5478</v>
      </c>
      <c r="K1214" t="s">
        <v>5541</v>
      </c>
      <c r="L1214" t="s">
        <v>5620</v>
      </c>
      <c r="M1214" t="s">
        <v>5627</v>
      </c>
    </row>
    <row r="1215" spans="10:13" x14ac:dyDescent="0.2">
      <c r="J1215" t="s">
        <v>5478</v>
      </c>
      <c r="K1215" t="s">
        <v>5541</v>
      </c>
      <c r="L1215" t="s">
        <v>5620</v>
      </c>
      <c r="M1215" t="s">
        <v>5620</v>
      </c>
    </row>
    <row r="1216" spans="10:13" x14ac:dyDescent="0.2">
      <c r="J1216" t="s">
        <v>5478</v>
      </c>
      <c r="K1216" t="s">
        <v>5549</v>
      </c>
      <c r="L1216" t="s">
        <v>5618</v>
      </c>
      <c r="M1216" t="s">
        <v>5630</v>
      </c>
    </row>
    <row r="1217" spans="10:13" x14ac:dyDescent="0.2">
      <c r="J1217" t="s">
        <v>5478</v>
      </c>
      <c r="K1217" t="s">
        <v>5549</v>
      </c>
      <c r="L1217" t="s">
        <v>5618</v>
      </c>
      <c r="M1217" t="s">
        <v>5623</v>
      </c>
    </row>
    <row r="1218" spans="10:13" x14ac:dyDescent="0.2">
      <c r="J1218" t="s">
        <v>5478</v>
      </c>
      <c r="K1218" t="s">
        <v>5541</v>
      </c>
      <c r="L1218" t="s">
        <v>5620</v>
      </c>
      <c r="M1218" t="s">
        <v>5627</v>
      </c>
    </row>
    <row r="1219" spans="10:13" x14ac:dyDescent="0.2">
      <c r="J1219" t="s">
        <v>5478</v>
      </c>
      <c r="K1219" t="s">
        <v>5549</v>
      </c>
      <c r="L1219" t="s">
        <v>5618</v>
      </c>
      <c r="M1219" t="s">
        <v>5623</v>
      </c>
    </row>
    <row r="1220" spans="10:13" x14ac:dyDescent="0.2">
      <c r="J1220" t="s">
        <v>5478</v>
      </c>
      <c r="K1220" t="s">
        <v>5541</v>
      </c>
      <c r="L1220" t="s">
        <v>5618</v>
      </c>
      <c r="M1220" t="s">
        <v>5623</v>
      </c>
    </row>
    <row r="1221" spans="10:13" x14ac:dyDescent="0.2">
      <c r="J1221" t="s">
        <v>5478</v>
      </c>
      <c r="K1221" t="s">
        <v>5549</v>
      </c>
      <c r="L1221" t="s">
        <v>5618</v>
      </c>
      <c r="M1221" t="s">
        <v>5623</v>
      </c>
    </row>
    <row r="1222" spans="10:13" x14ac:dyDescent="0.2">
      <c r="J1222" t="s">
        <v>5478</v>
      </c>
      <c r="K1222" t="s">
        <v>5549</v>
      </c>
      <c r="L1222" t="s">
        <v>5618</v>
      </c>
      <c r="M1222" t="s">
        <v>5619</v>
      </c>
    </row>
    <row r="1223" spans="10:13" x14ac:dyDescent="0.2">
      <c r="J1223" t="s">
        <v>5478</v>
      </c>
      <c r="K1223" t="s">
        <v>5549</v>
      </c>
      <c r="L1223" t="s">
        <v>5618</v>
      </c>
      <c r="M1223" t="s">
        <v>5619</v>
      </c>
    </row>
    <row r="1224" spans="10:13" x14ac:dyDescent="0.2">
      <c r="J1224" t="s">
        <v>5478</v>
      </c>
      <c r="K1224" t="s">
        <v>5541</v>
      </c>
      <c r="L1224" t="s">
        <v>5618</v>
      </c>
      <c r="M1224" t="s">
        <v>5623</v>
      </c>
    </row>
    <row r="1225" spans="10:13" x14ac:dyDescent="0.2">
      <c r="J1225" t="s">
        <v>5478</v>
      </c>
      <c r="K1225" t="s">
        <v>5541</v>
      </c>
      <c r="L1225" t="s">
        <v>5618</v>
      </c>
      <c r="M1225" t="s">
        <v>5619</v>
      </c>
    </row>
    <row r="1226" spans="10:13" x14ac:dyDescent="0.2">
      <c r="J1226" t="s">
        <v>5478</v>
      </c>
      <c r="K1226" t="s">
        <v>5541</v>
      </c>
      <c r="L1226" t="s">
        <v>5618</v>
      </c>
      <c r="M1226" t="s">
        <v>5618</v>
      </c>
    </row>
    <row r="1227" spans="10:13" x14ac:dyDescent="0.2">
      <c r="J1227" t="s">
        <v>5478</v>
      </c>
      <c r="K1227" t="s">
        <v>5549</v>
      </c>
      <c r="L1227" t="s">
        <v>5620</v>
      </c>
      <c r="M1227" t="s">
        <v>5628</v>
      </c>
    </row>
    <row r="1228" spans="10:13" x14ac:dyDescent="0.2">
      <c r="J1228" t="s">
        <v>5478</v>
      </c>
      <c r="K1228" t="s">
        <v>5549</v>
      </c>
      <c r="L1228" t="s">
        <v>5618</v>
      </c>
      <c r="M1228" t="s">
        <v>5618</v>
      </c>
    </row>
    <row r="1229" spans="10:13" x14ac:dyDescent="0.2">
      <c r="J1229" t="s">
        <v>5478</v>
      </c>
      <c r="K1229" t="s">
        <v>5549</v>
      </c>
      <c r="L1229" t="s">
        <v>5618</v>
      </c>
      <c r="M1229" t="s">
        <v>5623</v>
      </c>
    </row>
    <row r="1230" spans="10:13" x14ac:dyDescent="0.2">
      <c r="J1230" t="s">
        <v>5478</v>
      </c>
      <c r="K1230" t="s">
        <v>5549</v>
      </c>
      <c r="L1230" t="s">
        <v>5618</v>
      </c>
      <c r="M1230" t="s">
        <v>5623</v>
      </c>
    </row>
    <row r="1231" spans="10:13" x14ac:dyDescent="0.2">
      <c r="J1231" t="s">
        <v>5478</v>
      </c>
      <c r="K1231" t="s">
        <v>5549</v>
      </c>
      <c r="L1231" t="s">
        <v>5618</v>
      </c>
      <c r="M1231" t="s">
        <v>5623</v>
      </c>
    </row>
    <row r="1232" spans="10:13" x14ac:dyDescent="0.2">
      <c r="J1232" t="s">
        <v>5478</v>
      </c>
      <c r="K1232" t="s">
        <v>5549</v>
      </c>
      <c r="L1232" t="s">
        <v>5620</v>
      </c>
      <c r="M1232" t="s">
        <v>5622</v>
      </c>
    </row>
    <row r="1233" spans="10:13" x14ac:dyDescent="0.2">
      <c r="J1233" t="s">
        <v>5478</v>
      </c>
      <c r="K1233" t="s">
        <v>5541</v>
      </c>
      <c r="L1233" t="s">
        <v>5618</v>
      </c>
      <c r="M1233" t="s">
        <v>5618</v>
      </c>
    </row>
    <row r="1234" spans="10:13" x14ac:dyDescent="0.2">
      <c r="J1234" t="s">
        <v>5478</v>
      </c>
      <c r="K1234" t="s">
        <v>5549</v>
      </c>
      <c r="L1234" t="s">
        <v>5620</v>
      </c>
      <c r="M1234" t="s">
        <v>5629</v>
      </c>
    </row>
    <row r="1235" spans="10:13" x14ac:dyDescent="0.2">
      <c r="J1235" t="s">
        <v>5478</v>
      </c>
      <c r="K1235" t="s">
        <v>5549</v>
      </c>
      <c r="L1235" t="s">
        <v>5618</v>
      </c>
      <c r="M1235" t="s">
        <v>5618</v>
      </c>
    </row>
    <row r="1236" spans="10:13" x14ac:dyDescent="0.2">
      <c r="J1236" t="s">
        <v>5478</v>
      </c>
      <c r="K1236" t="s">
        <v>5541</v>
      </c>
      <c r="L1236" t="s">
        <v>5620</v>
      </c>
      <c r="M1236" t="s">
        <v>5620</v>
      </c>
    </row>
    <row r="1237" spans="10:13" x14ac:dyDescent="0.2">
      <c r="J1237" t="s">
        <v>5478</v>
      </c>
      <c r="K1237" t="s">
        <v>5549</v>
      </c>
      <c r="L1237" t="s">
        <v>5618</v>
      </c>
      <c r="M1237" t="s">
        <v>5619</v>
      </c>
    </row>
    <row r="1238" spans="10:13" x14ac:dyDescent="0.2">
      <c r="J1238" t="s">
        <v>5478</v>
      </c>
      <c r="K1238" t="s">
        <v>5549</v>
      </c>
      <c r="L1238" t="s">
        <v>5618</v>
      </c>
      <c r="M1238" t="s">
        <v>5618</v>
      </c>
    </row>
    <row r="1239" spans="10:13" x14ac:dyDescent="0.2">
      <c r="J1239" t="s">
        <v>5478</v>
      </c>
      <c r="K1239" t="s">
        <v>5541</v>
      </c>
      <c r="L1239" t="s">
        <v>5620</v>
      </c>
      <c r="M1239" t="s">
        <v>5620</v>
      </c>
    </row>
    <row r="1240" spans="10:13" x14ac:dyDescent="0.2">
      <c r="J1240" t="s">
        <v>5478</v>
      </c>
      <c r="K1240" t="s">
        <v>5541</v>
      </c>
      <c r="L1240" t="s">
        <v>5620</v>
      </c>
      <c r="M1240" t="s">
        <v>5621</v>
      </c>
    </row>
    <row r="1241" spans="10:13" x14ac:dyDescent="0.2">
      <c r="J1241" t="s">
        <v>5478</v>
      </c>
      <c r="K1241" t="s">
        <v>5549</v>
      </c>
      <c r="L1241" t="s">
        <v>5618</v>
      </c>
      <c r="M1241" t="s">
        <v>5624</v>
      </c>
    </row>
    <row r="1242" spans="10:13" x14ac:dyDescent="0.2">
      <c r="J1242" t="s">
        <v>5478</v>
      </c>
      <c r="K1242" t="s">
        <v>5549</v>
      </c>
      <c r="L1242" t="s">
        <v>5620</v>
      </c>
      <c r="M1242" t="s">
        <v>5625</v>
      </c>
    </row>
    <row r="1243" spans="10:13" x14ac:dyDescent="0.2">
      <c r="J1243" t="s">
        <v>5478</v>
      </c>
      <c r="K1243" t="s">
        <v>5549</v>
      </c>
      <c r="L1243" t="s">
        <v>5618</v>
      </c>
      <c r="M1243" t="s">
        <v>5624</v>
      </c>
    </row>
    <row r="1244" spans="10:13" x14ac:dyDescent="0.2">
      <c r="J1244" t="s">
        <v>5478</v>
      </c>
      <c r="K1244" t="s">
        <v>5549</v>
      </c>
      <c r="L1244" t="s">
        <v>5618</v>
      </c>
      <c r="M1244" t="s">
        <v>5624</v>
      </c>
    </row>
    <row r="1245" spans="10:13" x14ac:dyDescent="0.2">
      <c r="J1245" t="s">
        <v>5478</v>
      </c>
      <c r="K1245" t="s">
        <v>5549</v>
      </c>
      <c r="L1245" t="s">
        <v>5618</v>
      </c>
      <c r="M1245" t="s">
        <v>5624</v>
      </c>
    </row>
    <row r="1246" spans="10:13" x14ac:dyDescent="0.2">
      <c r="J1246" t="s">
        <v>5478</v>
      </c>
      <c r="K1246" t="s">
        <v>5549</v>
      </c>
      <c r="L1246" t="s">
        <v>5618</v>
      </c>
      <c r="M1246" t="s">
        <v>5619</v>
      </c>
    </row>
    <row r="1247" spans="10:13" x14ac:dyDescent="0.2">
      <c r="J1247" t="s">
        <v>5478</v>
      </c>
      <c r="K1247" t="s">
        <v>5541</v>
      </c>
      <c r="L1247" t="s">
        <v>5620</v>
      </c>
      <c r="M1247" t="s">
        <v>5620</v>
      </c>
    </row>
    <row r="1248" spans="10:13" x14ac:dyDescent="0.2">
      <c r="J1248" t="s">
        <v>5478</v>
      </c>
      <c r="K1248" t="s">
        <v>5549</v>
      </c>
      <c r="L1248" t="s">
        <v>5618</v>
      </c>
      <c r="M1248" t="s">
        <v>5624</v>
      </c>
    </row>
    <row r="1249" spans="10:13" x14ac:dyDescent="0.2">
      <c r="J1249" t="s">
        <v>5478</v>
      </c>
      <c r="K1249" t="s">
        <v>5549</v>
      </c>
      <c r="L1249" t="s">
        <v>5618</v>
      </c>
      <c r="M1249" t="s">
        <v>5619</v>
      </c>
    </row>
    <row r="1250" spans="10:13" x14ac:dyDescent="0.2">
      <c r="J1250" t="s">
        <v>5478</v>
      </c>
      <c r="K1250" t="s">
        <v>5549</v>
      </c>
      <c r="L1250" t="s">
        <v>5618</v>
      </c>
      <c r="M1250" t="s">
        <v>5623</v>
      </c>
    </row>
    <row r="1251" spans="10:13" x14ac:dyDescent="0.2">
      <c r="J1251" t="s">
        <v>5478</v>
      </c>
      <c r="K1251" t="s">
        <v>5541</v>
      </c>
      <c r="L1251" t="s">
        <v>5620</v>
      </c>
      <c r="M1251" t="s">
        <v>5620</v>
      </c>
    </row>
    <row r="1252" spans="10:13" x14ac:dyDescent="0.2">
      <c r="J1252" t="s">
        <v>5478</v>
      </c>
      <c r="K1252" t="s">
        <v>5549</v>
      </c>
      <c r="L1252" t="s">
        <v>5618</v>
      </c>
      <c r="M1252" t="s">
        <v>5624</v>
      </c>
    </row>
    <row r="1253" spans="10:13" x14ac:dyDescent="0.2">
      <c r="J1253" t="s">
        <v>5478</v>
      </c>
      <c r="K1253" t="s">
        <v>5541</v>
      </c>
      <c r="L1253" t="s">
        <v>5620</v>
      </c>
      <c r="M1253" t="s">
        <v>5620</v>
      </c>
    </row>
    <row r="1254" spans="10:13" x14ac:dyDescent="0.2">
      <c r="J1254" t="s">
        <v>5478</v>
      </c>
      <c r="K1254" t="s">
        <v>5541</v>
      </c>
      <c r="L1254" t="s">
        <v>5620</v>
      </c>
      <c r="M1254" t="s">
        <v>5627</v>
      </c>
    </row>
    <row r="1255" spans="10:13" x14ac:dyDescent="0.2">
      <c r="J1255" t="s">
        <v>5478</v>
      </c>
      <c r="K1255" t="s">
        <v>5541</v>
      </c>
      <c r="L1255" t="s">
        <v>5618</v>
      </c>
      <c r="M1255" t="s">
        <v>5618</v>
      </c>
    </row>
    <row r="1256" spans="10:13" x14ac:dyDescent="0.2">
      <c r="J1256" t="s">
        <v>5478</v>
      </c>
      <c r="K1256" t="s">
        <v>5541</v>
      </c>
      <c r="L1256" t="s">
        <v>5618</v>
      </c>
      <c r="M1256" t="s">
        <v>5618</v>
      </c>
    </row>
    <row r="1257" spans="10:13" x14ac:dyDescent="0.2">
      <c r="J1257" t="s">
        <v>5478</v>
      </c>
      <c r="K1257" t="s">
        <v>5541</v>
      </c>
      <c r="L1257" t="s">
        <v>5620</v>
      </c>
      <c r="M1257" t="s">
        <v>5620</v>
      </c>
    </row>
    <row r="1258" spans="10:13" x14ac:dyDescent="0.2">
      <c r="J1258" t="s">
        <v>5478</v>
      </c>
      <c r="K1258" t="s">
        <v>5549</v>
      </c>
      <c r="L1258" t="s">
        <v>5618</v>
      </c>
      <c r="M1258" t="s">
        <v>5618</v>
      </c>
    </row>
    <row r="1259" spans="10:13" x14ac:dyDescent="0.2">
      <c r="J1259" t="s">
        <v>5478</v>
      </c>
      <c r="K1259" t="s">
        <v>5549</v>
      </c>
      <c r="L1259" t="s">
        <v>5618</v>
      </c>
      <c r="M1259" t="s">
        <v>5623</v>
      </c>
    </row>
    <row r="1260" spans="10:13" x14ac:dyDescent="0.2">
      <c r="J1260" t="s">
        <v>5478</v>
      </c>
      <c r="K1260" t="s">
        <v>5549</v>
      </c>
      <c r="L1260" t="s">
        <v>5618</v>
      </c>
      <c r="M1260" t="s">
        <v>5623</v>
      </c>
    </row>
    <row r="1261" spans="10:13" x14ac:dyDescent="0.2">
      <c r="J1261" t="s">
        <v>5478</v>
      </c>
      <c r="K1261" t="s">
        <v>5541</v>
      </c>
      <c r="L1261" t="s">
        <v>5618</v>
      </c>
      <c r="M1261" t="s">
        <v>5618</v>
      </c>
    </row>
    <row r="1262" spans="10:13" x14ac:dyDescent="0.2">
      <c r="J1262" t="s">
        <v>5478</v>
      </c>
      <c r="K1262" t="s">
        <v>5541</v>
      </c>
      <c r="L1262" t="s">
        <v>5620</v>
      </c>
      <c r="M1262" t="s">
        <v>5625</v>
      </c>
    </row>
    <row r="1263" spans="10:13" x14ac:dyDescent="0.2">
      <c r="J1263" t="s">
        <v>5478</v>
      </c>
      <c r="K1263" t="s">
        <v>5549</v>
      </c>
      <c r="L1263" t="s">
        <v>5618</v>
      </c>
      <c r="M1263" t="s">
        <v>5618</v>
      </c>
    </row>
    <row r="1264" spans="10:13" x14ac:dyDescent="0.2">
      <c r="J1264" t="s">
        <v>5478</v>
      </c>
      <c r="K1264" t="s">
        <v>5549</v>
      </c>
      <c r="L1264" t="s">
        <v>5618</v>
      </c>
      <c r="M1264" t="s">
        <v>5623</v>
      </c>
    </row>
    <row r="1265" spans="10:13" x14ac:dyDescent="0.2">
      <c r="J1265" t="s">
        <v>5478</v>
      </c>
      <c r="K1265" t="s">
        <v>5549</v>
      </c>
      <c r="L1265" t="s">
        <v>5618</v>
      </c>
      <c r="M1265" t="s">
        <v>5623</v>
      </c>
    </row>
    <row r="1266" spans="10:13" x14ac:dyDescent="0.2">
      <c r="J1266" t="s">
        <v>5478</v>
      </c>
      <c r="K1266" t="s">
        <v>5549</v>
      </c>
      <c r="L1266" t="s">
        <v>5618</v>
      </c>
      <c r="M1266" t="s">
        <v>5623</v>
      </c>
    </row>
    <row r="1267" spans="10:13" x14ac:dyDescent="0.2">
      <c r="J1267" t="s">
        <v>5478</v>
      </c>
      <c r="K1267" t="s">
        <v>5549</v>
      </c>
      <c r="L1267" t="s">
        <v>5618</v>
      </c>
      <c r="M1267" t="s">
        <v>5618</v>
      </c>
    </row>
    <row r="1268" spans="10:13" x14ac:dyDescent="0.2">
      <c r="J1268" t="s">
        <v>5478</v>
      </c>
      <c r="K1268" t="s">
        <v>5541</v>
      </c>
      <c r="L1268" t="s">
        <v>5620</v>
      </c>
      <c r="M1268" t="s">
        <v>5625</v>
      </c>
    </row>
    <row r="1269" spans="10:13" x14ac:dyDescent="0.2">
      <c r="J1269" t="s">
        <v>5478</v>
      </c>
      <c r="K1269" t="s">
        <v>5549</v>
      </c>
      <c r="L1269" t="s">
        <v>5618</v>
      </c>
      <c r="M1269" t="s">
        <v>5623</v>
      </c>
    </row>
    <row r="1270" spans="10:13" x14ac:dyDescent="0.2">
      <c r="J1270" t="s">
        <v>5478</v>
      </c>
      <c r="K1270" t="s">
        <v>5541</v>
      </c>
      <c r="L1270" t="s">
        <v>5618</v>
      </c>
      <c r="M1270" t="s">
        <v>5618</v>
      </c>
    </row>
    <row r="1271" spans="10:13" x14ac:dyDescent="0.2">
      <c r="J1271" t="s">
        <v>5478</v>
      </c>
      <c r="K1271" t="s">
        <v>5541</v>
      </c>
      <c r="L1271" t="s">
        <v>5618</v>
      </c>
      <c r="M1271" t="s">
        <v>5618</v>
      </c>
    </row>
    <row r="1272" spans="10:13" x14ac:dyDescent="0.2">
      <c r="J1272" t="s">
        <v>5478</v>
      </c>
      <c r="K1272" t="s">
        <v>5549</v>
      </c>
      <c r="L1272" t="s">
        <v>5618</v>
      </c>
      <c r="M1272" t="s">
        <v>5618</v>
      </c>
    </row>
    <row r="1273" spans="10:13" x14ac:dyDescent="0.2">
      <c r="J1273" t="s">
        <v>5478</v>
      </c>
      <c r="K1273" t="s">
        <v>5541</v>
      </c>
      <c r="L1273" t="s">
        <v>5618</v>
      </c>
      <c r="M1273" t="s">
        <v>5623</v>
      </c>
    </row>
    <row r="1274" spans="10:13" x14ac:dyDescent="0.2">
      <c r="J1274" t="s">
        <v>5478</v>
      </c>
      <c r="K1274" t="s">
        <v>5541</v>
      </c>
      <c r="L1274" t="s">
        <v>5620</v>
      </c>
      <c r="M1274" t="s">
        <v>5627</v>
      </c>
    </row>
    <row r="1275" spans="10:13" x14ac:dyDescent="0.2">
      <c r="J1275" t="s">
        <v>5478</v>
      </c>
      <c r="K1275" t="s">
        <v>5541</v>
      </c>
      <c r="L1275" t="s">
        <v>5618</v>
      </c>
      <c r="M1275" t="s">
        <v>5618</v>
      </c>
    </row>
    <row r="1276" spans="10:13" x14ac:dyDescent="0.2">
      <c r="J1276" t="s">
        <v>5478</v>
      </c>
      <c r="K1276" t="s">
        <v>5549</v>
      </c>
      <c r="L1276" t="s">
        <v>5618</v>
      </c>
      <c r="M1276" t="s">
        <v>5630</v>
      </c>
    </row>
    <row r="1277" spans="10:13" x14ac:dyDescent="0.2">
      <c r="J1277" t="s">
        <v>5478</v>
      </c>
      <c r="K1277" t="s">
        <v>5541</v>
      </c>
      <c r="L1277" t="s">
        <v>5618</v>
      </c>
      <c r="M1277" t="s">
        <v>5618</v>
      </c>
    </row>
    <row r="1278" spans="10:13" x14ac:dyDescent="0.2">
      <c r="J1278" t="s">
        <v>5478</v>
      </c>
      <c r="K1278" t="s">
        <v>5549</v>
      </c>
      <c r="L1278" t="s">
        <v>5618</v>
      </c>
      <c r="M1278" t="s">
        <v>5619</v>
      </c>
    </row>
    <row r="1279" spans="10:13" x14ac:dyDescent="0.2">
      <c r="J1279" t="s">
        <v>5478</v>
      </c>
      <c r="K1279" t="s">
        <v>5549</v>
      </c>
      <c r="L1279" t="s">
        <v>5618</v>
      </c>
      <c r="M1279" t="s">
        <v>5618</v>
      </c>
    </row>
    <row r="1280" spans="10:13" x14ac:dyDescent="0.2">
      <c r="J1280" t="s">
        <v>5478</v>
      </c>
      <c r="K1280" t="s">
        <v>5541</v>
      </c>
      <c r="L1280" t="s">
        <v>5618</v>
      </c>
      <c r="M1280" t="s">
        <v>5618</v>
      </c>
    </row>
    <row r="1281" spans="10:13" x14ac:dyDescent="0.2">
      <c r="J1281" t="s">
        <v>5478</v>
      </c>
      <c r="K1281" t="s">
        <v>5549</v>
      </c>
      <c r="L1281" t="s">
        <v>5618</v>
      </c>
      <c r="M1281" t="s">
        <v>5623</v>
      </c>
    </row>
    <row r="1282" spans="10:13" x14ac:dyDescent="0.2">
      <c r="J1282" t="s">
        <v>5478</v>
      </c>
      <c r="K1282" t="s">
        <v>5541</v>
      </c>
      <c r="L1282" t="s">
        <v>5618</v>
      </c>
      <c r="M1282" t="s">
        <v>5618</v>
      </c>
    </row>
    <row r="1283" spans="10:13" x14ac:dyDescent="0.2">
      <c r="J1283" t="s">
        <v>5478</v>
      </c>
      <c r="K1283" t="s">
        <v>5541</v>
      </c>
      <c r="L1283" t="s">
        <v>5620</v>
      </c>
      <c r="M1283" t="s">
        <v>5620</v>
      </c>
    </row>
    <row r="1284" spans="10:13" x14ac:dyDescent="0.2">
      <c r="J1284" t="s">
        <v>5478</v>
      </c>
      <c r="K1284" t="s">
        <v>5549</v>
      </c>
      <c r="L1284" t="s">
        <v>5618</v>
      </c>
      <c r="M1284" t="s">
        <v>5618</v>
      </c>
    </row>
    <row r="1285" spans="10:13" x14ac:dyDescent="0.2">
      <c r="J1285" t="s">
        <v>5478</v>
      </c>
      <c r="K1285" t="s">
        <v>5541</v>
      </c>
      <c r="L1285" t="s">
        <v>5618</v>
      </c>
      <c r="M1285" t="s">
        <v>5618</v>
      </c>
    </row>
    <row r="1286" spans="10:13" x14ac:dyDescent="0.2">
      <c r="J1286" t="s">
        <v>5478</v>
      </c>
      <c r="K1286" t="s">
        <v>5549</v>
      </c>
      <c r="L1286" t="s">
        <v>5618</v>
      </c>
      <c r="M1286" t="s">
        <v>5619</v>
      </c>
    </row>
    <row r="1287" spans="10:13" x14ac:dyDescent="0.2">
      <c r="J1287" t="s">
        <v>5478</v>
      </c>
      <c r="K1287" t="s">
        <v>5549</v>
      </c>
      <c r="L1287" t="s">
        <v>5618</v>
      </c>
      <c r="M1287" t="s">
        <v>5618</v>
      </c>
    </row>
    <row r="1288" spans="10:13" x14ac:dyDescent="0.2">
      <c r="J1288" t="s">
        <v>5478</v>
      </c>
      <c r="K1288" t="s">
        <v>5541</v>
      </c>
      <c r="L1288" t="s">
        <v>5634</v>
      </c>
      <c r="M1288" t="s">
        <v>5634</v>
      </c>
    </row>
    <row r="1289" spans="10:13" x14ac:dyDescent="0.2">
      <c r="J1289" t="s">
        <v>5478</v>
      </c>
      <c r="K1289" t="s">
        <v>5549</v>
      </c>
      <c r="L1289" t="s">
        <v>5618</v>
      </c>
      <c r="M1289" t="s">
        <v>5618</v>
      </c>
    </row>
    <row r="1290" spans="10:13" x14ac:dyDescent="0.2">
      <c r="J1290" t="s">
        <v>5478</v>
      </c>
      <c r="K1290" t="s">
        <v>5549</v>
      </c>
      <c r="L1290" t="s">
        <v>5618</v>
      </c>
      <c r="M1290" t="s">
        <v>5618</v>
      </c>
    </row>
    <row r="1291" spans="10:13" x14ac:dyDescent="0.2">
      <c r="J1291" t="s">
        <v>5478</v>
      </c>
      <c r="K1291" t="s">
        <v>5549</v>
      </c>
      <c r="L1291" t="s">
        <v>5618</v>
      </c>
      <c r="M1291" t="s">
        <v>5618</v>
      </c>
    </row>
    <row r="1292" spans="10:13" x14ac:dyDescent="0.2">
      <c r="J1292" t="s">
        <v>5478</v>
      </c>
      <c r="K1292" t="s">
        <v>5541</v>
      </c>
      <c r="L1292" t="s">
        <v>5618</v>
      </c>
      <c r="M1292" t="s">
        <v>5623</v>
      </c>
    </row>
    <row r="1293" spans="10:13" x14ac:dyDescent="0.2">
      <c r="J1293" t="s">
        <v>5478</v>
      </c>
      <c r="K1293" t="s">
        <v>5541</v>
      </c>
      <c r="L1293" t="s">
        <v>5618</v>
      </c>
      <c r="M1293" t="s">
        <v>5623</v>
      </c>
    </row>
    <row r="1294" spans="10:13" x14ac:dyDescent="0.2">
      <c r="J1294" t="s">
        <v>5478</v>
      </c>
      <c r="K1294" t="s">
        <v>5541</v>
      </c>
      <c r="L1294" t="s">
        <v>5620</v>
      </c>
      <c r="M1294" t="s">
        <v>5621</v>
      </c>
    </row>
    <row r="1295" spans="10:13" x14ac:dyDescent="0.2">
      <c r="J1295" t="s">
        <v>5478</v>
      </c>
      <c r="K1295" t="s">
        <v>5549</v>
      </c>
      <c r="L1295" t="s">
        <v>5618</v>
      </c>
      <c r="M1295" t="s">
        <v>5624</v>
      </c>
    </row>
    <row r="1296" spans="10:13" x14ac:dyDescent="0.2">
      <c r="J1296" t="s">
        <v>5478</v>
      </c>
      <c r="K1296" t="s">
        <v>5541</v>
      </c>
      <c r="L1296" t="s">
        <v>5618</v>
      </c>
      <c r="M1296" t="s">
        <v>5618</v>
      </c>
    </row>
    <row r="1297" spans="10:13" x14ac:dyDescent="0.2">
      <c r="J1297" t="s">
        <v>5492</v>
      </c>
      <c r="K1297" t="s">
        <v>5541</v>
      </c>
      <c r="L1297" t="s">
        <v>5618</v>
      </c>
      <c r="M1297" t="s">
        <v>5623</v>
      </c>
    </row>
    <row r="1298" spans="10:13" x14ac:dyDescent="0.2">
      <c r="J1298" t="s">
        <v>5492</v>
      </c>
      <c r="K1298" t="s">
        <v>5549</v>
      </c>
      <c r="L1298" t="s">
        <v>5618</v>
      </c>
      <c r="M1298" t="s">
        <v>5619</v>
      </c>
    </row>
    <row r="1299" spans="10:13" x14ac:dyDescent="0.2">
      <c r="J1299" t="s">
        <v>5492</v>
      </c>
      <c r="K1299" t="s">
        <v>5541</v>
      </c>
      <c r="L1299" t="s">
        <v>5620</v>
      </c>
      <c r="M1299" t="s">
        <v>5627</v>
      </c>
    </row>
    <row r="1300" spans="10:13" x14ac:dyDescent="0.2">
      <c r="J1300" t="s">
        <v>5492</v>
      </c>
      <c r="K1300" t="s">
        <v>5549</v>
      </c>
      <c r="L1300" t="s">
        <v>5618</v>
      </c>
      <c r="M1300" t="s">
        <v>5618</v>
      </c>
    </row>
    <row r="1301" spans="10:13" x14ac:dyDescent="0.2">
      <c r="J1301" t="s">
        <v>5492</v>
      </c>
      <c r="K1301" t="s">
        <v>5549</v>
      </c>
      <c r="L1301" t="s">
        <v>5618</v>
      </c>
      <c r="M1301" t="s">
        <v>5618</v>
      </c>
    </row>
    <row r="1302" spans="10:13" x14ac:dyDescent="0.2">
      <c r="J1302" t="s">
        <v>5492</v>
      </c>
      <c r="K1302" t="s">
        <v>5541</v>
      </c>
      <c r="L1302" t="s">
        <v>5618</v>
      </c>
      <c r="M1302" t="s">
        <v>5623</v>
      </c>
    </row>
    <row r="1303" spans="10:13" x14ac:dyDescent="0.2">
      <c r="J1303" t="s">
        <v>5492</v>
      </c>
      <c r="K1303" t="s">
        <v>5541</v>
      </c>
      <c r="L1303" t="s">
        <v>5620</v>
      </c>
      <c r="M1303" t="s">
        <v>5620</v>
      </c>
    </row>
    <row r="1304" spans="10:13" x14ac:dyDescent="0.2">
      <c r="J1304" t="s">
        <v>5492</v>
      </c>
      <c r="K1304" t="s">
        <v>5549</v>
      </c>
      <c r="L1304" t="s">
        <v>5618</v>
      </c>
      <c r="M1304" t="s">
        <v>5618</v>
      </c>
    </row>
    <row r="1305" spans="10:13" x14ac:dyDescent="0.2">
      <c r="J1305" t="s">
        <v>5492</v>
      </c>
      <c r="K1305" t="s">
        <v>5549</v>
      </c>
      <c r="L1305" t="s">
        <v>5620</v>
      </c>
      <c r="M1305" t="s">
        <v>5621</v>
      </c>
    </row>
    <row r="1306" spans="10:13" x14ac:dyDescent="0.2">
      <c r="J1306" t="s">
        <v>5492</v>
      </c>
      <c r="K1306" t="s">
        <v>5549</v>
      </c>
      <c r="L1306" t="s">
        <v>5618</v>
      </c>
      <c r="M1306" t="s">
        <v>5618</v>
      </c>
    </row>
    <row r="1307" spans="10:13" x14ac:dyDescent="0.2">
      <c r="J1307" t="s">
        <v>5492</v>
      </c>
      <c r="K1307" t="s">
        <v>5549</v>
      </c>
      <c r="L1307" t="s">
        <v>5618</v>
      </c>
      <c r="M1307" t="s">
        <v>5623</v>
      </c>
    </row>
    <row r="1308" spans="10:13" x14ac:dyDescent="0.2">
      <c r="J1308" t="s">
        <v>5492</v>
      </c>
      <c r="K1308" t="s">
        <v>5549</v>
      </c>
      <c r="L1308" t="s">
        <v>5618</v>
      </c>
      <c r="M1308" t="s">
        <v>5618</v>
      </c>
    </row>
    <row r="1309" spans="10:13" x14ac:dyDescent="0.2">
      <c r="J1309" t="s">
        <v>5492</v>
      </c>
      <c r="K1309" t="s">
        <v>5549</v>
      </c>
      <c r="L1309" t="s">
        <v>5618</v>
      </c>
      <c r="M1309" t="s">
        <v>5623</v>
      </c>
    </row>
    <row r="1310" spans="10:13" x14ac:dyDescent="0.2">
      <c r="J1310" t="s">
        <v>5492</v>
      </c>
      <c r="K1310" t="s">
        <v>5541</v>
      </c>
      <c r="L1310" t="s">
        <v>5620</v>
      </c>
      <c r="M1310" t="s">
        <v>5627</v>
      </c>
    </row>
    <row r="1311" spans="10:13" x14ac:dyDescent="0.2">
      <c r="J1311" t="s">
        <v>5492</v>
      </c>
      <c r="K1311" t="s">
        <v>5549</v>
      </c>
      <c r="L1311" t="s">
        <v>5618</v>
      </c>
      <c r="M1311" t="s">
        <v>5623</v>
      </c>
    </row>
    <row r="1312" spans="10:13" x14ac:dyDescent="0.2">
      <c r="J1312" t="s">
        <v>5492</v>
      </c>
      <c r="K1312" t="s">
        <v>5541</v>
      </c>
      <c r="L1312" t="s">
        <v>5620</v>
      </c>
      <c r="M1312" t="s">
        <v>5627</v>
      </c>
    </row>
    <row r="1313" spans="10:13" x14ac:dyDescent="0.2">
      <c r="J1313" t="s">
        <v>5492</v>
      </c>
      <c r="K1313" t="s">
        <v>5549</v>
      </c>
      <c r="L1313" t="s">
        <v>5618</v>
      </c>
      <c r="M1313" t="s">
        <v>5623</v>
      </c>
    </row>
    <row r="1314" spans="10:13" x14ac:dyDescent="0.2">
      <c r="J1314" t="s">
        <v>5492</v>
      </c>
      <c r="K1314" t="s">
        <v>5549</v>
      </c>
      <c r="L1314" t="s">
        <v>5618</v>
      </c>
      <c r="M1314" t="s">
        <v>5619</v>
      </c>
    </row>
    <row r="1315" spans="10:13" x14ac:dyDescent="0.2">
      <c r="J1315" t="s">
        <v>5492</v>
      </c>
      <c r="K1315" t="s">
        <v>5549</v>
      </c>
      <c r="L1315" t="s">
        <v>5618</v>
      </c>
      <c r="M1315" t="s">
        <v>5618</v>
      </c>
    </row>
    <row r="1316" spans="10:13" x14ac:dyDescent="0.2">
      <c r="J1316" t="s">
        <v>5492</v>
      </c>
      <c r="K1316" t="s">
        <v>5541</v>
      </c>
      <c r="L1316" t="s">
        <v>5620</v>
      </c>
      <c r="M1316" t="s">
        <v>5620</v>
      </c>
    </row>
    <row r="1317" spans="10:13" x14ac:dyDescent="0.2">
      <c r="J1317" t="s">
        <v>5492</v>
      </c>
      <c r="K1317" t="s">
        <v>5549</v>
      </c>
      <c r="L1317" t="s">
        <v>5618</v>
      </c>
      <c r="M1317" t="s">
        <v>5624</v>
      </c>
    </row>
    <row r="1318" spans="10:13" x14ac:dyDescent="0.2">
      <c r="J1318" t="s">
        <v>5492</v>
      </c>
      <c r="K1318" t="s">
        <v>5549</v>
      </c>
      <c r="L1318" t="s">
        <v>5618</v>
      </c>
      <c r="M1318" t="s">
        <v>5623</v>
      </c>
    </row>
    <row r="1319" spans="10:13" x14ac:dyDescent="0.2">
      <c r="J1319" t="s">
        <v>5492</v>
      </c>
      <c r="K1319" t="s">
        <v>5541</v>
      </c>
      <c r="L1319" t="s">
        <v>5620</v>
      </c>
      <c r="M1319" t="s">
        <v>5620</v>
      </c>
    </row>
    <row r="1320" spans="10:13" x14ac:dyDescent="0.2">
      <c r="J1320" t="s">
        <v>5492</v>
      </c>
      <c r="K1320" t="s">
        <v>5549</v>
      </c>
      <c r="L1320" t="s">
        <v>5618</v>
      </c>
      <c r="M1320" t="s">
        <v>5618</v>
      </c>
    </row>
    <row r="1321" spans="10:13" x14ac:dyDescent="0.2">
      <c r="J1321" t="s">
        <v>5492</v>
      </c>
      <c r="K1321" t="s">
        <v>5541</v>
      </c>
      <c r="L1321" t="s">
        <v>5620</v>
      </c>
      <c r="M1321" t="s">
        <v>5620</v>
      </c>
    </row>
    <row r="1322" spans="10:13" x14ac:dyDescent="0.2">
      <c r="J1322" t="s">
        <v>5492</v>
      </c>
      <c r="K1322" t="s">
        <v>5549</v>
      </c>
      <c r="L1322" t="s">
        <v>5620</v>
      </c>
      <c r="M1322" t="s">
        <v>5622</v>
      </c>
    </row>
    <row r="1323" spans="10:13" x14ac:dyDescent="0.2">
      <c r="J1323" t="s">
        <v>5492</v>
      </c>
      <c r="K1323" t="s">
        <v>5541</v>
      </c>
      <c r="L1323" t="s">
        <v>5620</v>
      </c>
      <c r="M1323" t="s">
        <v>5620</v>
      </c>
    </row>
    <row r="1324" spans="10:13" x14ac:dyDescent="0.2">
      <c r="J1324" t="s">
        <v>5492</v>
      </c>
      <c r="K1324" t="s">
        <v>5549</v>
      </c>
      <c r="L1324" t="s">
        <v>5618</v>
      </c>
      <c r="M1324" t="s">
        <v>5618</v>
      </c>
    </row>
    <row r="1325" spans="10:13" x14ac:dyDescent="0.2">
      <c r="J1325" t="s">
        <v>5492</v>
      </c>
      <c r="K1325" t="s">
        <v>5549</v>
      </c>
      <c r="L1325" t="s">
        <v>5620</v>
      </c>
      <c r="M1325" t="s">
        <v>5622</v>
      </c>
    </row>
    <row r="1326" spans="10:13" x14ac:dyDescent="0.2">
      <c r="J1326" t="s">
        <v>5492</v>
      </c>
      <c r="K1326" t="s">
        <v>5549</v>
      </c>
      <c r="L1326" t="s">
        <v>5618</v>
      </c>
      <c r="M1326" t="s">
        <v>5618</v>
      </c>
    </row>
    <row r="1327" spans="10:13" x14ac:dyDescent="0.2">
      <c r="J1327" t="s">
        <v>5492</v>
      </c>
      <c r="K1327" t="s">
        <v>5541</v>
      </c>
      <c r="L1327" t="s">
        <v>5618</v>
      </c>
      <c r="M1327" t="s">
        <v>5623</v>
      </c>
    </row>
    <row r="1328" spans="10:13" x14ac:dyDescent="0.2">
      <c r="J1328" t="s">
        <v>5492</v>
      </c>
      <c r="K1328" t="s">
        <v>5549</v>
      </c>
      <c r="L1328" t="s">
        <v>5618</v>
      </c>
      <c r="M1328" t="s">
        <v>5624</v>
      </c>
    </row>
    <row r="1329" spans="10:13" x14ac:dyDescent="0.2">
      <c r="J1329" t="s">
        <v>5492</v>
      </c>
      <c r="K1329" t="s">
        <v>5549</v>
      </c>
      <c r="L1329" t="s">
        <v>5618</v>
      </c>
      <c r="M1329" t="s">
        <v>5619</v>
      </c>
    </row>
    <row r="1330" spans="10:13" x14ac:dyDescent="0.2">
      <c r="J1330" t="s">
        <v>5492</v>
      </c>
      <c r="K1330" t="s">
        <v>5549</v>
      </c>
      <c r="L1330" t="s">
        <v>5618</v>
      </c>
      <c r="M1330" t="s">
        <v>5624</v>
      </c>
    </row>
    <row r="1331" spans="10:13" x14ac:dyDescent="0.2">
      <c r="J1331" t="s">
        <v>5492</v>
      </c>
      <c r="K1331" t="s">
        <v>5549</v>
      </c>
      <c r="L1331" t="s">
        <v>5620</v>
      </c>
      <c r="M1331" t="s">
        <v>5626</v>
      </c>
    </row>
    <row r="1332" spans="10:13" x14ac:dyDescent="0.2">
      <c r="J1332" t="s">
        <v>5492</v>
      </c>
      <c r="K1332" t="s">
        <v>5549</v>
      </c>
      <c r="L1332" t="s">
        <v>5618</v>
      </c>
      <c r="M1332" t="s">
        <v>5618</v>
      </c>
    </row>
    <row r="1333" spans="10:13" x14ac:dyDescent="0.2">
      <c r="J1333" t="s">
        <v>5492</v>
      </c>
      <c r="K1333" t="s">
        <v>5549</v>
      </c>
      <c r="L1333" t="s">
        <v>5618</v>
      </c>
      <c r="M1333" t="s">
        <v>5619</v>
      </c>
    </row>
    <row r="1334" spans="10:13" x14ac:dyDescent="0.2">
      <c r="J1334" t="s">
        <v>5492</v>
      </c>
      <c r="K1334" t="s">
        <v>5541</v>
      </c>
      <c r="L1334" t="s">
        <v>5618</v>
      </c>
      <c r="M1334" t="s">
        <v>5618</v>
      </c>
    </row>
    <row r="1335" spans="10:13" x14ac:dyDescent="0.2">
      <c r="J1335" t="s">
        <v>5492</v>
      </c>
      <c r="K1335" t="s">
        <v>5549</v>
      </c>
      <c r="L1335" t="s">
        <v>5618</v>
      </c>
      <c r="M1335" t="s">
        <v>5623</v>
      </c>
    </row>
    <row r="1336" spans="10:13" x14ac:dyDescent="0.2">
      <c r="J1336" t="s">
        <v>5492</v>
      </c>
      <c r="K1336" t="s">
        <v>5549</v>
      </c>
      <c r="L1336" t="s">
        <v>5618</v>
      </c>
      <c r="M1336" t="s">
        <v>5618</v>
      </c>
    </row>
    <row r="1337" spans="10:13" x14ac:dyDescent="0.2">
      <c r="J1337" t="s">
        <v>5492</v>
      </c>
      <c r="K1337" t="s">
        <v>5549</v>
      </c>
      <c r="L1337" t="s">
        <v>5618</v>
      </c>
      <c r="M1337" t="s">
        <v>5618</v>
      </c>
    </row>
    <row r="1338" spans="10:13" x14ac:dyDescent="0.2">
      <c r="J1338" t="s">
        <v>5492</v>
      </c>
      <c r="K1338" t="s">
        <v>5549</v>
      </c>
      <c r="L1338" t="s">
        <v>5620</v>
      </c>
      <c r="M1338" t="s">
        <v>5621</v>
      </c>
    </row>
    <row r="1339" spans="10:13" x14ac:dyDescent="0.2">
      <c r="J1339" t="s">
        <v>5492</v>
      </c>
      <c r="K1339" t="s">
        <v>5549</v>
      </c>
      <c r="L1339" t="s">
        <v>5618</v>
      </c>
      <c r="M1339" t="s">
        <v>5624</v>
      </c>
    </row>
    <row r="1340" spans="10:13" x14ac:dyDescent="0.2">
      <c r="J1340" t="s">
        <v>5492</v>
      </c>
      <c r="K1340" t="s">
        <v>5549</v>
      </c>
      <c r="L1340" t="s">
        <v>5620</v>
      </c>
      <c r="M1340" t="s">
        <v>5621</v>
      </c>
    </row>
    <row r="1341" spans="10:13" x14ac:dyDescent="0.2">
      <c r="J1341" t="s">
        <v>5492</v>
      </c>
      <c r="K1341" t="s">
        <v>5549</v>
      </c>
      <c r="L1341" t="s">
        <v>5618</v>
      </c>
      <c r="M1341" t="s">
        <v>5623</v>
      </c>
    </row>
    <row r="1342" spans="10:13" x14ac:dyDescent="0.2">
      <c r="J1342" t="s">
        <v>5492</v>
      </c>
      <c r="K1342" t="s">
        <v>5549</v>
      </c>
      <c r="L1342" t="s">
        <v>5620</v>
      </c>
      <c r="M1342" t="s">
        <v>5621</v>
      </c>
    </row>
    <row r="1343" spans="10:13" x14ac:dyDescent="0.2">
      <c r="J1343" t="s">
        <v>5492</v>
      </c>
      <c r="K1343" t="s">
        <v>5549</v>
      </c>
      <c r="L1343" t="s">
        <v>5620</v>
      </c>
      <c r="M1343" t="s">
        <v>5621</v>
      </c>
    </row>
    <row r="1344" spans="10:13" x14ac:dyDescent="0.2">
      <c r="J1344" t="s">
        <v>5492</v>
      </c>
      <c r="K1344" t="s">
        <v>5541</v>
      </c>
      <c r="L1344" t="s">
        <v>5620</v>
      </c>
      <c r="M1344" t="s">
        <v>5620</v>
      </c>
    </row>
    <row r="1345" spans="10:13" x14ac:dyDescent="0.2">
      <c r="J1345" t="s">
        <v>5492</v>
      </c>
      <c r="K1345" t="s">
        <v>5549</v>
      </c>
      <c r="L1345" t="s">
        <v>5620</v>
      </c>
      <c r="M1345" t="s">
        <v>5621</v>
      </c>
    </row>
    <row r="1346" spans="10:13" x14ac:dyDescent="0.2">
      <c r="J1346" t="s">
        <v>5492</v>
      </c>
      <c r="K1346" t="s">
        <v>5541</v>
      </c>
      <c r="L1346" t="s">
        <v>5620</v>
      </c>
      <c r="M1346" t="s">
        <v>5620</v>
      </c>
    </row>
    <row r="1347" spans="10:13" x14ac:dyDescent="0.2">
      <c r="J1347" t="s">
        <v>5492</v>
      </c>
      <c r="K1347" t="s">
        <v>5549</v>
      </c>
      <c r="L1347" t="s">
        <v>5620</v>
      </c>
      <c r="M1347" t="s">
        <v>5622</v>
      </c>
    </row>
    <row r="1348" spans="10:13" x14ac:dyDescent="0.2">
      <c r="J1348" t="s">
        <v>5492</v>
      </c>
      <c r="K1348" t="s">
        <v>5541</v>
      </c>
      <c r="L1348" t="s">
        <v>5618</v>
      </c>
      <c r="M1348" t="s">
        <v>5618</v>
      </c>
    </row>
    <row r="1349" spans="10:13" x14ac:dyDescent="0.2">
      <c r="J1349" t="s">
        <v>5492</v>
      </c>
      <c r="K1349" t="s">
        <v>5549</v>
      </c>
      <c r="L1349" t="s">
        <v>5618</v>
      </c>
      <c r="M1349" t="s">
        <v>5623</v>
      </c>
    </row>
    <row r="1350" spans="10:13" x14ac:dyDescent="0.2">
      <c r="J1350" t="s">
        <v>5492</v>
      </c>
      <c r="K1350" t="s">
        <v>5549</v>
      </c>
      <c r="L1350" t="s">
        <v>5618</v>
      </c>
      <c r="M1350" t="s">
        <v>5624</v>
      </c>
    </row>
    <row r="1351" spans="10:13" x14ac:dyDescent="0.2">
      <c r="J1351" t="s">
        <v>5492</v>
      </c>
      <c r="K1351" t="s">
        <v>5549</v>
      </c>
      <c r="L1351" t="s">
        <v>5618</v>
      </c>
      <c r="M1351" t="s">
        <v>5618</v>
      </c>
    </row>
    <row r="1352" spans="10:13" x14ac:dyDescent="0.2">
      <c r="J1352" t="s">
        <v>5492</v>
      </c>
      <c r="K1352" t="s">
        <v>5549</v>
      </c>
      <c r="L1352" t="s">
        <v>5618</v>
      </c>
      <c r="M1352" t="s">
        <v>5624</v>
      </c>
    </row>
    <row r="1353" spans="10:13" x14ac:dyDescent="0.2">
      <c r="J1353" t="s">
        <v>5492</v>
      </c>
      <c r="K1353" t="s">
        <v>5549</v>
      </c>
      <c r="L1353" t="s">
        <v>5620</v>
      </c>
      <c r="M1353" t="s">
        <v>5625</v>
      </c>
    </row>
    <row r="1354" spans="10:13" x14ac:dyDescent="0.2">
      <c r="J1354" t="s">
        <v>5492</v>
      </c>
      <c r="K1354" t="s">
        <v>5549</v>
      </c>
      <c r="L1354" t="s">
        <v>5618</v>
      </c>
      <c r="M1354" t="s">
        <v>5624</v>
      </c>
    </row>
    <row r="1355" spans="10:13" x14ac:dyDescent="0.2">
      <c r="J1355" t="s">
        <v>5492</v>
      </c>
      <c r="K1355" t="s">
        <v>5541</v>
      </c>
      <c r="L1355" t="s">
        <v>5620</v>
      </c>
      <c r="M1355" t="s">
        <v>5625</v>
      </c>
    </row>
    <row r="1356" spans="10:13" x14ac:dyDescent="0.2">
      <c r="J1356" t="s">
        <v>5492</v>
      </c>
      <c r="K1356" t="s">
        <v>5549</v>
      </c>
      <c r="L1356" t="s">
        <v>5618</v>
      </c>
      <c r="M1356" t="s">
        <v>5618</v>
      </c>
    </row>
    <row r="1357" spans="10:13" x14ac:dyDescent="0.2">
      <c r="J1357" t="s">
        <v>5492</v>
      </c>
      <c r="K1357" t="s">
        <v>5549</v>
      </c>
      <c r="L1357" t="s">
        <v>5618</v>
      </c>
      <c r="M1357" t="s">
        <v>5623</v>
      </c>
    </row>
    <row r="1358" spans="10:13" x14ac:dyDescent="0.2">
      <c r="J1358" t="s">
        <v>5492</v>
      </c>
      <c r="K1358" t="s">
        <v>5549</v>
      </c>
      <c r="L1358" t="s">
        <v>5618</v>
      </c>
      <c r="M1358" t="s">
        <v>5623</v>
      </c>
    </row>
    <row r="1359" spans="10:13" x14ac:dyDescent="0.2">
      <c r="J1359" t="s">
        <v>5492</v>
      </c>
      <c r="K1359" t="s">
        <v>5549</v>
      </c>
      <c r="L1359" t="s">
        <v>5620</v>
      </c>
      <c r="M1359" t="s">
        <v>5622</v>
      </c>
    </row>
    <row r="1360" spans="10:13" x14ac:dyDescent="0.2">
      <c r="J1360" t="s">
        <v>5492</v>
      </c>
      <c r="K1360" t="s">
        <v>5549</v>
      </c>
      <c r="L1360" t="s">
        <v>5618</v>
      </c>
      <c r="M1360" t="s">
        <v>5623</v>
      </c>
    </row>
    <row r="1361" spans="10:13" x14ac:dyDescent="0.2">
      <c r="J1361" t="s">
        <v>5492</v>
      </c>
      <c r="K1361" t="s">
        <v>5549</v>
      </c>
      <c r="L1361" t="s">
        <v>5618</v>
      </c>
      <c r="M1361" t="s">
        <v>5623</v>
      </c>
    </row>
    <row r="1362" spans="10:13" x14ac:dyDescent="0.2">
      <c r="J1362" t="s">
        <v>5492</v>
      </c>
      <c r="K1362" t="s">
        <v>5549</v>
      </c>
      <c r="L1362" t="s">
        <v>5620</v>
      </c>
      <c r="M1362" t="s">
        <v>5621</v>
      </c>
    </row>
    <row r="1363" spans="10:13" x14ac:dyDescent="0.2">
      <c r="J1363" t="s">
        <v>5492</v>
      </c>
      <c r="K1363" t="s">
        <v>5541</v>
      </c>
      <c r="L1363" t="s">
        <v>5618</v>
      </c>
      <c r="M1363" t="s">
        <v>5618</v>
      </c>
    </row>
    <row r="1364" spans="10:13" x14ac:dyDescent="0.2">
      <c r="J1364" t="s">
        <v>5492</v>
      </c>
      <c r="K1364" t="s">
        <v>5549</v>
      </c>
      <c r="L1364" t="s">
        <v>5618</v>
      </c>
      <c r="M1364" t="s">
        <v>5623</v>
      </c>
    </row>
    <row r="1365" spans="10:13" x14ac:dyDescent="0.2">
      <c r="J1365" t="s">
        <v>5492</v>
      </c>
      <c r="K1365" t="s">
        <v>5541</v>
      </c>
      <c r="L1365" t="s">
        <v>5620</v>
      </c>
      <c r="M1365" t="s">
        <v>5620</v>
      </c>
    </row>
    <row r="1366" spans="10:13" x14ac:dyDescent="0.2">
      <c r="J1366" t="s">
        <v>5492</v>
      </c>
      <c r="K1366" t="s">
        <v>5549</v>
      </c>
      <c r="L1366" t="s">
        <v>5618</v>
      </c>
      <c r="M1366" t="s">
        <v>5624</v>
      </c>
    </row>
    <row r="1367" spans="10:13" x14ac:dyDescent="0.2">
      <c r="J1367" t="s">
        <v>5492</v>
      </c>
      <c r="K1367" t="s">
        <v>5549</v>
      </c>
      <c r="L1367" t="s">
        <v>5618</v>
      </c>
      <c r="M1367" t="s">
        <v>5623</v>
      </c>
    </row>
    <row r="1368" spans="10:13" x14ac:dyDescent="0.2">
      <c r="J1368" t="s">
        <v>5492</v>
      </c>
      <c r="K1368" t="s">
        <v>5549</v>
      </c>
      <c r="L1368" t="s">
        <v>5618</v>
      </c>
      <c r="M1368" t="s">
        <v>5624</v>
      </c>
    </row>
    <row r="1369" spans="10:13" x14ac:dyDescent="0.2">
      <c r="J1369" t="s">
        <v>5492</v>
      </c>
      <c r="K1369" t="s">
        <v>5541</v>
      </c>
      <c r="L1369" t="s">
        <v>5620</v>
      </c>
      <c r="M1369" t="s">
        <v>5627</v>
      </c>
    </row>
    <row r="1370" spans="10:13" x14ac:dyDescent="0.2">
      <c r="J1370" t="s">
        <v>5492</v>
      </c>
      <c r="K1370" t="s">
        <v>5549</v>
      </c>
      <c r="L1370" t="s">
        <v>5618</v>
      </c>
      <c r="M1370" t="s">
        <v>5624</v>
      </c>
    </row>
    <row r="1371" spans="10:13" x14ac:dyDescent="0.2">
      <c r="J1371" t="s">
        <v>5492</v>
      </c>
      <c r="K1371" t="s">
        <v>5549</v>
      </c>
      <c r="L1371" t="s">
        <v>5620</v>
      </c>
      <c r="M1371" t="s">
        <v>5622</v>
      </c>
    </row>
    <row r="1372" spans="10:13" x14ac:dyDescent="0.2">
      <c r="J1372" t="s">
        <v>5492</v>
      </c>
      <c r="K1372" t="s">
        <v>5541</v>
      </c>
      <c r="L1372" t="s">
        <v>5618</v>
      </c>
      <c r="M1372" t="s">
        <v>5618</v>
      </c>
    </row>
    <row r="1373" spans="10:13" x14ac:dyDescent="0.2">
      <c r="J1373" t="s">
        <v>5492</v>
      </c>
      <c r="K1373" t="s">
        <v>5541</v>
      </c>
      <c r="L1373" t="s">
        <v>5618</v>
      </c>
      <c r="M1373" t="s">
        <v>5618</v>
      </c>
    </row>
    <row r="1374" spans="10:13" x14ac:dyDescent="0.2">
      <c r="J1374" t="s">
        <v>5492</v>
      </c>
      <c r="K1374" t="s">
        <v>5541</v>
      </c>
      <c r="L1374" t="s">
        <v>5620</v>
      </c>
      <c r="M1374" t="s">
        <v>5621</v>
      </c>
    </row>
    <row r="1375" spans="10:13" x14ac:dyDescent="0.2">
      <c r="J1375" t="s">
        <v>5492</v>
      </c>
      <c r="K1375" t="s">
        <v>5549</v>
      </c>
      <c r="L1375" t="s">
        <v>5618</v>
      </c>
      <c r="M1375" t="s">
        <v>5618</v>
      </c>
    </row>
    <row r="1376" spans="10:13" x14ac:dyDescent="0.2">
      <c r="J1376" t="s">
        <v>5492</v>
      </c>
      <c r="K1376" t="s">
        <v>5541</v>
      </c>
      <c r="L1376" t="s">
        <v>5620</v>
      </c>
      <c r="M1376" t="s">
        <v>5621</v>
      </c>
    </row>
    <row r="1377" spans="10:13" x14ac:dyDescent="0.2">
      <c r="J1377" t="s">
        <v>5492</v>
      </c>
      <c r="K1377" t="s">
        <v>5549</v>
      </c>
      <c r="L1377" t="s">
        <v>5620</v>
      </c>
      <c r="M1377" t="s">
        <v>5625</v>
      </c>
    </row>
    <row r="1378" spans="10:13" x14ac:dyDescent="0.2">
      <c r="J1378" t="s">
        <v>5492</v>
      </c>
      <c r="K1378" t="s">
        <v>5541</v>
      </c>
      <c r="L1378" t="s">
        <v>5618</v>
      </c>
      <c r="M1378" t="s">
        <v>5618</v>
      </c>
    </row>
    <row r="1379" spans="10:13" x14ac:dyDescent="0.2">
      <c r="J1379" t="s">
        <v>5492</v>
      </c>
      <c r="K1379" t="s">
        <v>5541</v>
      </c>
      <c r="L1379" t="s">
        <v>5618</v>
      </c>
      <c r="M1379" t="s">
        <v>5618</v>
      </c>
    </row>
    <row r="1380" spans="10:13" x14ac:dyDescent="0.2">
      <c r="J1380" t="s">
        <v>5492</v>
      </c>
      <c r="K1380" t="s">
        <v>5549</v>
      </c>
      <c r="L1380" t="s">
        <v>5618</v>
      </c>
      <c r="M1380" t="s">
        <v>5624</v>
      </c>
    </row>
    <row r="1381" spans="10:13" x14ac:dyDescent="0.2">
      <c r="J1381" t="s">
        <v>5492</v>
      </c>
      <c r="K1381" t="s">
        <v>5549</v>
      </c>
      <c r="L1381" t="s">
        <v>5618</v>
      </c>
      <c r="M1381" t="s">
        <v>5624</v>
      </c>
    </row>
    <row r="1382" spans="10:13" x14ac:dyDescent="0.2">
      <c r="J1382" t="s">
        <v>5492</v>
      </c>
      <c r="K1382" t="s">
        <v>5549</v>
      </c>
      <c r="L1382" t="s">
        <v>5618</v>
      </c>
      <c r="M1382" t="s">
        <v>5624</v>
      </c>
    </row>
    <row r="1383" spans="10:13" x14ac:dyDescent="0.2">
      <c r="J1383" t="s">
        <v>5492</v>
      </c>
      <c r="K1383" t="s">
        <v>5549</v>
      </c>
      <c r="L1383" t="s">
        <v>5618</v>
      </c>
      <c r="M1383" t="s">
        <v>5618</v>
      </c>
    </row>
    <row r="1384" spans="10:13" x14ac:dyDescent="0.2">
      <c r="J1384" t="s">
        <v>5492</v>
      </c>
      <c r="K1384" t="s">
        <v>5541</v>
      </c>
      <c r="L1384" t="s">
        <v>5618</v>
      </c>
      <c r="M1384" t="s">
        <v>5618</v>
      </c>
    </row>
    <row r="1385" spans="10:13" x14ac:dyDescent="0.2">
      <c r="J1385" t="s">
        <v>5492</v>
      </c>
      <c r="K1385" t="s">
        <v>5549</v>
      </c>
      <c r="L1385" t="s">
        <v>5618</v>
      </c>
      <c r="M1385" t="s">
        <v>5624</v>
      </c>
    </row>
    <row r="1386" spans="10:13" x14ac:dyDescent="0.2">
      <c r="J1386" t="s">
        <v>5492</v>
      </c>
      <c r="K1386" t="s">
        <v>5549</v>
      </c>
      <c r="L1386" t="s">
        <v>5618</v>
      </c>
      <c r="M1386" t="s">
        <v>5618</v>
      </c>
    </row>
    <row r="1387" spans="10:13" x14ac:dyDescent="0.2">
      <c r="J1387" t="s">
        <v>5492</v>
      </c>
      <c r="K1387" t="s">
        <v>5541</v>
      </c>
      <c r="L1387" t="s">
        <v>5620</v>
      </c>
      <c r="M1387" t="s">
        <v>5627</v>
      </c>
    </row>
    <row r="1388" spans="10:13" x14ac:dyDescent="0.2">
      <c r="J1388" t="s">
        <v>5492</v>
      </c>
      <c r="K1388" t="s">
        <v>5541</v>
      </c>
      <c r="L1388" t="s">
        <v>5620</v>
      </c>
      <c r="M1388" t="s">
        <v>5620</v>
      </c>
    </row>
    <row r="1389" spans="10:13" x14ac:dyDescent="0.2">
      <c r="J1389" t="s">
        <v>5492</v>
      </c>
      <c r="K1389" t="s">
        <v>5549</v>
      </c>
      <c r="L1389" t="s">
        <v>5618</v>
      </c>
      <c r="M1389" t="s">
        <v>5630</v>
      </c>
    </row>
    <row r="1390" spans="10:13" x14ac:dyDescent="0.2">
      <c r="J1390" t="s">
        <v>5492</v>
      </c>
      <c r="K1390" t="s">
        <v>5549</v>
      </c>
      <c r="L1390" t="s">
        <v>5618</v>
      </c>
      <c r="M1390" t="s">
        <v>5623</v>
      </c>
    </row>
    <row r="1391" spans="10:13" x14ac:dyDescent="0.2">
      <c r="J1391" t="s">
        <v>5492</v>
      </c>
      <c r="K1391" t="s">
        <v>5541</v>
      </c>
      <c r="L1391" t="s">
        <v>5620</v>
      </c>
      <c r="M1391" t="s">
        <v>5627</v>
      </c>
    </row>
    <row r="1392" spans="10:13" x14ac:dyDescent="0.2">
      <c r="J1392" t="s">
        <v>5492</v>
      </c>
      <c r="K1392" t="s">
        <v>5549</v>
      </c>
      <c r="L1392" t="s">
        <v>5618</v>
      </c>
      <c r="M1392" t="s">
        <v>5623</v>
      </c>
    </row>
    <row r="1393" spans="10:13" x14ac:dyDescent="0.2">
      <c r="J1393" t="s">
        <v>5492</v>
      </c>
      <c r="K1393" t="s">
        <v>5549</v>
      </c>
      <c r="L1393" t="s">
        <v>5618</v>
      </c>
      <c r="M1393" t="s">
        <v>5624</v>
      </c>
    </row>
    <row r="1394" spans="10:13" x14ac:dyDescent="0.2">
      <c r="J1394" t="s">
        <v>5492</v>
      </c>
      <c r="K1394" t="s">
        <v>5541</v>
      </c>
      <c r="L1394" t="s">
        <v>5620</v>
      </c>
      <c r="M1394" t="s">
        <v>5620</v>
      </c>
    </row>
    <row r="1395" spans="10:13" x14ac:dyDescent="0.2">
      <c r="J1395" t="s">
        <v>5492</v>
      </c>
      <c r="K1395" t="s">
        <v>5541</v>
      </c>
      <c r="L1395" t="s">
        <v>5620</v>
      </c>
      <c r="M1395" t="s">
        <v>5627</v>
      </c>
    </row>
    <row r="1396" spans="10:13" x14ac:dyDescent="0.2">
      <c r="J1396" t="s">
        <v>5492</v>
      </c>
      <c r="K1396" t="s">
        <v>5541</v>
      </c>
      <c r="L1396" t="s">
        <v>5618</v>
      </c>
      <c r="M1396" t="s">
        <v>5618</v>
      </c>
    </row>
    <row r="1397" spans="10:13" x14ac:dyDescent="0.2">
      <c r="J1397" t="s">
        <v>5492</v>
      </c>
      <c r="K1397" t="s">
        <v>5541</v>
      </c>
      <c r="L1397" t="s">
        <v>5618</v>
      </c>
      <c r="M1397" t="s">
        <v>5618</v>
      </c>
    </row>
    <row r="1398" spans="10:13" x14ac:dyDescent="0.2">
      <c r="J1398" t="s">
        <v>5492</v>
      </c>
      <c r="K1398" t="s">
        <v>5541</v>
      </c>
      <c r="L1398" t="s">
        <v>5620</v>
      </c>
      <c r="M1398" t="s">
        <v>5620</v>
      </c>
    </row>
    <row r="1399" spans="10:13" x14ac:dyDescent="0.2">
      <c r="J1399" t="s">
        <v>5492</v>
      </c>
      <c r="K1399" t="s">
        <v>5541</v>
      </c>
      <c r="L1399" t="s">
        <v>5618</v>
      </c>
      <c r="M1399" t="s">
        <v>5618</v>
      </c>
    </row>
    <row r="1400" spans="10:13" x14ac:dyDescent="0.2">
      <c r="J1400" t="s">
        <v>5492</v>
      </c>
      <c r="K1400" t="s">
        <v>5549</v>
      </c>
      <c r="L1400" t="s">
        <v>5618</v>
      </c>
      <c r="M1400" t="s">
        <v>5619</v>
      </c>
    </row>
    <row r="1401" spans="10:13" x14ac:dyDescent="0.2">
      <c r="J1401" t="s">
        <v>5492</v>
      </c>
      <c r="K1401" t="s">
        <v>5549</v>
      </c>
      <c r="L1401" t="s">
        <v>5618</v>
      </c>
      <c r="M1401" t="s">
        <v>5618</v>
      </c>
    </row>
    <row r="1402" spans="10:13" x14ac:dyDescent="0.2">
      <c r="J1402" t="s">
        <v>5492</v>
      </c>
      <c r="K1402" t="s">
        <v>5541</v>
      </c>
      <c r="L1402" t="s">
        <v>5634</v>
      </c>
      <c r="M1402" t="s">
        <v>5634</v>
      </c>
    </row>
    <row r="1403" spans="10:13" x14ac:dyDescent="0.2">
      <c r="J1403" t="s">
        <v>5477</v>
      </c>
      <c r="K1403" t="s">
        <v>5549</v>
      </c>
      <c r="L1403" t="s">
        <v>5618</v>
      </c>
      <c r="M1403" t="s">
        <v>5618</v>
      </c>
    </row>
    <row r="1404" spans="10:13" x14ac:dyDescent="0.2">
      <c r="J1404" t="s">
        <v>5477</v>
      </c>
      <c r="K1404" t="s">
        <v>5541</v>
      </c>
      <c r="L1404" t="s">
        <v>5618</v>
      </c>
      <c r="M1404" t="s">
        <v>5618</v>
      </c>
    </row>
    <row r="1405" spans="10:13" x14ac:dyDescent="0.2">
      <c r="J1405" t="s">
        <v>5477</v>
      </c>
      <c r="K1405" t="s">
        <v>5549</v>
      </c>
      <c r="L1405" t="s">
        <v>5646</v>
      </c>
      <c r="M1405" t="s">
        <v>5649</v>
      </c>
    </row>
    <row r="1406" spans="10:13" x14ac:dyDescent="0.2">
      <c r="J1406" t="s">
        <v>5477</v>
      </c>
      <c r="K1406" t="s">
        <v>5549</v>
      </c>
      <c r="L1406" t="s">
        <v>5618</v>
      </c>
      <c r="M1406" t="s">
        <v>5618</v>
      </c>
    </row>
    <row r="1407" spans="10:13" x14ac:dyDescent="0.2">
      <c r="J1407" t="s">
        <v>5477</v>
      </c>
      <c r="K1407" t="s">
        <v>5549</v>
      </c>
      <c r="L1407" t="s">
        <v>5620</v>
      </c>
      <c r="M1407" t="s">
        <v>5621</v>
      </c>
    </row>
    <row r="1408" spans="10:13" x14ac:dyDescent="0.2">
      <c r="J1408" t="s">
        <v>5477</v>
      </c>
      <c r="K1408" t="s">
        <v>5541</v>
      </c>
      <c r="L1408" t="s">
        <v>5620</v>
      </c>
      <c r="M1408" t="s">
        <v>5621</v>
      </c>
    </row>
    <row r="1409" spans="10:13" x14ac:dyDescent="0.2">
      <c r="J1409" t="s">
        <v>5477</v>
      </c>
      <c r="K1409" t="s">
        <v>5541</v>
      </c>
      <c r="L1409" t="s">
        <v>5618</v>
      </c>
      <c r="M1409" t="s">
        <v>5643</v>
      </c>
    </row>
    <row r="1410" spans="10:13" x14ac:dyDescent="0.2">
      <c r="J1410" t="s">
        <v>5477</v>
      </c>
      <c r="K1410" t="s">
        <v>5549</v>
      </c>
      <c r="L1410" t="s">
        <v>5618</v>
      </c>
      <c r="M1410" t="s">
        <v>5618</v>
      </c>
    </row>
    <row r="1411" spans="10:13" x14ac:dyDescent="0.2">
      <c r="J1411" t="s">
        <v>5477</v>
      </c>
      <c r="K1411" t="s">
        <v>5549</v>
      </c>
      <c r="L1411" t="s">
        <v>5618</v>
      </c>
      <c r="M1411" t="s">
        <v>5619</v>
      </c>
    </row>
    <row r="1412" spans="10:13" x14ac:dyDescent="0.2">
      <c r="J1412" t="s">
        <v>5477</v>
      </c>
      <c r="K1412" t="s">
        <v>5549</v>
      </c>
      <c r="L1412" t="s">
        <v>5620</v>
      </c>
      <c r="M1412" t="s">
        <v>5621</v>
      </c>
    </row>
    <row r="1413" spans="10:13" x14ac:dyDescent="0.2">
      <c r="J1413" t="s">
        <v>5477</v>
      </c>
      <c r="K1413" t="s">
        <v>5549</v>
      </c>
      <c r="L1413" t="s">
        <v>5618</v>
      </c>
      <c r="M1413" t="s">
        <v>5618</v>
      </c>
    </row>
    <row r="1414" spans="10:13" x14ac:dyDescent="0.2">
      <c r="J1414" t="s">
        <v>5477</v>
      </c>
      <c r="K1414" t="s">
        <v>5541</v>
      </c>
      <c r="L1414" t="s">
        <v>5634</v>
      </c>
      <c r="M1414" t="s">
        <v>5634</v>
      </c>
    </row>
    <row r="1415" spans="10:13" x14ac:dyDescent="0.2">
      <c r="J1415" t="s">
        <v>5477</v>
      </c>
      <c r="K1415" t="s">
        <v>5549</v>
      </c>
      <c r="L1415" t="s">
        <v>5618</v>
      </c>
      <c r="M1415" t="s">
        <v>5618</v>
      </c>
    </row>
    <row r="1416" spans="10:13" x14ac:dyDescent="0.2">
      <c r="J1416" t="s">
        <v>5477</v>
      </c>
      <c r="K1416" t="s">
        <v>5549</v>
      </c>
      <c r="L1416" t="s">
        <v>5618</v>
      </c>
      <c r="M1416" t="s">
        <v>5618</v>
      </c>
    </row>
    <row r="1417" spans="10:13" x14ac:dyDescent="0.2">
      <c r="J1417" t="s">
        <v>5477</v>
      </c>
      <c r="K1417" t="s">
        <v>5549</v>
      </c>
      <c r="L1417" t="s">
        <v>5618</v>
      </c>
      <c r="M1417" t="s">
        <v>5623</v>
      </c>
    </row>
    <row r="1418" spans="10:13" x14ac:dyDescent="0.2">
      <c r="J1418" t="s">
        <v>5477</v>
      </c>
      <c r="K1418" t="s">
        <v>5549</v>
      </c>
      <c r="L1418" t="s">
        <v>5618</v>
      </c>
      <c r="M1418" t="s">
        <v>5618</v>
      </c>
    </row>
    <row r="1419" spans="10:13" x14ac:dyDescent="0.2">
      <c r="J1419" t="s">
        <v>5477</v>
      </c>
      <c r="K1419" t="s">
        <v>5549</v>
      </c>
      <c r="L1419" t="s">
        <v>5620</v>
      </c>
      <c r="M1419" t="s">
        <v>5629</v>
      </c>
    </row>
    <row r="1420" spans="10:13" x14ac:dyDescent="0.2">
      <c r="J1420" t="s">
        <v>5477</v>
      </c>
      <c r="K1420" t="s">
        <v>5549</v>
      </c>
      <c r="L1420" t="s">
        <v>5618</v>
      </c>
      <c r="M1420" t="s">
        <v>5618</v>
      </c>
    </row>
    <row r="1421" spans="10:13" x14ac:dyDescent="0.2">
      <c r="J1421" t="s">
        <v>5477</v>
      </c>
      <c r="K1421" t="s">
        <v>5541</v>
      </c>
      <c r="L1421" t="s">
        <v>5620</v>
      </c>
      <c r="M1421" t="s">
        <v>5620</v>
      </c>
    </row>
    <row r="1422" spans="10:13" x14ac:dyDescent="0.2">
      <c r="J1422" t="s">
        <v>5477</v>
      </c>
      <c r="K1422" t="s">
        <v>5549</v>
      </c>
      <c r="L1422" t="s">
        <v>5620</v>
      </c>
      <c r="M1422" t="s">
        <v>5622</v>
      </c>
    </row>
    <row r="1423" spans="10:13" x14ac:dyDescent="0.2">
      <c r="J1423" t="s">
        <v>5477</v>
      </c>
      <c r="K1423" t="s">
        <v>5549</v>
      </c>
      <c r="L1423" t="s">
        <v>5620</v>
      </c>
      <c r="M1423" t="s">
        <v>5621</v>
      </c>
    </row>
    <row r="1424" spans="10:13" x14ac:dyDescent="0.2">
      <c r="J1424" t="s">
        <v>5477</v>
      </c>
      <c r="K1424" t="s">
        <v>5549</v>
      </c>
      <c r="L1424" t="s">
        <v>5620</v>
      </c>
      <c r="M1424" t="s">
        <v>5622</v>
      </c>
    </row>
    <row r="1425" spans="10:13" x14ac:dyDescent="0.2">
      <c r="J1425" t="s">
        <v>5477</v>
      </c>
      <c r="K1425" t="s">
        <v>5541</v>
      </c>
      <c r="L1425" t="s">
        <v>5618</v>
      </c>
      <c r="M1425" t="s">
        <v>5618</v>
      </c>
    </row>
    <row r="1426" spans="10:13" x14ac:dyDescent="0.2">
      <c r="J1426" t="s">
        <v>5477</v>
      </c>
      <c r="K1426" t="s">
        <v>5549</v>
      </c>
      <c r="L1426" t="s">
        <v>5620</v>
      </c>
      <c r="M1426" t="s">
        <v>5621</v>
      </c>
    </row>
    <row r="1427" spans="10:13" x14ac:dyDescent="0.2">
      <c r="J1427" t="s">
        <v>5477</v>
      </c>
      <c r="K1427" t="s">
        <v>5541</v>
      </c>
      <c r="L1427" t="s">
        <v>5618</v>
      </c>
      <c r="M1427" t="s">
        <v>5618</v>
      </c>
    </row>
    <row r="1428" spans="10:13" x14ac:dyDescent="0.2">
      <c r="J1428" t="s">
        <v>5477</v>
      </c>
      <c r="K1428" t="s">
        <v>5549</v>
      </c>
      <c r="L1428" t="s">
        <v>5618</v>
      </c>
      <c r="M1428" t="s">
        <v>5618</v>
      </c>
    </row>
    <row r="1429" spans="10:13" x14ac:dyDescent="0.2">
      <c r="J1429" t="s">
        <v>5477</v>
      </c>
      <c r="K1429" t="s">
        <v>5549</v>
      </c>
      <c r="L1429" t="s">
        <v>5618</v>
      </c>
      <c r="M1429" t="s">
        <v>5630</v>
      </c>
    </row>
    <row r="1430" spans="10:13" x14ac:dyDescent="0.2">
      <c r="J1430" t="s">
        <v>5477</v>
      </c>
      <c r="K1430" t="s">
        <v>5541</v>
      </c>
      <c r="L1430" t="s">
        <v>5620</v>
      </c>
      <c r="M1430" t="s">
        <v>5621</v>
      </c>
    </row>
    <row r="1431" spans="10:13" x14ac:dyDescent="0.2">
      <c r="J1431" t="s">
        <v>5477</v>
      </c>
      <c r="K1431" t="s">
        <v>5549</v>
      </c>
      <c r="L1431" t="s">
        <v>5618</v>
      </c>
      <c r="M1431" t="s">
        <v>5623</v>
      </c>
    </row>
    <row r="1432" spans="10:13" x14ac:dyDescent="0.2">
      <c r="J1432" t="s">
        <v>5477</v>
      </c>
      <c r="K1432" t="s">
        <v>5541</v>
      </c>
      <c r="L1432" t="s">
        <v>5618</v>
      </c>
      <c r="M1432" t="s">
        <v>5648</v>
      </c>
    </row>
    <row r="1433" spans="10:13" x14ac:dyDescent="0.2">
      <c r="J1433" t="s">
        <v>5477</v>
      </c>
      <c r="K1433" t="s">
        <v>5549</v>
      </c>
      <c r="L1433" t="s">
        <v>5618</v>
      </c>
      <c r="M1433" t="s">
        <v>5618</v>
      </c>
    </row>
    <row r="1434" spans="10:13" x14ac:dyDescent="0.2">
      <c r="J1434" t="s">
        <v>5477</v>
      </c>
      <c r="K1434" t="s">
        <v>5541</v>
      </c>
      <c r="L1434" t="s">
        <v>5618</v>
      </c>
      <c r="M1434" t="s">
        <v>5648</v>
      </c>
    </row>
    <row r="1435" spans="10:13" x14ac:dyDescent="0.2">
      <c r="J1435" t="s">
        <v>5477</v>
      </c>
      <c r="K1435" t="s">
        <v>5549</v>
      </c>
      <c r="L1435" t="s">
        <v>5618</v>
      </c>
      <c r="M1435" t="s">
        <v>5623</v>
      </c>
    </row>
    <row r="1436" spans="10:13" x14ac:dyDescent="0.2">
      <c r="J1436" t="s">
        <v>5477</v>
      </c>
      <c r="K1436" t="s">
        <v>5549</v>
      </c>
      <c r="L1436" t="s">
        <v>5618</v>
      </c>
      <c r="M1436" t="s">
        <v>5618</v>
      </c>
    </row>
    <row r="1437" spans="10:13" x14ac:dyDescent="0.2">
      <c r="J1437" t="s">
        <v>5477</v>
      </c>
      <c r="K1437" t="s">
        <v>5549</v>
      </c>
      <c r="L1437" t="s">
        <v>5618</v>
      </c>
      <c r="M1437" t="s">
        <v>5618</v>
      </c>
    </row>
    <row r="1438" spans="10:13" x14ac:dyDescent="0.2">
      <c r="J1438" t="s">
        <v>5477</v>
      </c>
      <c r="K1438" t="s">
        <v>5549</v>
      </c>
      <c r="L1438" t="s">
        <v>5618</v>
      </c>
      <c r="M1438" t="s">
        <v>5618</v>
      </c>
    </row>
    <row r="1439" spans="10:13" x14ac:dyDescent="0.2">
      <c r="J1439" t="s">
        <v>5477</v>
      </c>
      <c r="K1439" t="s">
        <v>5541</v>
      </c>
      <c r="L1439" t="s">
        <v>5618</v>
      </c>
      <c r="M1439" t="s">
        <v>5618</v>
      </c>
    </row>
    <row r="1440" spans="10:13" x14ac:dyDescent="0.2">
      <c r="J1440" t="s">
        <v>5477</v>
      </c>
      <c r="K1440" t="s">
        <v>5549</v>
      </c>
      <c r="L1440" t="s">
        <v>5618</v>
      </c>
      <c r="M1440" t="s">
        <v>5618</v>
      </c>
    </row>
    <row r="1441" spans="10:13" x14ac:dyDescent="0.2">
      <c r="J1441" t="s">
        <v>5477</v>
      </c>
      <c r="K1441" t="s">
        <v>5541</v>
      </c>
      <c r="L1441" t="s">
        <v>5620</v>
      </c>
      <c r="M1441" t="s">
        <v>5620</v>
      </c>
    </row>
    <row r="1442" spans="10:13" x14ac:dyDescent="0.2">
      <c r="J1442" t="s">
        <v>5477</v>
      </c>
      <c r="K1442" t="s">
        <v>5541</v>
      </c>
      <c r="L1442" t="s">
        <v>5634</v>
      </c>
      <c r="M1442" t="s">
        <v>5634</v>
      </c>
    </row>
    <row r="1443" spans="10:13" x14ac:dyDescent="0.2">
      <c r="J1443" t="s">
        <v>5477</v>
      </c>
      <c r="K1443" t="s">
        <v>5549</v>
      </c>
      <c r="L1443" t="s">
        <v>5618</v>
      </c>
      <c r="M1443" t="s">
        <v>5618</v>
      </c>
    </row>
    <row r="1444" spans="10:13" x14ac:dyDescent="0.2">
      <c r="J1444" t="s">
        <v>5477</v>
      </c>
      <c r="K1444" t="s">
        <v>5549</v>
      </c>
      <c r="L1444" t="s">
        <v>5618</v>
      </c>
      <c r="M1444" t="s">
        <v>5618</v>
      </c>
    </row>
    <row r="1445" spans="10:13" x14ac:dyDescent="0.2">
      <c r="J1445" t="s">
        <v>5477</v>
      </c>
      <c r="K1445" t="s">
        <v>5549</v>
      </c>
      <c r="L1445" t="s">
        <v>5646</v>
      </c>
      <c r="M1445" t="s">
        <v>5656</v>
      </c>
    </row>
    <row r="1446" spans="10:13" x14ac:dyDescent="0.2">
      <c r="J1446" t="s">
        <v>5477</v>
      </c>
      <c r="K1446" t="s">
        <v>5549</v>
      </c>
      <c r="L1446" t="s">
        <v>5618</v>
      </c>
      <c r="M1446" t="s">
        <v>5618</v>
      </c>
    </row>
    <row r="1447" spans="10:13" x14ac:dyDescent="0.2">
      <c r="J1447" t="s">
        <v>5477</v>
      </c>
      <c r="K1447" t="s">
        <v>5549</v>
      </c>
      <c r="L1447" t="s">
        <v>5618</v>
      </c>
      <c r="M1447" t="s">
        <v>5618</v>
      </c>
    </row>
    <row r="1448" spans="10:13" x14ac:dyDescent="0.2">
      <c r="J1448" t="s">
        <v>5477</v>
      </c>
      <c r="K1448" t="s">
        <v>5549</v>
      </c>
      <c r="L1448" t="s">
        <v>5618</v>
      </c>
      <c r="M1448" t="s">
        <v>5624</v>
      </c>
    </row>
    <row r="1449" spans="10:13" x14ac:dyDescent="0.2">
      <c r="J1449" t="s">
        <v>5477</v>
      </c>
      <c r="K1449" t="s">
        <v>5549</v>
      </c>
      <c r="L1449" t="s">
        <v>5618</v>
      </c>
      <c r="M1449" t="s">
        <v>5618</v>
      </c>
    </row>
    <row r="1450" spans="10:13" x14ac:dyDescent="0.2">
      <c r="J1450" t="s">
        <v>5477</v>
      </c>
      <c r="K1450" t="s">
        <v>5549</v>
      </c>
      <c r="L1450" t="s">
        <v>5618</v>
      </c>
      <c r="M1450" t="s">
        <v>5619</v>
      </c>
    </row>
    <row r="1451" spans="10:13" x14ac:dyDescent="0.2">
      <c r="J1451" t="s">
        <v>5477</v>
      </c>
      <c r="K1451" t="s">
        <v>5549</v>
      </c>
      <c r="L1451" t="s">
        <v>5618</v>
      </c>
      <c r="M1451" t="s">
        <v>5624</v>
      </c>
    </row>
    <row r="1452" spans="10:13" x14ac:dyDescent="0.2">
      <c r="J1452" t="s">
        <v>5477</v>
      </c>
      <c r="K1452" t="s">
        <v>5549</v>
      </c>
      <c r="L1452" t="s">
        <v>5618</v>
      </c>
      <c r="M1452" t="s">
        <v>5618</v>
      </c>
    </row>
    <row r="1453" spans="10:13" x14ac:dyDescent="0.2">
      <c r="J1453" t="s">
        <v>5477</v>
      </c>
      <c r="K1453" t="s">
        <v>5541</v>
      </c>
      <c r="L1453" t="s">
        <v>5620</v>
      </c>
      <c r="M1453" t="s">
        <v>5620</v>
      </c>
    </row>
    <row r="1454" spans="10:13" x14ac:dyDescent="0.2">
      <c r="J1454" t="s">
        <v>5477</v>
      </c>
      <c r="K1454" t="s">
        <v>5541</v>
      </c>
      <c r="L1454" t="s">
        <v>5618</v>
      </c>
      <c r="M1454" t="s">
        <v>5648</v>
      </c>
    </row>
    <row r="1455" spans="10:13" x14ac:dyDescent="0.2">
      <c r="J1455" t="s">
        <v>5477</v>
      </c>
      <c r="K1455" t="s">
        <v>5549</v>
      </c>
      <c r="L1455" t="s">
        <v>5620</v>
      </c>
      <c r="M1455" t="s">
        <v>5628</v>
      </c>
    </row>
    <row r="1456" spans="10:13" x14ac:dyDescent="0.2">
      <c r="J1456" t="s">
        <v>5477</v>
      </c>
      <c r="K1456" t="s">
        <v>5549</v>
      </c>
      <c r="L1456" t="s">
        <v>5620</v>
      </c>
      <c r="M1456" t="s">
        <v>5622</v>
      </c>
    </row>
    <row r="1457" spans="10:13" x14ac:dyDescent="0.2">
      <c r="J1457" t="s">
        <v>5477</v>
      </c>
      <c r="K1457" t="s">
        <v>5549</v>
      </c>
      <c r="L1457" t="s">
        <v>5620</v>
      </c>
      <c r="M1457" t="s">
        <v>5629</v>
      </c>
    </row>
    <row r="1458" spans="10:13" x14ac:dyDescent="0.2">
      <c r="J1458" t="s">
        <v>5477</v>
      </c>
      <c r="K1458" t="s">
        <v>5549</v>
      </c>
      <c r="L1458" t="s">
        <v>5618</v>
      </c>
      <c r="M1458" t="s">
        <v>5623</v>
      </c>
    </row>
    <row r="1459" spans="10:13" x14ac:dyDescent="0.2">
      <c r="J1459" t="s">
        <v>5477</v>
      </c>
      <c r="K1459" t="s">
        <v>5549</v>
      </c>
      <c r="L1459" t="s">
        <v>5618</v>
      </c>
      <c r="M1459" t="s">
        <v>5630</v>
      </c>
    </row>
    <row r="1460" spans="10:13" x14ac:dyDescent="0.2">
      <c r="J1460" t="s">
        <v>5477</v>
      </c>
      <c r="K1460" t="s">
        <v>5549</v>
      </c>
      <c r="L1460" t="s">
        <v>5618</v>
      </c>
      <c r="M1460" t="s">
        <v>5619</v>
      </c>
    </row>
    <row r="1461" spans="10:13" x14ac:dyDescent="0.2">
      <c r="J1461" t="s">
        <v>5477</v>
      </c>
      <c r="K1461" t="s">
        <v>5549</v>
      </c>
      <c r="L1461" t="s">
        <v>5618</v>
      </c>
      <c r="M1461" t="s">
        <v>5623</v>
      </c>
    </row>
    <row r="1462" spans="10:13" x14ac:dyDescent="0.2">
      <c r="J1462" t="s">
        <v>5477</v>
      </c>
      <c r="K1462" t="s">
        <v>5549</v>
      </c>
      <c r="L1462" t="s">
        <v>5618</v>
      </c>
      <c r="M1462" t="s">
        <v>5623</v>
      </c>
    </row>
    <row r="1463" spans="10:13" x14ac:dyDescent="0.2">
      <c r="J1463" t="s">
        <v>5477</v>
      </c>
      <c r="K1463" t="s">
        <v>5549</v>
      </c>
      <c r="L1463" t="s">
        <v>5618</v>
      </c>
      <c r="M1463" t="s">
        <v>5619</v>
      </c>
    </row>
    <row r="1464" spans="10:13" x14ac:dyDescent="0.2">
      <c r="J1464" t="s">
        <v>5477</v>
      </c>
      <c r="K1464" t="s">
        <v>5549</v>
      </c>
      <c r="L1464" t="s">
        <v>5618</v>
      </c>
      <c r="M1464" t="s">
        <v>5618</v>
      </c>
    </row>
    <row r="1465" spans="10:13" x14ac:dyDescent="0.2">
      <c r="J1465" t="s">
        <v>5477</v>
      </c>
      <c r="K1465" t="s">
        <v>5549</v>
      </c>
      <c r="L1465" t="s">
        <v>5620</v>
      </c>
      <c r="M1465" t="s">
        <v>5621</v>
      </c>
    </row>
    <row r="1466" spans="10:13" x14ac:dyDescent="0.2">
      <c r="J1466" t="s">
        <v>5477</v>
      </c>
      <c r="K1466" t="s">
        <v>5541</v>
      </c>
      <c r="L1466" t="s">
        <v>5620</v>
      </c>
      <c r="M1466" t="s">
        <v>5620</v>
      </c>
    </row>
    <row r="1467" spans="10:13" x14ac:dyDescent="0.2">
      <c r="J1467" t="s">
        <v>5477</v>
      </c>
      <c r="K1467" t="s">
        <v>5549</v>
      </c>
      <c r="L1467" t="s">
        <v>5620</v>
      </c>
      <c r="M1467" t="s">
        <v>5621</v>
      </c>
    </row>
    <row r="1468" spans="10:13" x14ac:dyDescent="0.2">
      <c r="J1468" t="s">
        <v>5477</v>
      </c>
      <c r="K1468" t="s">
        <v>5549</v>
      </c>
      <c r="L1468" t="s">
        <v>5618</v>
      </c>
      <c r="M1468" t="s">
        <v>5624</v>
      </c>
    </row>
    <row r="1469" spans="10:13" x14ac:dyDescent="0.2">
      <c r="J1469" t="s">
        <v>5477</v>
      </c>
      <c r="K1469" t="s">
        <v>5549</v>
      </c>
      <c r="L1469" t="s">
        <v>5618</v>
      </c>
      <c r="M1469" t="s">
        <v>5618</v>
      </c>
    </row>
    <row r="1470" spans="10:13" x14ac:dyDescent="0.2">
      <c r="J1470" t="s">
        <v>5477</v>
      </c>
      <c r="K1470" t="s">
        <v>5541</v>
      </c>
      <c r="L1470" t="s">
        <v>5618</v>
      </c>
      <c r="M1470" t="s">
        <v>5618</v>
      </c>
    </row>
    <row r="1471" spans="10:13" x14ac:dyDescent="0.2">
      <c r="J1471" t="s">
        <v>5477</v>
      </c>
      <c r="K1471" t="s">
        <v>5549</v>
      </c>
      <c r="L1471" t="s">
        <v>5618</v>
      </c>
      <c r="M1471" t="s">
        <v>5623</v>
      </c>
    </row>
    <row r="1472" spans="10:13" x14ac:dyDescent="0.2">
      <c r="J1472" t="s">
        <v>5477</v>
      </c>
      <c r="K1472" t="s">
        <v>5549</v>
      </c>
      <c r="L1472" t="s">
        <v>5618</v>
      </c>
      <c r="M1472" t="s">
        <v>5618</v>
      </c>
    </row>
    <row r="1473" spans="10:13" x14ac:dyDescent="0.2">
      <c r="J1473" t="s">
        <v>5477</v>
      </c>
      <c r="K1473" t="s">
        <v>5549</v>
      </c>
      <c r="L1473" t="s">
        <v>5618</v>
      </c>
      <c r="M1473" t="s">
        <v>5624</v>
      </c>
    </row>
    <row r="1474" spans="10:13" x14ac:dyDescent="0.2">
      <c r="J1474" t="s">
        <v>5477</v>
      </c>
      <c r="K1474" t="s">
        <v>5541</v>
      </c>
      <c r="L1474" t="s">
        <v>5633</v>
      </c>
      <c r="M1474" t="s">
        <v>5637</v>
      </c>
    </row>
    <row r="1475" spans="10:13" x14ac:dyDescent="0.2">
      <c r="J1475" t="s">
        <v>5477</v>
      </c>
      <c r="K1475" t="s">
        <v>5541</v>
      </c>
      <c r="L1475" t="s">
        <v>5618</v>
      </c>
      <c r="M1475" t="s">
        <v>5619</v>
      </c>
    </row>
    <row r="1476" spans="10:13" x14ac:dyDescent="0.2">
      <c r="J1476" t="s">
        <v>5477</v>
      </c>
      <c r="K1476" t="s">
        <v>5549</v>
      </c>
      <c r="L1476" t="s">
        <v>5618</v>
      </c>
      <c r="M1476" t="s">
        <v>5618</v>
      </c>
    </row>
    <row r="1477" spans="10:13" x14ac:dyDescent="0.2">
      <c r="J1477" t="s">
        <v>5477</v>
      </c>
      <c r="K1477" t="s">
        <v>5549</v>
      </c>
      <c r="L1477" t="s">
        <v>5620</v>
      </c>
      <c r="M1477" t="s">
        <v>5629</v>
      </c>
    </row>
    <row r="1478" spans="10:13" x14ac:dyDescent="0.2">
      <c r="J1478" t="s">
        <v>5477</v>
      </c>
      <c r="K1478" t="s">
        <v>5549</v>
      </c>
      <c r="L1478" t="s">
        <v>5618</v>
      </c>
      <c r="M1478" t="s">
        <v>5618</v>
      </c>
    </row>
    <row r="1479" spans="10:13" x14ac:dyDescent="0.2">
      <c r="J1479" t="s">
        <v>5477</v>
      </c>
      <c r="K1479" t="s">
        <v>5541</v>
      </c>
      <c r="L1479" t="s">
        <v>5634</v>
      </c>
      <c r="M1479" t="s">
        <v>5634</v>
      </c>
    </row>
    <row r="1480" spans="10:13" x14ac:dyDescent="0.2">
      <c r="J1480" t="s">
        <v>5477</v>
      </c>
      <c r="K1480" t="s">
        <v>5549</v>
      </c>
      <c r="L1480" t="s">
        <v>5618</v>
      </c>
      <c r="M1480" t="s">
        <v>5618</v>
      </c>
    </row>
    <row r="1481" spans="10:13" x14ac:dyDescent="0.2">
      <c r="J1481" t="s">
        <v>5477</v>
      </c>
      <c r="K1481" t="s">
        <v>5549</v>
      </c>
      <c r="L1481" t="s">
        <v>5618</v>
      </c>
      <c r="M1481" t="s">
        <v>5618</v>
      </c>
    </row>
    <row r="1482" spans="10:13" x14ac:dyDescent="0.2">
      <c r="J1482" t="s">
        <v>5477</v>
      </c>
      <c r="K1482" t="s">
        <v>5549</v>
      </c>
      <c r="L1482" t="s">
        <v>5618</v>
      </c>
      <c r="M1482" t="s">
        <v>5624</v>
      </c>
    </row>
    <row r="1483" spans="10:13" x14ac:dyDescent="0.2">
      <c r="J1483" t="s">
        <v>5477</v>
      </c>
      <c r="K1483" t="s">
        <v>5549</v>
      </c>
      <c r="L1483" t="s">
        <v>5618</v>
      </c>
      <c r="M1483" t="s">
        <v>5623</v>
      </c>
    </row>
    <row r="1484" spans="10:13" x14ac:dyDescent="0.2">
      <c r="J1484" t="s">
        <v>5477</v>
      </c>
      <c r="K1484" t="s">
        <v>5541</v>
      </c>
      <c r="L1484" t="s">
        <v>5620</v>
      </c>
      <c r="M1484" t="s">
        <v>5620</v>
      </c>
    </row>
    <row r="1485" spans="10:13" x14ac:dyDescent="0.2">
      <c r="J1485" t="s">
        <v>5477</v>
      </c>
      <c r="K1485" t="s">
        <v>5541</v>
      </c>
      <c r="L1485" t="s">
        <v>5620</v>
      </c>
      <c r="M1485" t="s">
        <v>5620</v>
      </c>
    </row>
    <row r="1486" spans="10:13" x14ac:dyDescent="0.2">
      <c r="J1486" t="s">
        <v>5477</v>
      </c>
      <c r="K1486" t="s">
        <v>5549</v>
      </c>
      <c r="L1486" t="s">
        <v>5646</v>
      </c>
      <c r="M1486" t="s">
        <v>5646</v>
      </c>
    </row>
    <row r="1487" spans="10:13" x14ac:dyDescent="0.2">
      <c r="J1487" t="s">
        <v>5477</v>
      </c>
      <c r="K1487" t="s">
        <v>5549</v>
      </c>
      <c r="L1487" t="s">
        <v>5618</v>
      </c>
      <c r="M1487" t="s">
        <v>5619</v>
      </c>
    </row>
    <row r="1488" spans="10:13" x14ac:dyDescent="0.2">
      <c r="J1488" t="s">
        <v>5477</v>
      </c>
      <c r="K1488" t="s">
        <v>5549</v>
      </c>
      <c r="L1488" t="s">
        <v>5618</v>
      </c>
      <c r="M1488" t="s">
        <v>5645</v>
      </c>
    </row>
    <row r="1489" spans="10:13" x14ac:dyDescent="0.2">
      <c r="J1489" t="s">
        <v>5477</v>
      </c>
      <c r="K1489" t="s">
        <v>5549</v>
      </c>
      <c r="L1489" t="s">
        <v>5618</v>
      </c>
      <c r="M1489" t="s">
        <v>5618</v>
      </c>
    </row>
    <row r="1490" spans="10:13" x14ac:dyDescent="0.2">
      <c r="J1490" t="s">
        <v>5477</v>
      </c>
      <c r="K1490" t="s">
        <v>5541</v>
      </c>
      <c r="L1490" t="s">
        <v>5634</v>
      </c>
      <c r="M1490" t="s">
        <v>5634</v>
      </c>
    </row>
    <row r="1491" spans="10:13" x14ac:dyDescent="0.2">
      <c r="J1491" t="s">
        <v>5477</v>
      </c>
      <c r="K1491" t="s">
        <v>5549</v>
      </c>
      <c r="L1491" t="s">
        <v>5618</v>
      </c>
      <c r="M1491" t="s">
        <v>5618</v>
      </c>
    </row>
    <row r="1492" spans="10:13" x14ac:dyDescent="0.2">
      <c r="J1492" t="s">
        <v>5477</v>
      </c>
      <c r="K1492" t="s">
        <v>5549</v>
      </c>
      <c r="L1492" t="s">
        <v>5618</v>
      </c>
      <c r="M1492" t="s">
        <v>5619</v>
      </c>
    </row>
    <row r="1493" spans="10:13" x14ac:dyDescent="0.2">
      <c r="J1493" t="s">
        <v>5477</v>
      </c>
      <c r="K1493" t="s">
        <v>5549</v>
      </c>
      <c r="L1493" t="s">
        <v>5618</v>
      </c>
      <c r="M1493" t="s">
        <v>5619</v>
      </c>
    </row>
    <row r="1494" spans="10:13" x14ac:dyDescent="0.2">
      <c r="J1494" t="s">
        <v>5477</v>
      </c>
      <c r="K1494" t="s">
        <v>5541</v>
      </c>
      <c r="L1494" t="s">
        <v>5634</v>
      </c>
      <c r="M1494" t="s">
        <v>5634</v>
      </c>
    </row>
    <row r="1495" spans="10:13" x14ac:dyDescent="0.2">
      <c r="J1495" t="s">
        <v>5477</v>
      </c>
      <c r="K1495" t="s">
        <v>5549</v>
      </c>
      <c r="L1495" t="s">
        <v>5618</v>
      </c>
      <c r="M1495" t="s">
        <v>5618</v>
      </c>
    </row>
    <row r="1496" spans="10:13" x14ac:dyDescent="0.2">
      <c r="J1496" t="s">
        <v>5477</v>
      </c>
      <c r="K1496" t="s">
        <v>5549</v>
      </c>
      <c r="L1496" t="s">
        <v>5620</v>
      </c>
      <c r="M1496" t="s">
        <v>5622</v>
      </c>
    </row>
    <row r="1497" spans="10:13" x14ac:dyDescent="0.2">
      <c r="J1497" t="s">
        <v>5477</v>
      </c>
      <c r="K1497" t="s">
        <v>5549</v>
      </c>
      <c r="L1497" t="s">
        <v>5618</v>
      </c>
      <c r="M1497" t="s">
        <v>5624</v>
      </c>
    </row>
    <row r="1498" spans="10:13" x14ac:dyDescent="0.2">
      <c r="J1498" t="s">
        <v>5477</v>
      </c>
      <c r="K1498" t="s">
        <v>5549</v>
      </c>
      <c r="L1498" t="s">
        <v>5646</v>
      </c>
      <c r="M1498" t="s">
        <v>5661</v>
      </c>
    </row>
    <row r="1499" spans="10:13" x14ac:dyDescent="0.2">
      <c r="J1499" t="s">
        <v>5477</v>
      </c>
      <c r="K1499" t="s">
        <v>5541</v>
      </c>
      <c r="L1499" t="s">
        <v>5659</v>
      </c>
      <c r="M1499" t="s">
        <v>5659</v>
      </c>
    </row>
    <row r="1500" spans="10:13" x14ac:dyDescent="0.2">
      <c r="J1500" t="s">
        <v>5477</v>
      </c>
      <c r="K1500" t="s">
        <v>5549</v>
      </c>
      <c r="L1500" t="s">
        <v>5620</v>
      </c>
      <c r="M1500" t="s">
        <v>5629</v>
      </c>
    </row>
    <row r="1501" spans="10:13" x14ac:dyDescent="0.2">
      <c r="J1501" t="s">
        <v>5477</v>
      </c>
      <c r="K1501" t="s">
        <v>5541</v>
      </c>
      <c r="L1501" t="s">
        <v>5633</v>
      </c>
      <c r="M1501" t="s">
        <v>5655</v>
      </c>
    </row>
    <row r="1502" spans="10:13" x14ac:dyDescent="0.2">
      <c r="J1502" t="s">
        <v>5477</v>
      </c>
      <c r="K1502" t="s">
        <v>5549</v>
      </c>
      <c r="L1502" t="s">
        <v>5618</v>
      </c>
      <c r="M1502" t="s">
        <v>5630</v>
      </c>
    </row>
    <row r="1503" spans="10:13" x14ac:dyDescent="0.2">
      <c r="J1503" t="s">
        <v>5477</v>
      </c>
      <c r="K1503" t="s">
        <v>5549</v>
      </c>
      <c r="L1503" t="s">
        <v>5618</v>
      </c>
      <c r="M1503" t="s">
        <v>5619</v>
      </c>
    </row>
    <row r="1504" spans="10:13" x14ac:dyDescent="0.2">
      <c r="J1504" t="s">
        <v>5477</v>
      </c>
      <c r="K1504" t="s">
        <v>5549</v>
      </c>
      <c r="L1504" t="s">
        <v>5618</v>
      </c>
      <c r="M1504" t="s">
        <v>5619</v>
      </c>
    </row>
    <row r="1505" spans="10:13" x14ac:dyDescent="0.2">
      <c r="J1505" t="s">
        <v>5477</v>
      </c>
      <c r="K1505" t="s">
        <v>5549</v>
      </c>
      <c r="L1505" t="s">
        <v>5646</v>
      </c>
      <c r="M1505" t="s">
        <v>5649</v>
      </c>
    </row>
    <row r="1506" spans="10:13" x14ac:dyDescent="0.2">
      <c r="J1506" t="s">
        <v>5477</v>
      </c>
      <c r="K1506" t="s">
        <v>5549</v>
      </c>
      <c r="L1506" t="s">
        <v>5646</v>
      </c>
      <c r="M1506" t="s">
        <v>5646</v>
      </c>
    </row>
    <row r="1507" spans="10:13" x14ac:dyDescent="0.2">
      <c r="J1507" t="s">
        <v>5477</v>
      </c>
      <c r="K1507" t="s">
        <v>5549</v>
      </c>
      <c r="L1507" t="s">
        <v>5618</v>
      </c>
      <c r="M1507" t="s">
        <v>5618</v>
      </c>
    </row>
    <row r="1508" spans="10:13" x14ac:dyDescent="0.2">
      <c r="J1508" t="s">
        <v>5477</v>
      </c>
      <c r="K1508" t="s">
        <v>5541</v>
      </c>
      <c r="L1508" t="s">
        <v>5618</v>
      </c>
      <c r="M1508" t="s">
        <v>5618</v>
      </c>
    </row>
    <row r="1509" spans="10:13" x14ac:dyDescent="0.2">
      <c r="J1509" t="s">
        <v>5477</v>
      </c>
      <c r="K1509" t="s">
        <v>5541</v>
      </c>
      <c r="L1509" t="s">
        <v>5618</v>
      </c>
      <c r="M1509" t="s">
        <v>5618</v>
      </c>
    </row>
    <row r="1510" spans="10:13" x14ac:dyDescent="0.2">
      <c r="J1510" t="s">
        <v>5477</v>
      </c>
      <c r="K1510" t="s">
        <v>5549</v>
      </c>
      <c r="L1510" t="s">
        <v>5618</v>
      </c>
      <c r="M1510" t="s">
        <v>5618</v>
      </c>
    </row>
    <row r="1511" spans="10:13" x14ac:dyDescent="0.2">
      <c r="J1511" t="s">
        <v>5477</v>
      </c>
      <c r="K1511" t="s">
        <v>5549</v>
      </c>
      <c r="L1511" t="s">
        <v>5618</v>
      </c>
      <c r="M1511" t="s">
        <v>5618</v>
      </c>
    </row>
    <row r="1512" spans="10:13" x14ac:dyDescent="0.2">
      <c r="J1512" t="s">
        <v>5477</v>
      </c>
      <c r="K1512" t="s">
        <v>5549</v>
      </c>
      <c r="L1512" t="s">
        <v>5618</v>
      </c>
      <c r="M1512" t="s">
        <v>5624</v>
      </c>
    </row>
    <row r="1513" spans="10:13" x14ac:dyDescent="0.2">
      <c r="J1513" t="s">
        <v>5477</v>
      </c>
      <c r="K1513" t="s">
        <v>5541</v>
      </c>
      <c r="L1513" t="s">
        <v>5618</v>
      </c>
      <c r="M1513" t="s">
        <v>5618</v>
      </c>
    </row>
    <row r="1514" spans="10:13" x14ac:dyDescent="0.2">
      <c r="J1514" t="s">
        <v>5477</v>
      </c>
      <c r="K1514" t="s">
        <v>5549</v>
      </c>
      <c r="L1514" t="s">
        <v>5618</v>
      </c>
      <c r="M1514" t="s">
        <v>5644</v>
      </c>
    </row>
    <row r="1515" spans="10:13" x14ac:dyDescent="0.2">
      <c r="J1515" t="s">
        <v>5477</v>
      </c>
      <c r="K1515" t="s">
        <v>5549</v>
      </c>
      <c r="L1515" t="s">
        <v>5618</v>
      </c>
      <c r="M1515" t="s">
        <v>5619</v>
      </c>
    </row>
    <row r="1516" spans="10:13" x14ac:dyDescent="0.2">
      <c r="J1516" t="s">
        <v>5477</v>
      </c>
      <c r="K1516" t="s">
        <v>5541</v>
      </c>
      <c r="L1516" t="s">
        <v>5618</v>
      </c>
      <c r="M1516" t="s">
        <v>5643</v>
      </c>
    </row>
    <row r="1517" spans="10:13" x14ac:dyDescent="0.2">
      <c r="J1517" t="s">
        <v>5477</v>
      </c>
      <c r="K1517" t="s">
        <v>5541</v>
      </c>
      <c r="L1517" t="s">
        <v>5620</v>
      </c>
      <c r="M1517" t="s">
        <v>5620</v>
      </c>
    </row>
    <row r="1518" spans="10:13" x14ac:dyDescent="0.2">
      <c r="J1518" t="s">
        <v>5477</v>
      </c>
      <c r="K1518" t="s">
        <v>5549</v>
      </c>
      <c r="L1518" t="s">
        <v>5618</v>
      </c>
      <c r="M1518" t="s">
        <v>5618</v>
      </c>
    </row>
    <row r="1519" spans="10:13" x14ac:dyDescent="0.2">
      <c r="J1519" t="s">
        <v>5477</v>
      </c>
      <c r="K1519" t="s">
        <v>5549</v>
      </c>
      <c r="L1519" t="s">
        <v>5618</v>
      </c>
      <c r="M1519" t="s">
        <v>5619</v>
      </c>
    </row>
    <row r="1520" spans="10:13" x14ac:dyDescent="0.2">
      <c r="J1520" t="s">
        <v>5477</v>
      </c>
      <c r="K1520" t="s">
        <v>5549</v>
      </c>
      <c r="L1520" t="s">
        <v>5620</v>
      </c>
      <c r="M1520" t="s">
        <v>5629</v>
      </c>
    </row>
    <row r="1521" spans="10:13" x14ac:dyDescent="0.2">
      <c r="J1521" t="s">
        <v>5477</v>
      </c>
      <c r="K1521" t="s">
        <v>5549</v>
      </c>
      <c r="L1521" t="s">
        <v>5618</v>
      </c>
      <c r="M1521" t="s">
        <v>5645</v>
      </c>
    </row>
    <row r="1522" spans="10:13" x14ac:dyDescent="0.2">
      <c r="J1522" t="s">
        <v>5477</v>
      </c>
      <c r="K1522" t="s">
        <v>5549</v>
      </c>
      <c r="L1522" t="s">
        <v>5618</v>
      </c>
      <c r="M1522" t="s">
        <v>5624</v>
      </c>
    </row>
    <row r="1523" spans="10:13" x14ac:dyDescent="0.2">
      <c r="J1523" t="s">
        <v>5477</v>
      </c>
      <c r="K1523" t="s">
        <v>5549</v>
      </c>
      <c r="L1523" t="s">
        <v>5618</v>
      </c>
      <c r="M1523" t="s">
        <v>5619</v>
      </c>
    </row>
    <row r="1524" spans="10:13" x14ac:dyDescent="0.2">
      <c r="J1524" t="s">
        <v>5477</v>
      </c>
      <c r="K1524" t="s">
        <v>5549</v>
      </c>
      <c r="L1524" t="s">
        <v>5618</v>
      </c>
      <c r="M1524" t="s">
        <v>5619</v>
      </c>
    </row>
    <row r="1525" spans="10:13" x14ac:dyDescent="0.2">
      <c r="J1525" t="s">
        <v>5477</v>
      </c>
      <c r="K1525" t="s">
        <v>5541</v>
      </c>
      <c r="L1525" t="s">
        <v>5620</v>
      </c>
      <c r="M1525" t="s">
        <v>5621</v>
      </c>
    </row>
    <row r="1526" spans="10:13" x14ac:dyDescent="0.2">
      <c r="J1526" t="s">
        <v>5477</v>
      </c>
      <c r="K1526" t="s">
        <v>5541</v>
      </c>
      <c r="L1526" t="s">
        <v>5618</v>
      </c>
      <c r="M1526" t="s">
        <v>5623</v>
      </c>
    </row>
    <row r="1527" spans="10:13" x14ac:dyDescent="0.2">
      <c r="J1527" t="s">
        <v>5477</v>
      </c>
      <c r="K1527" t="s">
        <v>5541</v>
      </c>
      <c r="L1527" t="s">
        <v>5620</v>
      </c>
      <c r="M1527" t="s">
        <v>5620</v>
      </c>
    </row>
    <row r="1528" spans="10:13" x14ac:dyDescent="0.2">
      <c r="J1528" t="s">
        <v>5477</v>
      </c>
      <c r="K1528" t="s">
        <v>5549</v>
      </c>
      <c r="L1528" t="s">
        <v>5618</v>
      </c>
      <c r="M1528" t="s">
        <v>5619</v>
      </c>
    </row>
    <row r="1529" spans="10:13" x14ac:dyDescent="0.2">
      <c r="J1529" t="s">
        <v>5477</v>
      </c>
      <c r="K1529" t="s">
        <v>5541</v>
      </c>
      <c r="L1529" t="s">
        <v>5620</v>
      </c>
      <c r="M1529" t="s">
        <v>5627</v>
      </c>
    </row>
    <row r="1530" spans="10:13" x14ac:dyDescent="0.2">
      <c r="J1530" t="s">
        <v>5477</v>
      </c>
      <c r="K1530" t="s">
        <v>5541</v>
      </c>
      <c r="L1530" t="s">
        <v>5618</v>
      </c>
      <c r="M1530" t="s">
        <v>5619</v>
      </c>
    </row>
    <row r="1531" spans="10:13" x14ac:dyDescent="0.2">
      <c r="J1531" t="s">
        <v>5477</v>
      </c>
      <c r="K1531" t="s">
        <v>5549</v>
      </c>
      <c r="L1531" t="s">
        <v>5618</v>
      </c>
      <c r="M1531" t="s">
        <v>5623</v>
      </c>
    </row>
    <row r="1532" spans="10:13" x14ac:dyDescent="0.2">
      <c r="J1532" t="s">
        <v>5477</v>
      </c>
      <c r="K1532" t="s">
        <v>5549</v>
      </c>
      <c r="L1532" t="s">
        <v>5618</v>
      </c>
      <c r="M1532" t="s">
        <v>5619</v>
      </c>
    </row>
    <row r="1533" spans="10:13" x14ac:dyDescent="0.2">
      <c r="J1533" t="s">
        <v>5477</v>
      </c>
      <c r="K1533" t="s">
        <v>5541</v>
      </c>
      <c r="L1533" t="s">
        <v>5659</v>
      </c>
      <c r="M1533" t="s">
        <v>5659</v>
      </c>
    </row>
    <row r="1534" spans="10:13" x14ac:dyDescent="0.2">
      <c r="J1534" t="s">
        <v>5477</v>
      </c>
      <c r="K1534" t="s">
        <v>5549</v>
      </c>
      <c r="L1534" t="s">
        <v>5646</v>
      </c>
      <c r="M1534" t="s">
        <v>5646</v>
      </c>
    </row>
    <row r="1535" spans="10:13" x14ac:dyDescent="0.2">
      <c r="J1535" t="s">
        <v>5477</v>
      </c>
      <c r="K1535" t="s">
        <v>5549</v>
      </c>
      <c r="L1535" t="s">
        <v>5618</v>
      </c>
      <c r="M1535" t="s">
        <v>5623</v>
      </c>
    </row>
    <row r="1536" spans="10:13" x14ac:dyDescent="0.2">
      <c r="J1536" t="s">
        <v>5477</v>
      </c>
      <c r="K1536" t="s">
        <v>5549</v>
      </c>
      <c r="L1536" t="s">
        <v>5620</v>
      </c>
      <c r="M1536" t="s">
        <v>5625</v>
      </c>
    </row>
    <row r="1537" spans="10:13" x14ac:dyDescent="0.2">
      <c r="J1537" t="s">
        <v>5477</v>
      </c>
      <c r="K1537" t="s">
        <v>5549</v>
      </c>
      <c r="L1537" t="s">
        <v>5620</v>
      </c>
      <c r="M1537" t="s">
        <v>5625</v>
      </c>
    </row>
    <row r="1538" spans="10:13" x14ac:dyDescent="0.2">
      <c r="J1538" t="s">
        <v>5477</v>
      </c>
      <c r="K1538" t="s">
        <v>5549</v>
      </c>
      <c r="L1538" t="s">
        <v>5618</v>
      </c>
      <c r="M1538" t="s">
        <v>5619</v>
      </c>
    </row>
    <row r="1539" spans="10:13" x14ac:dyDescent="0.2">
      <c r="J1539" t="s">
        <v>5477</v>
      </c>
      <c r="K1539" t="s">
        <v>5549</v>
      </c>
      <c r="L1539" t="s">
        <v>5620</v>
      </c>
      <c r="M1539" t="s">
        <v>5625</v>
      </c>
    </row>
    <row r="1540" spans="10:13" x14ac:dyDescent="0.2">
      <c r="J1540" t="s">
        <v>5477</v>
      </c>
      <c r="K1540" t="s">
        <v>5541</v>
      </c>
      <c r="L1540" t="s">
        <v>5618</v>
      </c>
      <c r="M1540" t="s">
        <v>5618</v>
      </c>
    </row>
    <row r="1541" spans="10:13" x14ac:dyDescent="0.2">
      <c r="J1541" t="s">
        <v>5477</v>
      </c>
      <c r="K1541" t="s">
        <v>5549</v>
      </c>
      <c r="L1541" t="s">
        <v>5618</v>
      </c>
      <c r="M1541" t="s">
        <v>5619</v>
      </c>
    </row>
    <row r="1542" spans="10:13" x14ac:dyDescent="0.2">
      <c r="J1542" t="s">
        <v>5477</v>
      </c>
      <c r="K1542" t="s">
        <v>5549</v>
      </c>
      <c r="L1542" t="s">
        <v>5618</v>
      </c>
      <c r="M1542" t="s">
        <v>5618</v>
      </c>
    </row>
    <row r="1543" spans="10:13" x14ac:dyDescent="0.2">
      <c r="J1543" t="s">
        <v>5477</v>
      </c>
      <c r="K1543" t="s">
        <v>5549</v>
      </c>
      <c r="L1543" t="s">
        <v>5618</v>
      </c>
      <c r="M1543" t="s">
        <v>5618</v>
      </c>
    </row>
    <row r="1544" spans="10:13" x14ac:dyDescent="0.2">
      <c r="J1544" t="s">
        <v>5477</v>
      </c>
      <c r="K1544" t="s">
        <v>5549</v>
      </c>
      <c r="L1544" t="s">
        <v>5618</v>
      </c>
      <c r="M1544" t="s">
        <v>5623</v>
      </c>
    </row>
    <row r="1545" spans="10:13" x14ac:dyDescent="0.2">
      <c r="J1545" t="s">
        <v>5477</v>
      </c>
      <c r="K1545" t="s">
        <v>5541</v>
      </c>
      <c r="L1545" t="s">
        <v>5618</v>
      </c>
      <c r="M1545" t="s">
        <v>5618</v>
      </c>
    </row>
    <row r="1546" spans="10:13" x14ac:dyDescent="0.2">
      <c r="J1546" t="s">
        <v>5477</v>
      </c>
      <c r="K1546" t="s">
        <v>5549</v>
      </c>
      <c r="L1546" t="s">
        <v>5618</v>
      </c>
      <c r="M1546" t="s">
        <v>5623</v>
      </c>
    </row>
    <row r="1547" spans="10:13" x14ac:dyDescent="0.2">
      <c r="J1547" t="s">
        <v>5477</v>
      </c>
      <c r="K1547" t="s">
        <v>5541</v>
      </c>
      <c r="L1547" t="s">
        <v>5633</v>
      </c>
      <c r="M1547" t="s">
        <v>5642</v>
      </c>
    </row>
    <row r="1548" spans="10:13" x14ac:dyDescent="0.2">
      <c r="J1548" t="s">
        <v>5477</v>
      </c>
      <c r="K1548" t="s">
        <v>5549</v>
      </c>
      <c r="L1548" t="s">
        <v>5618</v>
      </c>
      <c r="M1548" t="s">
        <v>5618</v>
      </c>
    </row>
    <row r="1549" spans="10:13" x14ac:dyDescent="0.2">
      <c r="J1549" t="s">
        <v>5477</v>
      </c>
      <c r="K1549" t="s">
        <v>5541</v>
      </c>
      <c r="L1549" t="s">
        <v>5634</v>
      </c>
      <c r="M1549" t="s">
        <v>5634</v>
      </c>
    </row>
    <row r="1550" spans="10:13" x14ac:dyDescent="0.2">
      <c r="J1550" t="s">
        <v>5477</v>
      </c>
      <c r="K1550" t="s">
        <v>5541</v>
      </c>
      <c r="L1550" t="s">
        <v>5659</v>
      </c>
      <c r="M1550" t="s">
        <v>5659</v>
      </c>
    </row>
    <row r="1551" spans="10:13" x14ac:dyDescent="0.2">
      <c r="J1551" t="s">
        <v>5477</v>
      </c>
      <c r="K1551" t="s">
        <v>5541</v>
      </c>
      <c r="L1551" t="s">
        <v>5618</v>
      </c>
      <c r="M1551" t="s">
        <v>5618</v>
      </c>
    </row>
    <row r="1552" spans="10:13" x14ac:dyDescent="0.2">
      <c r="J1552" t="s">
        <v>5477</v>
      </c>
      <c r="K1552" t="s">
        <v>5541</v>
      </c>
      <c r="L1552" t="s">
        <v>5618</v>
      </c>
      <c r="M1552" t="s">
        <v>5618</v>
      </c>
    </row>
    <row r="1553" spans="10:13" x14ac:dyDescent="0.2">
      <c r="J1553" t="s">
        <v>5477</v>
      </c>
      <c r="K1553" t="s">
        <v>5541</v>
      </c>
      <c r="L1553" t="s">
        <v>5634</v>
      </c>
      <c r="M1553" t="s">
        <v>5634</v>
      </c>
    </row>
    <row r="1554" spans="10:13" x14ac:dyDescent="0.2">
      <c r="J1554" t="s">
        <v>5477</v>
      </c>
      <c r="K1554" t="s">
        <v>5549</v>
      </c>
      <c r="L1554" t="s">
        <v>5618</v>
      </c>
      <c r="M1554" t="s">
        <v>5618</v>
      </c>
    </row>
    <row r="1555" spans="10:13" x14ac:dyDescent="0.2">
      <c r="J1555" t="s">
        <v>5477</v>
      </c>
      <c r="K1555" t="s">
        <v>5541</v>
      </c>
      <c r="L1555" t="s">
        <v>5618</v>
      </c>
      <c r="M1555" t="s">
        <v>5618</v>
      </c>
    </row>
    <row r="1556" spans="10:13" x14ac:dyDescent="0.2">
      <c r="J1556" t="s">
        <v>5477</v>
      </c>
      <c r="K1556" t="s">
        <v>5549</v>
      </c>
      <c r="L1556" t="s">
        <v>5620</v>
      </c>
      <c r="M1556" t="s">
        <v>5621</v>
      </c>
    </row>
    <row r="1557" spans="10:13" x14ac:dyDescent="0.2">
      <c r="J1557" t="s">
        <v>5477</v>
      </c>
      <c r="K1557" t="s">
        <v>5541</v>
      </c>
      <c r="L1557" t="s">
        <v>5618</v>
      </c>
      <c r="M1557" t="s">
        <v>5624</v>
      </c>
    </row>
    <row r="1558" spans="10:13" x14ac:dyDescent="0.2">
      <c r="J1558" t="s">
        <v>5477</v>
      </c>
      <c r="K1558" t="s">
        <v>5549</v>
      </c>
      <c r="L1558" t="s">
        <v>5620</v>
      </c>
      <c r="M1558" t="s">
        <v>5629</v>
      </c>
    </row>
    <row r="1559" spans="10:13" x14ac:dyDescent="0.2">
      <c r="J1559" t="s">
        <v>5477</v>
      </c>
      <c r="K1559" t="s">
        <v>5541</v>
      </c>
      <c r="L1559" t="s">
        <v>5618</v>
      </c>
      <c r="M1559" t="s">
        <v>5618</v>
      </c>
    </row>
    <row r="1560" spans="10:13" x14ac:dyDescent="0.2">
      <c r="J1560" t="s">
        <v>5477</v>
      </c>
      <c r="K1560" t="s">
        <v>5541</v>
      </c>
      <c r="L1560" t="s">
        <v>5618</v>
      </c>
      <c r="M1560" t="s">
        <v>5618</v>
      </c>
    </row>
    <row r="1561" spans="10:13" x14ac:dyDescent="0.2">
      <c r="J1561" t="s">
        <v>5477</v>
      </c>
      <c r="K1561" t="s">
        <v>5549</v>
      </c>
      <c r="L1561" t="s">
        <v>5620</v>
      </c>
      <c r="M1561" t="s">
        <v>5629</v>
      </c>
    </row>
    <row r="1562" spans="10:13" x14ac:dyDescent="0.2">
      <c r="J1562" t="s">
        <v>5477</v>
      </c>
      <c r="K1562" t="s">
        <v>5549</v>
      </c>
      <c r="L1562" t="s">
        <v>5618</v>
      </c>
      <c r="M1562" t="s">
        <v>5618</v>
      </c>
    </row>
    <row r="1563" spans="10:13" x14ac:dyDescent="0.2">
      <c r="J1563" t="s">
        <v>5477</v>
      </c>
      <c r="K1563" t="s">
        <v>5541</v>
      </c>
      <c r="L1563" t="s">
        <v>5620</v>
      </c>
      <c r="M1563" t="s">
        <v>5621</v>
      </c>
    </row>
    <row r="1564" spans="10:13" x14ac:dyDescent="0.2">
      <c r="J1564" t="s">
        <v>5477</v>
      </c>
      <c r="K1564" t="s">
        <v>5541</v>
      </c>
      <c r="L1564" t="s">
        <v>5620</v>
      </c>
      <c r="M1564" t="s">
        <v>5620</v>
      </c>
    </row>
    <row r="1565" spans="10:13" x14ac:dyDescent="0.2">
      <c r="J1565" t="s">
        <v>5477</v>
      </c>
      <c r="K1565" t="s">
        <v>5549</v>
      </c>
      <c r="L1565" t="s">
        <v>5618</v>
      </c>
      <c r="M1565" t="s">
        <v>5645</v>
      </c>
    </row>
    <row r="1566" spans="10:13" x14ac:dyDescent="0.2">
      <c r="J1566" t="s">
        <v>5477</v>
      </c>
      <c r="K1566" t="s">
        <v>5549</v>
      </c>
      <c r="L1566" t="s">
        <v>5618</v>
      </c>
      <c r="M1566" t="s">
        <v>5619</v>
      </c>
    </row>
    <row r="1567" spans="10:13" x14ac:dyDescent="0.2">
      <c r="J1567" t="s">
        <v>5477</v>
      </c>
      <c r="K1567" t="s">
        <v>5549</v>
      </c>
      <c r="L1567" t="s">
        <v>5618</v>
      </c>
      <c r="M1567" t="s">
        <v>5619</v>
      </c>
    </row>
    <row r="1568" spans="10:13" x14ac:dyDescent="0.2">
      <c r="J1568" t="s">
        <v>5477</v>
      </c>
      <c r="K1568" t="s">
        <v>5549</v>
      </c>
      <c r="L1568" t="s">
        <v>5618</v>
      </c>
      <c r="M1568" t="s">
        <v>5619</v>
      </c>
    </row>
    <row r="1569" spans="10:13" x14ac:dyDescent="0.2">
      <c r="J1569" t="s">
        <v>5477</v>
      </c>
      <c r="K1569" t="s">
        <v>5549</v>
      </c>
      <c r="L1569" t="s">
        <v>5646</v>
      </c>
      <c r="M1569" t="s">
        <v>5656</v>
      </c>
    </row>
    <row r="1570" spans="10:13" x14ac:dyDescent="0.2">
      <c r="J1570" t="s">
        <v>5477</v>
      </c>
      <c r="K1570" t="s">
        <v>5541</v>
      </c>
      <c r="L1570" t="s">
        <v>5618</v>
      </c>
      <c r="M1570" t="s">
        <v>5643</v>
      </c>
    </row>
    <row r="1571" spans="10:13" x14ac:dyDescent="0.2">
      <c r="J1571" t="s">
        <v>5477</v>
      </c>
      <c r="K1571" t="s">
        <v>5541</v>
      </c>
      <c r="L1571" t="s">
        <v>5634</v>
      </c>
      <c r="M1571" t="s">
        <v>5634</v>
      </c>
    </row>
    <row r="1572" spans="10:13" x14ac:dyDescent="0.2">
      <c r="J1572" t="s">
        <v>5477</v>
      </c>
      <c r="K1572" t="s">
        <v>5549</v>
      </c>
      <c r="L1572" t="s">
        <v>5618</v>
      </c>
      <c r="M1572" t="s">
        <v>5623</v>
      </c>
    </row>
    <row r="1573" spans="10:13" x14ac:dyDescent="0.2">
      <c r="J1573" t="s">
        <v>5477</v>
      </c>
      <c r="K1573" t="s">
        <v>5541</v>
      </c>
      <c r="L1573" t="s">
        <v>5620</v>
      </c>
      <c r="M1573" t="s">
        <v>5627</v>
      </c>
    </row>
    <row r="1574" spans="10:13" x14ac:dyDescent="0.2">
      <c r="J1574" t="s">
        <v>5477</v>
      </c>
      <c r="K1574" t="s">
        <v>5541</v>
      </c>
      <c r="L1574" t="s">
        <v>5620</v>
      </c>
      <c r="M1574" t="s">
        <v>5620</v>
      </c>
    </row>
    <row r="1575" spans="10:13" x14ac:dyDescent="0.2">
      <c r="J1575" t="s">
        <v>5477</v>
      </c>
      <c r="K1575" t="s">
        <v>5541</v>
      </c>
      <c r="L1575" t="s">
        <v>5618</v>
      </c>
      <c r="M1575" t="s">
        <v>5618</v>
      </c>
    </row>
    <row r="1576" spans="10:13" x14ac:dyDescent="0.2">
      <c r="J1576" t="s">
        <v>5477</v>
      </c>
      <c r="K1576" t="s">
        <v>5541</v>
      </c>
      <c r="L1576" t="s">
        <v>5618</v>
      </c>
      <c r="M1576" t="s">
        <v>5618</v>
      </c>
    </row>
    <row r="1577" spans="10:13" x14ac:dyDescent="0.2">
      <c r="J1577" t="s">
        <v>5477</v>
      </c>
      <c r="K1577" t="s">
        <v>5549</v>
      </c>
      <c r="L1577" t="s">
        <v>5620</v>
      </c>
      <c r="M1577" t="s">
        <v>5622</v>
      </c>
    </row>
    <row r="1578" spans="10:13" x14ac:dyDescent="0.2">
      <c r="J1578" t="s">
        <v>5477</v>
      </c>
      <c r="K1578" t="s">
        <v>5549</v>
      </c>
      <c r="L1578" t="s">
        <v>5618</v>
      </c>
      <c r="M1578" t="s">
        <v>5619</v>
      </c>
    </row>
    <row r="1579" spans="10:13" x14ac:dyDescent="0.2">
      <c r="J1579" t="s">
        <v>5477</v>
      </c>
      <c r="K1579" t="s">
        <v>5549</v>
      </c>
      <c r="L1579" t="s">
        <v>5618</v>
      </c>
      <c r="M1579" t="s">
        <v>5618</v>
      </c>
    </row>
    <row r="1580" spans="10:13" x14ac:dyDescent="0.2">
      <c r="J1580" t="s">
        <v>5477</v>
      </c>
      <c r="K1580" t="s">
        <v>5549</v>
      </c>
      <c r="L1580" t="s">
        <v>5618</v>
      </c>
      <c r="M1580" t="s">
        <v>5619</v>
      </c>
    </row>
    <row r="1581" spans="10:13" x14ac:dyDescent="0.2">
      <c r="J1581" t="s">
        <v>5477</v>
      </c>
      <c r="K1581" t="s">
        <v>5549</v>
      </c>
      <c r="L1581" t="s">
        <v>5618</v>
      </c>
      <c r="M1581" t="s">
        <v>5623</v>
      </c>
    </row>
    <row r="1582" spans="10:13" x14ac:dyDescent="0.2">
      <c r="J1582" t="s">
        <v>5477</v>
      </c>
      <c r="K1582" t="s">
        <v>5541</v>
      </c>
      <c r="L1582" t="s">
        <v>5620</v>
      </c>
      <c r="M1582" t="s">
        <v>5620</v>
      </c>
    </row>
    <row r="1583" spans="10:13" x14ac:dyDescent="0.2">
      <c r="J1583" t="s">
        <v>5477</v>
      </c>
      <c r="K1583" t="s">
        <v>5549</v>
      </c>
      <c r="L1583" t="s">
        <v>5618</v>
      </c>
      <c r="M1583" t="s">
        <v>5645</v>
      </c>
    </row>
    <row r="1584" spans="10:13" x14ac:dyDescent="0.2">
      <c r="J1584" t="s">
        <v>5477</v>
      </c>
      <c r="K1584" t="s">
        <v>5541</v>
      </c>
      <c r="L1584" t="s">
        <v>5618</v>
      </c>
      <c r="M1584" t="s">
        <v>5618</v>
      </c>
    </row>
    <row r="1585" spans="10:13" x14ac:dyDescent="0.2">
      <c r="J1585" t="s">
        <v>5477</v>
      </c>
      <c r="K1585" t="s">
        <v>5541</v>
      </c>
      <c r="L1585" t="s">
        <v>5634</v>
      </c>
      <c r="M1585" t="s">
        <v>5634</v>
      </c>
    </row>
    <row r="1586" spans="10:13" x14ac:dyDescent="0.2">
      <c r="J1586" t="s">
        <v>5477</v>
      </c>
      <c r="K1586" t="s">
        <v>5549</v>
      </c>
      <c r="L1586" t="s">
        <v>5618</v>
      </c>
      <c r="M1586" t="s">
        <v>5618</v>
      </c>
    </row>
    <row r="1587" spans="10:13" x14ac:dyDescent="0.2">
      <c r="J1587" t="s">
        <v>5477</v>
      </c>
      <c r="K1587" t="s">
        <v>5549</v>
      </c>
      <c r="L1587" t="s">
        <v>5646</v>
      </c>
      <c r="M1587" t="s">
        <v>5646</v>
      </c>
    </row>
    <row r="1588" spans="10:13" x14ac:dyDescent="0.2">
      <c r="J1588" t="s">
        <v>5477</v>
      </c>
      <c r="K1588" t="s">
        <v>5549</v>
      </c>
      <c r="L1588" t="s">
        <v>5618</v>
      </c>
      <c r="M1588" t="s">
        <v>5624</v>
      </c>
    </row>
    <row r="1589" spans="10:13" x14ac:dyDescent="0.2">
      <c r="J1589" t="s">
        <v>5477</v>
      </c>
      <c r="K1589" t="s">
        <v>5541</v>
      </c>
      <c r="L1589" t="s">
        <v>5618</v>
      </c>
      <c r="M1589" t="s">
        <v>5618</v>
      </c>
    </row>
    <row r="1590" spans="10:13" x14ac:dyDescent="0.2">
      <c r="J1590" t="s">
        <v>5477</v>
      </c>
      <c r="K1590" t="s">
        <v>5549</v>
      </c>
      <c r="L1590" t="s">
        <v>5618</v>
      </c>
      <c r="M1590" t="s">
        <v>5618</v>
      </c>
    </row>
    <row r="1591" spans="10:13" x14ac:dyDescent="0.2">
      <c r="J1591" t="s">
        <v>5477</v>
      </c>
      <c r="K1591" t="s">
        <v>5549</v>
      </c>
      <c r="L1591" t="s">
        <v>5646</v>
      </c>
      <c r="M1591" t="s">
        <v>5649</v>
      </c>
    </row>
    <row r="1592" spans="10:13" x14ac:dyDescent="0.2">
      <c r="J1592" t="s">
        <v>5477</v>
      </c>
      <c r="K1592" t="s">
        <v>5549</v>
      </c>
      <c r="L1592" t="s">
        <v>5618</v>
      </c>
      <c r="M1592" t="s">
        <v>5623</v>
      </c>
    </row>
    <row r="1593" spans="10:13" x14ac:dyDescent="0.2">
      <c r="J1593" t="s">
        <v>5477</v>
      </c>
      <c r="K1593" t="s">
        <v>5549</v>
      </c>
      <c r="L1593" t="s">
        <v>5618</v>
      </c>
      <c r="M1593" t="s">
        <v>5618</v>
      </c>
    </row>
    <row r="1594" spans="10:13" x14ac:dyDescent="0.2">
      <c r="J1594" t="s">
        <v>5477</v>
      </c>
      <c r="K1594" t="s">
        <v>5549</v>
      </c>
      <c r="L1594" t="s">
        <v>5618</v>
      </c>
      <c r="M1594" t="s">
        <v>5623</v>
      </c>
    </row>
    <row r="1595" spans="10:13" x14ac:dyDescent="0.2">
      <c r="J1595" t="s">
        <v>5477</v>
      </c>
      <c r="K1595" t="s">
        <v>5541</v>
      </c>
      <c r="L1595" t="s">
        <v>5618</v>
      </c>
      <c r="M1595" t="s">
        <v>5623</v>
      </c>
    </row>
    <row r="1596" spans="10:13" x14ac:dyDescent="0.2">
      <c r="J1596" t="s">
        <v>5477</v>
      </c>
      <c r="K1596" t="s">
        <v>5549</v>
      </c>
      <c r="L1596" t="s">
        <v>5618</v>
      </c>
      <c r="M1596" t="s">
        <v>5618</v>
      </c>
    </row>
    <row r="1597" spans="10:13" x14ac:dyDescent="0.2">
      <c r="J1597" t="s">
        <v>5477</v>
      </c>
      <c r="K1597" t="s">
        <v>5541</v>
      </c>
      <c r="L1597" t="s">
        <v>5620</v>
      </c>
      <c r="M1597" t="s">
        <v>5620</v>
      </c>
    </row>
    <row r="1598" spans="10:13" x14ac:dyDescent="0.2">
      <c r="J1598" t="s">
        <v>5477</v>
      </c>
      <c r="K1598" t="s">
        <v>5541</v>
      </c>
      <c r="L1598" t="s">
        <v>5618</v>
      </c>
      <c r="M1598" t="s">
        <v>5618</v>
      </c>
    </row>
    <row r="1599" spans="10:13" x14ac:dyDescent="0.2">
      <c r="J1599" t="s">
        <v>5477</v>
      </c>
      <c r="K1599" t="s">
        <v>5541</v>
      </c>
      <c r="L1599" t="s">
        <v>5620</v>
      </c>
      <c r="M1599" t="s">
        <v>5620</v>
      </c>
    </row>
    <row r="1600" spans="10:13" x14ac:dyDescent="0.2">
      <c r="J1600" t="s">
        <v>5477</v>
      </c>
      <c r="K1600" t="s">
        <v>5549</v>
      </c>
      <c r="L1600" t="s">
        <v>5618</v>
      </c>
      <c r="M1600" t="s">
        <v>5618</v>
      </c>
    </row>
    <row r="1601" spans="10:13" x14ac:dyDescent="0.2">
      <c r="J1601" t="s">
        <v>5477</v>
      </c>
      <c r="K1601" t="s">
        <v>5541</v>
      </c>
      <c r="L1601" t="s">
        <v>5620</v>
      </c>
      <c r="M1601" t="s">
        <v>5620</v>
      </c>
    </row>
    <row r="1602" spans="10:13" x14ac:dyDescent="0.2">
      <c r="J1602" t="s">
        <v>5477</v>
      </c>
      <c r="K1602" t="s">
        <v>5541</v>
      </c>
      <c r="L1602" t="s">
        <v>5618</v>
      </c>
      <c r="M1602" t="s">
        <v>5648</v>
      </c>
    </row>
    <row r="1603" spans="10:13" x14ac:dyDescent="0.2">
      <c r="J1603" t="s">
        <v>5477</v>
      </c>
      <c r="K1603" t="s">
        <v>5541</v>
      </c>
      <c r="L1603" t="s">
        <v>5618</v>
      </c>
      <c r="M1603" t="s">
        <v>5618</v>
      </c>
    </row>
    <row r="1604" spans="10:13" x14ac:dyDescent="0.2">
      <c r="J1604" t="s">
        <v>5477</v>
      </c>
      <c r="K1604" t="s">
        <v>5549</v>
      </c>
      <c r="L1604" t="s">
        <v>5618</v>
      </c>
      <c r="M1604" t="s">
        <v>5618</v>
      </c>
    </row>
    <row r="1605" spans="10:13" x14ac:dyDescent="0.2">
      <c r="J1605" t="s">
        <v>5477</v>
      </c>
      <c r="K1605" t="s">
        <v>5541</v>
      </c>
      <c r="L1605" t="s">
        <v>5620</v>
      </c>
      <c r="M1605" t="s">
        <v>5620</v>
      </c>
    </row>
    <row r="1606" spans="10:13" x14ac:dyDescent="0.2">
      <c r="J1606" t="s">
        <v>5477</v>
      </c>
      <c r="K1606" t="s">
        <v>5541</v>
      </c>
      <c r="L1606" t="s">
        <v>5618</v>
      </c>
      <c r="M1606" t="s">
        <v>5643</v>
      </c>
    </row>
    <row r="1607" spans="10:13" x14ac:dyDescent="0.2">
      <c r="J1607" t="s">
        <v>5477</v>
      </c>
      <c r="K1607" t="s">
        <v>5541</v>
      </c>
      <c r="L1607" t="s">
        <v>5620</v>
      </c>
      <c r="M1607" t="s">
        <v>5620</v>
      </c>
    </row>
    <row r="1608" spans="10:13" x14ac:dyDescent="0.2">
      <c r="J1608" t="s">
        <v>5477</v>
      </c>
      <c r="K1608" t="s">
        <v>5549</v>
      </c>
      <c r="L1608" t="s">
        <v>5618</v>
      </c>
      <c r="M1608" t="s">
        <v>5618</v>
      </c>
    </row>
    <row r="1609" spans="10:13" x14ac:dyDescent="0.2">
      <c r="J1609" t="s">
        <v>5477</v>
      </c>
      <c r="K1609" t="s">
        <v>5541</v>
      </c>
      <c r="L1609" t="s">
        <v>5618</v>
      </c>
      <c r="M1609" t="s">
        <v>5623</v>
      </c>
    </row>
    <row r="1610" spans="10:13" x14ac:dyDescent="0.2">
      <c r="J1610" t="s">
        <v>5477</v>
      </c>
      <c r="K1610" t="s">
        <v>5541</v>
      </c>
      <c r="L1610" t="s">
        <v>5620</v>
      </c>
      <c r="M1610" t="s">
        <v>5627</v>
      </c>
    </row>
    <row r="1611" spans="10:13" x14ac:dyDescent="0.2">
      <c r="J1611" t="s">
        <v>5477</v>
      </c>
      <c r="K1611" t="s">
        <v>5541</v>
      </c>
      <c r="L1611" t="s">
        <v>5620</v>
      </c>
      <c r="M1611" t="s">
        <v>5620</v>
      </c>
    </row>
    <row r="1612" spans="10:13" x14ac:dyDescent="0.2">
      <c r="J1612" t="s">
        <v>5477</v>
      </c>
      <c r="K1612" t="s">
        <v>5549</v>
      </c>
      <c r="L1612" t="s">
        <v>5618</v>
      </c>
      <c r="M1612" t="s">
        <v>5618</v>
      </c>
    </row>
    <row r="1613" spans="10:13" x14ac:dyDescent="0.2">
      <c r="J1613" t="s">
        <v>5477</v>
      </c>
      <c r="K1613" t="s">
        <v>5541</v>
      </c>
      <c r="L1613" t="s">
        <v>5620</v>
      </c>
      <c r="M1613" t="s">
        <v>5620</v>
      </c>
    </row>
    <row r="1614" spans="10:13" x14ac:dyDescent="0.2">
      <c r="J1614" t="s">
        <v>5477</v>
      </c>
      <c r="K1614" t="s">
        <v>5549</v>
      </c>
      <c r="L1614" t="s">
        <v>5618</v>
      </c>
      <c r="M1614" t="s">
        <v>5618</v>
      </c>
    </row>
    <row r="1615" spans="10:13" x14ac:dyDescent="0.2">
      <c r="J1615" t="s">
        <v>5477</v>
      </c>
      <c r="K1615" t="s">
        <v>5549</v>
      </c>
      <c r="L1615" t="s">
        <v>5646</v>
      </c>
      <c r="M1615" t="s">
        <v>5646</v>
      </c>
    </row>
    <row r="1616" spans="10:13" x14ac:dyDescent="0.2">
      <c r="J1616" t="s">
        <v>5477</v>
      </c>
      <c r="K1616" t="s">
        <v>5549</v>
      </c>
      <c r="L1616" t="s">
        <v>5618</v>
      </c>
      <c r="M1616" t="s">
        <v>5618</v>
      </c>
    </row>
    <row r="1617" spans="10:13" x14ac:dyDescent="0.2">
      <c r="J1617" t="s">
        <v>5477</v>
      </c>
      <c r="K1617" t="s">
        <v>5541</v>
      </c>
      <c r="L1617" t="s">
        <v>5618</v>
      </c>
      <c r="M1617" t="s">
        <v>5618</v>
      </c>
    </row>
    <row r="1618" spans="10:13" x14ac:dyDescent="0.2">
      <c r="J1618" t="s">
        <v>5477</v>
      </c>
      <c r="K1618" t="s">
        <v>5549</v>
      </c>
      <c r="L1618" t="s">
        <v>5618</v>
      </c>
      <c r="M1618" t="s">
        <v>5618</v>
      </c>
    </row>
    <row r="1619" spans="10:13" x14ac:dyDescent="0.2">
      <c r="J1619" t="s">
        <v>5477</v>
      </c>
      <c r="K1619" t="s">
        <v>5541</v>
      </c>
      <c r="L1619" t="s">
        <v>5620</v>
      </c>
      <c r="M1619" t="s">
        <v>5662</v>
      </c>
    </row>
    <row r="1620" spans="10:13" x14ac:dyDescent="0.2">
      <c r="J1620" t="s">
        <v>5477</v>
      </c>
      <c r="K1620" t="s">
        <v>5549</v>
      </c>
      <c r="L1620" t="s">
        <v>5620</v>
      </c>
      <c r="M1620" t="s">
        <v>5628</v>
      </c>
    </row>
    <row r="1621" spans="10:13" x14ac:dyDescent="0.2">
      <c r="J1621" t="s">
        <v>5477</v>
      </c>
      <c r="K1621" t="s">
        <v>5541</v>
      </c>
      <c r="L1621" t="s">
        <v>5620</v>
      </c>
      <c r="M1621" t="s">
        <v>5627</v>
      </c>
    </row>
    <row r="1622" spans="10:13" x14ac:dyDescent="0.2">
      <c r="J1622" t="s">
        <v>5477</v>
      </c>
      <c r="K1622" t="s">
        <v>5541</v>
      </c>
      <c r="L1622" t="s">
        <v>5618</v>
      </c>
      <c r="M1622" t="s">
        <v>5618</v>
      </c>
    </row>
    <row r="1623" spans="10:13" x14ac:dyDescent="0.2">
      <c r="J1623" t="s">
        <v>5477</v>
      </c>
      <c r="K1623" t="s">
        <v>5541</v>
      </c>
      <c r="L1623" t="s">
        <v>5620</v>
      </c>
      <c r="M1623" t="s">
        <v>5620</v>
      </c>
    </row>
    <row r="1624" spans="10:13" x14ac:dyDescent="0.2">
      <c r="J1624" t="s">
        <v>5477</v>
      </c>
      <c r="K1624" t="s">
        <v>5541</v>
      </c>
      <c r="L1624" t="s">
        <v>5633</v>
      </c>
      <c r="M1624" t="s">
        <v>5642</v>
      </c>
    </row>
    <row r="1625" spans="10:13" x14ac:dyDescent="0.2">
      <c r="J1625" t="s">
        <v>5477</v>
      </c>
      <c r="K1625" t="s">
        <v>5549</v>
      </c>
      <c r="L1625" t="s">
        <v>5618</v>
      </c>
      <c r="M1625" t="s">
        <v>5618</v>
      </c>
    </row>
    <row r="1626" spans="10:13" x14ac:dyDescent="0.2">
      <c r="J1626" t="s">
        <v>5477</v>
      </c>
      <c r="K1626" t="s">
        <v>5541</v>
      </c>
      <c r="L1626" t="s">
        <v>5620</v>
      </c>
      <c r="M1626" t="s">
        <v>5620</v>
      </c>
    </row>
    <row r="1627" spans="10:13" x14ac:dyDescent="0.2">
      <c r="J1627" t="s">
        <v>5477</v>
      </c>
      <c r="K1627" t="s">
        <v>5541</v>
      </c>
      <c r="L1627" t="s">
        <v>5620</v>
      </c>
      <c r="M1627" t="s">
        <v>5620</v>
      </c>
    </row>
    <row r="1628" spans="10:13" x14ac:dyDescent="0.2">
      <c r="J1628" t="s">
        <v>5477</v>
      </c>
      <c r="K1628" t="s">
        <v>5549</v>
      </c>
      <c r="L1628" t="s">
        <v>5618</v>
      </c>
      <c r="M1628" t="s">
        <v>5618</v>
      </c>
    </row>
    <row r="1629" spans="10:13" x14ac:dyDescent="0.2">
      <c r="J1629" t="s">
        <v>5477</v>
      </c>
      <c r="K1629" t="s">
        <v>5541</v>
      </c>
      <c r="L1629" t="s">
        <v>5618</v>
      </c>
      <c r="M1629" t="s">
        <v>5618</v>
      </c>
    </row>
    <row r="1630" spans="10:13" x14ac:dyDescent="0.2">
      <c r="J1630" t="s">
        <v>5477</v>
      </c>
      <c r="K1630" t="s">
        <v>5549</v>
      </c>
      <c r="L1630" t="s">
        <v>5618</v>
      </c>
      <c r="M1630" t="s">
        <v>5618</v>
      </c>
    </row>
    <row r="1631" spans="10:13" x14ac:dyDescent="0.2">
      <c r="J1631" t="s">
        <v>5477</v>
      </c>
      <c r="K1631" t="s">
        <v>5541</v>
      </c>
      <c r="L1631" t="s">
        <v>5620</v>
      </c>
      <c r="M1631" t="s">
        <v>5620</v>
      </c>
    </row>
    <row r="1632" spans="10:13" x14ac:dyDescent="0.2">
      <c r="J1632" t="s">
        <v>5477</v>
      </c>
      <c r="K1632" t="s">
        <v>5549</v>
      </c>
      <c r="L1632" t="s">
        <v>5618</v>
      </c>
      <c r="M1632" t="s">
        <v>5618</v>
      </c>
    </row>
    <row r="1633" spans="10:13" x14ac:dyDescent="0.2">
      <c r="J1633" t="s">
        <v>5477</v>
      </c>
      <c r="K1633" t="s">
        <v>5549</v>
      </c>
      <c r="L1633" t="s">
        <v>5620</v>
      </c>
      <c r="M1633" t="s">
        <v>5625</v>
      </c>
    </row>
    <row r="1634" spans="10:13" x14ac:dyDescent="0.2">
      <c r="J1634" t="s">
        <v>5477</v>
      </c>
      <c r="K1634" t="s">
        <v>5549</v>
      </c>
      <c r="L1634" t="s">
        <v>5620</v>
      </c>
      <c r="M1634" t="s">
        <v>5626</v>
      </c>
    </row>
    <row r="1635" spans="10:13" x14ac:dyDescent="0.2">
      <c r="J1635" t="s">
        <v>5477</v>
      </c>
      <c r="K1635" t="s">
        <v>5541</v>
      </c>
      <c r="L1635" t="s">
        <v>5634</v>
      </c>
      <c r="M1635" t="s">
        <v>5634</v>
      </c>
    </row>
    <row r="1636" spans="10:13" x14ac:dyDescent="0.2">
      <c r="J1636" t="s">
        <v>5477</v>
      </c>
      <c r="K1636" t="s">
        <v>5549</v>
      </c>
      <c r="L1636" t="s">
        <v>5618</v>
      </c>
      <c r="M1636" t="s">
        <v>5618</v>
      </c>
    </row>
    <row r="1637" spans="10:13" x14ac:dyDescent="0.2">
      <c r="J1637" t="s">
        <v>5477</v>
      </c>
      <c r="K1637" t="s">
        <v>5549</v>
      </c>
      <c r="L1637" t="s">
        <v>5618</v>
      </c>
      <c r="M1637" t="s">
        <v>5618</v>
      </c>
    </row>
    <row r="1638" spans="10:13" x14ac:dyDescent="0.2">
      <c r="J1638" t="s">
        <v>5477</v>
      </c>
      <c r="K1638" t="s">
        <v>5549</v>
      </c>
      <c r="L1638" t="s">
        <v>5618</v>
      </c>
      <c r="M1638" t="s">
        <v>5618</v>
      </c>
    </row>
    <row r="1639" spans="10:13" x14ac:dyDescent="0.2">
      <c r="J1639" t="s">
        <v>5477</v>
      </c>
      <c r="K1639" t="s">
        <v>5549</v>
      </c>
      <c r="L1639" t="s">
        <v>5646</v>
      </c>
      <c r="M1639" t="s">
        <v>5646</v>
      </c>
    </row>
    <row r="1640" spans="10:13" x14ac:dyDescent="0.2">
      <c r="J1640" t="s">
        <v>5477</v>
      </c>
      <c r="K1640" t="s">
        <v>5549</v>
      </c>
      <c r="L1640" t="s">
        <v>5618</v>
      </c>
      <c r="M1640" t="s">
        <v>5618</v>
      </c>
    </row>
    <row r="1641" spans="10:13" x14ac:dyDescent="0.2">
      <c r="J1641" t="s">
        <v>5477</v>
      </c>
      <c r="K1641" t="s">
        <v>5541</v>
      </c>
      <c r="L1641" t="s">
        <v>5620</v>
      </c>
      <c r="M1641" t="s">
        <v>5620</v>
      </c>
    </row>
    <row r="1642" spans="10:13" x14ac:dyDescent="0.2">
      <c r="J1642" t="s">
        <v>5477</v>
      </c>
      <c r="K1642" t="s">
        <v>5549</v>
      </c>
      <c r="L1642" t="s">
        <v>5618</v>
      </c>
      <c r="M1642" t="s">
        <v>5630</v>
      </c>
    </row>
    <row r="1643" spans="10:13" x14ac:dyDescent="0.2">
      <c r="J1643" t="s">
        <v>5477</v>
      </c>
      <c r="K1643" t="s">
        <v>5549</v>
      </c>
      <c r="L1643" t="s">
        <v>5646</v>
      </c>
      <c r="M1643" t="s">
        <v>5646</v>
      </c>
    </row>
    <row r="1644" spans="10:13" x14ac:dyDescent="0.2">
      <c r="J1644" t="s">
        <v>5477</v>
      </c>
      <c r="K1644" t="s">
        <v>5549</v>
      </c>
      <c r="L1644" t="s">
        <v>5618</v>
      </c>
      <c r="M1644" t="s">
        <v>5619</v>
      </c>
    </row>
    <row r="1645" spans="10:13" x14ac:dyDescent="0.2">
      <c r="J1645" t="s">
        <v>5477</v>
      </c>
      <c r="K1645" t="s">
        <v>5541</v>
      </c>
      <c r="L1645" t="s">
        <v>5620</v>
      </c>
      <c r="M1645" t="s">
        <v>5620</v>
      </c>
    </row>
    <row r="1646" spans="10:13" x14ac:dyDescent="0.2">
      <c r="J1646" t="s">
        <v>5477</v>
      </c>
      <c r="K1646" t="s">
        <v>5549</v>
      </c>
      <c r="L1646" t="s">
        <v>5646</v>
      </c>
      <c r="M1646" t="s">
        <v>5646</v>
      </c>
    </row>
    <row r="1647" spans="10:13" x14ac:dyDescent="0.2">
      <c r="J1647" t="s">
        <v>5477</v>
      </c>
      <c r="K1647" t="s">
        <v>5541</v>
      </c>
      <c r="L1647" t="s">
        <v>5620</v>
      </c>
      <c r="M1647" t="s">
        <v>5620</v>
      </c>
    </row>
    <row r="1648" spans="10:13" x14ac:dyDescent="0.2">
      <c r="J1648" t="s">
        <v>5477</v>
      </c>
      <c r="K1648" t="s">
        <v>5549</v>
      </c>
      <c r="L1648" t="s">
        <v>5618</v>
      </c>
      <c r="M1648" t="s">
        <v>5623</v>
      </c>
    </row>
    <row r="1649" spans="10:13" x14ac:dyDescent="0.2">
      <c r="J1649" t="s">
        <v>5477</v>
      </c>
      <c r="K1649" t="s">
        <v>5541</v>
      </c>
      <c r="L1649" t="s">
        <v>5620</v>
      </c>
      <c r="M1649" t="s">
        <v>5627</v>
      </c>
    </row>
    <row r="1650" spans="10:13" x14ac:dyDescent="0.2">
      <c r="J1650" t="s">
        <v>5477</v>
      </c>
      <c r="K1650" t="s">
        <v>5541</v>
      </c>
      <c r="L1650" t="s">
        <v>5618</v>
      </c>
      <c r="M1650" t="s">
        <v>5619</v>
      </c>
    </row>
    <row r="1651" spans="10:13" x14ac:dyDescent="0.2">
      <c r="J1651" t="s">
        <v>5477</v>
      </c>
      <c r="K1651" t="s">
        <v>5541</v>
      </c>
      <c r="L1651" t="s">
        <v>5659</v>
      </c>
      <c r="M1651" t="s">
        <v>5659</v>
      </c>
    </row>
    <row r="1652" spans="10:13" x14ac:dyDescent="0.2">
      <c r="J1652" t="s">
        <v>5477</v>
      </c>
      <c r="K1652" t="s">
        <v>5549</v>
      </c>
      <c r="L1652" t="s">
        <v>5618</v>
      </c>
      <c r="M1652" t="s">
        <v>5618</v>
      </c>
    </row>
    <row r="1653" spans="10:13" x14ac:dyDescent="0.2">
      <c r="J1653" t="s">
        <v>5477</v>
      </c>
      <c r="K1653" t="s">
        <v>5541</v>
      </c>
      <c r="L1653" t="s">
        <v>5620</v>
      </c>
      <c r="M1653" t="s">
        <v>5620</v>
      </c>
    </row>
    <row r="1654" spans="10:13" x14ac:dyDescent="0.2">
      <c r="J1654" t="s">
        <v>5477</v>
      </c>
      <c r="K1654" t="s">
        <v>5549</v>
      </c>
      <c r="L1654" t="s">
        <v>5618</v>
      </c>
      <c r="M1654" t="s">
        <v>5619</v>
      </c>
    </row>
    <row r="1655" spans="10:13" x14ac:dyDescent="0.2">
      <c r="J1655" t="s">
        <v>5477</v>
      </c>
      <c r="K1655" t="s">
        <v>5549</v>
      </c>
      <c r="L1655" t="s">
        <v>5618</v>
      </c>
      <c r="M1655" t="s">
        <v>5624</v>
      </c>
    </row>
    <row r="1656" spans="10:13" x14ac:dyDescent="0.2">
      <c r="J1656" t="s">
        <v>5477</v>
      </c>
      <c r="K1656" t="s">
        <v>5549</v>
      </c>
      <c r="L1656" t="s">
        <v>5618</v>
      </c>
      <c r="M1656" t="s">
        <v>5618</v>
      </c>
    </row>
    <row r="1657" spans="10:13" x14ac:dyDescent="0.2">
      <c r="J1657" t="s">
        <v>5477</v>
      </c>
      <c r="K1657" t="s">
        <v>5549</v>
      </c>
      <c r="L1657" t="s">
        <v>5618</v>
      </c>
      <c r="M1657" t="s">
        <v>5619</v>
      </c>
    </row>
    <row r="1658" spans="10:13" x14ac:dyDescent="0.2">
      <c r="J1658" t="s">
        <v>5477</v>
      </c>
      <c r="K1658" t="s">
        <v>5549</v>
      </c>
      <c r="L1658" t="s">
        <v>5618</v>
      </c>
      <c r="M1658" t="s">
        <v>5618</v>
      </c>
    </row>
    <row r="1659" spans="10:13" x14ac:dyDescent="0.2">
      <c r="J1659" t="s">
        <v>5477</v>
      </c>
      <c r="K1659" t="s">
        <v>5549</v>
      </c>
      <c r="L1659" t="s">
        <v>5618</v>
      </c>
      <c r="M1659" t="s">
        <v>5623</v>
      </c>
    </row>
    <row r="1660" spans="10:13" x14ac:dyDescent="0.2">
      <c r="J1660" t="s">
        <v>5477</v>
      </c>
      <c r="K1660" t="s">
        <v>5549</v>
      </c>
      <c r="L1660" t="s">
        <v>5618</v>
      </c>
      <c r="M1660" t="s">
        <v>5624</v>
      </c>
    </row>
    <row r="1661" spans="10:13" x14ac:dyDescent="0.2">
      <c r="J1661" t="s">
        <v>5477</v>
      </c>
      <c r="K1661" t="s">
        <v>5541</v>
      </c>
      <c r="L1661" t="s">
        <v>5618</v>
      </c>
      <c r="M1661" t="s">
        <v>5648</v>
      </c>
    </row>
    <row r="1662" spans="10:13" x14ac:dyDescent="0.2">
      <c r="J1662" t="s">
        <v>5477</v>
      </c>
      <c r="K1662" t="s">
        <v>5549</v>
      </c>
      <c r="L1662" t="s">
        <v>5618</v>
      </c>
      <c r="M1662" t="s">
        <v>5618</v>
      </c>
    </row>
    <row r="1663" spans="10:13" x14ac:dyDescent="0.2">
      <c r="J1663" t="s">
        <v>5477</v>
      </c>
      <c r="K1663" t="s">
        <v>5549</v>
      </c>
      <c r="L1663" t="s">
        <v>5618</v>
      </c>
      <c r="M1663" t="s">
        <v>5618</v>
      </c>
    </row>
    <row r="1664" spans="10:13" x14ac:dyDescent="0.2">
      <c r="J1664" t="s">
        <v>5477</v>
      </c>
      <c r="K1664" t="s">
        <v>5541</v>
      </c>
      <c r="L1664" t="s">
        <v>5618</v>
      </c>
      <c r="M1664" t="s">
        <v>5618</v>
      </c>
    </row>
    <row r="1665" spans="10:13" x14ac:dyDescent="0.2">
      <c r="J1665" t="s">
        <v>5477</v>
      </c>
      <c r="K1665" t="s">
        <v>5541</v>
      </c>
      <c r="L1665" t="s">
        <v>5618</v>
      </c>
      <c r="M1665" t="s">
        <v>5618</v>
      </c>
    </row>
    <row r="1666" spans="10:13" x14ac:dyDescent="0.2">
      <c r="J1666" t="s">
        <v>5477</v>
      </c>
      <c r="K1666" t="s">
        <v>5541</v>
      </c>
      <c r="L1666" t="s">
        <v>5620</v>
      </c>
      <c r="M1666" t="s">
        <v>5620</v>
      </c>
    </row>
    <row r="1667" spans="10:13" x14ac:dyDescent="0.2">
      <c r="J1667" t="s">
        <v>5477</v>
      </c>
      <c r="K1667" t="s">
        <v>5541</v>
      </c>
      <c r="L1667" t="s">
        <v>5618</v>
      </c>
      <c r="M1667" t="s">
        <v>5618</v>
      </c>
    </row>
    <row r="1668" spans="10:13" x14ac:dyDescent="0.2">
      <c r="J1668" t="s">
        <v>5477</v>
      </c>
      <c r="K1668" t="s">
        <v>5549</v>
      </c>
      <c r="L1668" t="s">
        <v>5618</v>
      </c>
      <c r="M1668" t="s">
        <v>5624</v>
      </c>
    </row>
    <row r="1669" spans="10:13" x14ac:dyDescent="0.2">
      <c r="J1669" t="s">
        <v>5477</v>
      </c>
      <c r="K1669" t="s">
        <v>5549</v>
      </c>
      <c r="L1669" t="s">
        <v>5618</v>
      </c>
      <c r="M1669" t="s">
        <v>5624</v>
      </c>
    </row>
    <row r="1670" spans="10:13" x14ac:dyDescent="0.2">
      <c r="J1670" t="s">
        <v>5477</v>
      </c>
      <c r="K1670" t="s">
        <v>5549</v>
      </c>
      <c r="L1670" t="s">
        <v>5618</v>
      </c>
      <c r="M1670" t="s">
        <v>5619</v>
      </c>
    </row>
    <row r="1671" spans="10:13" x14ac:dyDescent="0.2">
      <c r="J1671" t="s">
        <v>5477</v>
      </c>
      <c r="K1671" t="s">
        <v>5549</v>
      </c>
      <c r="L1671" t="s">
        <v>5618</v>
      </c>
      <c r="M1671" t="s">
        <v>5624</v>
      </c>
    </row>
    <row r="1672" spans="10:13" x14ac:dyDescent="0.2">
      <c r="J1672" t="s">
        <v>5477</v>
      </c>
      <c r="K1672" t="s">
        <v>5549</v>
      </c>
      <c r="L1672" t="s">
        <v>5618</v>
      </c>
      <c r="M1672" t="s">
        <v>5619</v>
      </c>
    </row>
    <row r="1673" spans="10:13" x14ac:dyDescent="0.2">
      <c r="J1673" t="s">
        <v>5477</v>
      </c>
      <c r="K1673" t="s">
        <v>5549</v>
      </c>
      <c r="L1673" t="s">
        <v>5618</v>
      </c>
      <c r="M1673" t="s">
        <v>5618</v>
      </c>
    </row>
    <row r="1674" spans="10:13" x14ac:dyDescent="0.2">
      <c r="J1674" t="s">
        <v>5477</v>
      </c>
      <c r="K1674" t="s">
        <v>5541</v>
      </c>
      <c r="L1674" t="s">
        <v>5618</v>
      </c>
      <c r="M1674" t="s">
        <v>5618</v>
      </c>
    </row>
    <row r="1675" spans="10:13" x14ac:dyDescent="0.2">
      <c r="J1675" t="s">
        <v>5477</v>
      </c>
      <c r="K1675" t="s">
        <v>5541</v>
      </c>
      <c r="L1675" t="s">
        <v>5634</v>
      </c>
      <c r="M1675" t="s">
        <v>5634</v>
      </c>
    </row>
    <row r="1676" spans="10:13" x14ac:dyDescent="0.2">
      <c r="J1676" t="s">
        <v>5477</v>
      </c>
      <c r="K1676" t="s">
        <v>5541</v>
      </c>
      <c r="L1676" t="s">
        <v>5620</v>
      </c>
      <c r="M1676" t="s">
        <v>5620</v>
      </c>
    </row>
    <row r="1677" spans="10:13" x14ac:dyDescent="0.2">
      <c r="J1677" t="s">
        <v>5477</v>
      </c>
      <c r="K1677" t="s">
        <v>5541</v>
      </c>
      <c r="L1677" t="s">
        <v>5634</v>
      </c>
      <c r="M1677" t="s">
        <v>5634</v>
      </c>
    </row>
    <row r="1678" spans="10:13" x14ac:dyDescent="0.2">
      <c r="J1678" t="s">
        <v>5477</v>
      </c>
      <c r="K1678" t="s">
        <v>5541</v>
      </c>
      <c r="L1678" t="s">
        <v>5634</v>
      </c>
      <c r="M1678" t="s">
        <v>5663</v>
      </c>
    </row>
    <row r="1679" spans="10:13" x14ac:dyDescent="0.2">
      <c r="J1679" t="s">
        <v>5477</v>
      </c>
      <c r="K1679" t="s">
        <v>5541</v>
      </c>
      <c r="L1679" t="s">
        <v>5618</v>
      </c>
      <c r="M1679" t="s">
        <v>5618</v>
      </c>
    </row>
    <row r="1680" spans="10:13" x14ac:dyDescent="0.2">
      <c r="J1680" t="s">
        <v>5477</v>
      </c>
      <c r="K1680" t="s">
        <v>5549</v>
      </c>
      <c r="L1680" t="s">
        <v>5618</v>
      </c>
      <c r="M1680" t="s">
        <v>5618</v>
      </c>
    </row>
    <row r="1681" spans="10:13" x14ac:dyDescent="0.2">
      <c r="J1681" t="s">
        <v>5477</v>
      </c>
      <c r="K1681" t="s">
        <v>5549</v>
      </c>
      <c r="L1681" t="s">
        <v>5618</v>
      </c>
      <c r="M1681" t="s">
        <v>5623</v>
      </c>
    </row>
    <row r="1682" spans="10:13" x14ac:dyDescent="0.2">
      <c r="J1682" t="s">
        <v>5477</v>
      </c>
      <c r="K1682" t="s">
        <v>5549</v>
      </c>
      <c r="L1682" t="s">
        <v>5618</v>
      </c>
      <c r="M1682" t="s">
        <v>5618</v>
      </c>
    </row>
    <row r="1683" spans="10:13" x14ac:dyDescent="0.2">
      <c r="J1683" t="s">
        <v>5477</v>
      </c>
      <c r="K1683" t="s">
        <v>5549</v>
      </c>
      <c r="L1683" t="s">
        <v>5618</v>
      </c>
      <c r="M1683" t="s">
        <v>5619</v>
      </c>
    </row>
    <row r="1684" spans="10:13" x14ac:dyDescent="0.2">
      <c r="J1684" t="s">
        <v>5477</v>
      </c>
      <c r="K1684" t="s">
        <v>5541</v>
      </c>
      <c r="L1684" t="s">
        <v>5620</v>
      </c>
      <c r="M1684" t="s">
        <v>5621</v>
      </c>
    </row>
    <row r="1685" spans="10:13" x14ac:dyDescent="0.2">
      <c r="J1685" t="s">
        <v>5477</v>
      </c>
      <c r="K1685" t="s">
        <v>5549</v>
      </c>
      <c r="L1685" t="s">
        <v>5618</v>
      </c>
      <c r="M1685" t="s">
        <v>5618</v>
      </c>
    </row>
    <row r="1686" spans="10:13" x14ac:dyDescent="0.2">
      <c r="J1686" t="s">
        <v>5477</v>
      </c>
      <c r="K1686" t="s">
        <v>5549</v>
      </c>
      <c r="L1686" t="s">
        <v>5618</v>
      </c>
      <c r="M1686" t="s">
        <v>5623</v>
      </c>
    </row>
    <row r="1687" spans="10:13" x14ac:dyDescent="0.2">
      <c r="J1687" t="s">
        <v>5477</v>
      </c>
      <c r="K1687" t="s">
        <v>5549</v>
      </c>
      <c r="L1687" t="s">
        <v>5618</v>
      </c>
      <c r="M1687" t="s">
        <v>5623</v>
      </c>
    </row>
    <row r="1688" spans="10:13" x14ac:dyDescent="0.2">
      <c r="J1688" t="s">
        <v>5477</v>
      </c>
      <c r="K1688" t="s">
        <v>5549</v>
      </c>
      <c r="L1688" t="s">
        <v>5618</v>
      </c>
      <c r="M1688" t="s">
        <v>5618</v>
      </c>
    </row>
    <row r="1689" spans="10:13" x14ac:dyDescent="0.2">
      <c r="J1689" t="s">
        <v>5477</v>
      </c>
      <c r="K1689" t="s">
        <v>5541</v>
      </c>
      <c r="L1689" t="s">
        <v>5620</v>
      </c>
      <c r="M1689" t="s">
        <v>5621</v>
      </c>
    </row>
    <row r="1690" spans="10:13" x14ac:dyDescent="0.2">
      <c r="J1690" t="s">
        <v>5477</v>
      </c>
      <c r="K1690" t="s">
        <v>5549</v>
      </c>
      <c r="L1690" t="s">
        <v>5618</v>
      </c>
      <c r="M1690" t="s">
        <v>5623</v>
      </c>
    </row>
    <row r="1691" spans="10:13" x14ac:dyDescent="0.2">
      <c r="J1691" t="s">
        <v>5477</v>
      </c>
      <c r="K1691" t="s">
        <v>5541</v>
      </c>
      <c r="L1691" t="s">
        <v>5620</v>
      </c>
      <c r="M1691" t="s">
        <v>5620</v>
      </c>
    </row>
    <row r="1692" spans="10:13" x14ac:dyDescent="0.2">
      <c r="J1692" t="s">
        <v>5477</v>
      </c>
      <c r="K1692" t="s">
        <v>5541</v>
      </c>
      <c r="L1692" t="s">
        <v>5618</v>
      </c>
      <c r="M1692" t="s">
        <v>5618</v>
      </c>
    </row>
    <row r="1693" spans="10:13" x14ac:dyDescent="0.2">
      <c r="J1693" t="s">
        <v>5477</v>
      </c>
      <c r="K1693" t="s">
        <v>5541</v>
      </c>
      <c r="L1693" t="s">
        <v>5618</v>
      </c>
      <c r="M1693" t="s">
        <v>5648</v>
      </c>
    </row>
    <row r="1694" spans="10:13" x14ac:dyDescent="0.2">
      <c r="J1694" t="s">
        <v>5477</v>
      </c>
      <c r="K1694" t="s">
        <v>5541</v>
      </c>
      <c r="L1694" t="s">
        <v>5659</v>
      </c>
      <c r="M1694" t="s">
        <v>5659</v>
      </c>
    </row>
    <row r="1695" spans="10:13" x14ac:dyDescent="0.2">
      <c r="J1695" t="s">
        <v>5477</v>
      </c>
      <c r="K1695" t="s">
        <v>5549</v>
      </c>
      <c r="L1695" t="s">
        <v>5618</v>
      </c>
      <c r="M1695" t="s">
        <v>5624</v>
      </c>
    </row>
    <row r="1696" spans="10:13" x14ac:dyDescent="0.2">
      <c r="J1696" t="s">
        <v>5477</v>
      </c>
      <c r="K1696" t="s">
        <v>5549</v>
      </c>
      <c r="L1696" t="s">
        <v>5618</v>
      </c>
      <c r="M1696" t="s">
        <v>5618</v>
      </c>
    </row>
    <row r="1697" spans="10:13" x14ac:dyDescent="0.2">
      <c r="J1697" t="s">
        <v>5477</v>
      </c>
      <c r="K1697" t="s">
        <v>5541</v>
      </c>
      <c r="L1697" t="s">
        <v>5620</v>
      </c>
      <c r="M1697" t="s">
        <v>5625</v>
      </c>
    </row>
    <row r="1698" spans="10:13" x14ac:dyDescent="0.2">
      <c r="J1698" t="s">
        <v>5477</v>
      </c>
      <c r="K1698" t="s">
        <v>5541</v>
      </c>
      <c r="L1698" t="s">
        <v>5618</v>
      </c>
      <c r="M1698" t="s">
        <v>5618</v>
      </c>
    </row>
    <row r="1699" spans="10:13" x14ac:dyDescent="0.2">
      <c r="J1699" t="s">
        <v>5477</v>
      </c>
      <c r="K1699" t="s">
        <v>5549</v>
      </c>
      <c r="L1699" t="s">
        <v>5618</v>
      </c>
      <c r="M1699" t="s">
        <v>5624</v>
      </c>
    </row>
    <row r="1700" spans="10:13" x14ac:dyDescent="0.2">
      <c r="J1700" t="s">
        <v>5477</v>
      </c>
      <c r="K1700" t="s">
        <v>5549</v>
      </c>
      <c r="L1700" t="s">
        <v>5620</v>
      </c>
      <c r="M1700" t="s">
        <v>5629</v>
      </c>
    </row>
    <row r="1701" spans="10:13" x14ac:dyDescent="0.2">
      <c r="J1701" t="s">
        <v>5477</v>
      </c>
      <c r="K1701" t="s">
        <v>5549</v>
      </c>
      <c r="L1701" t="s">
        <v>5620</v>
      </c>
      <c r="M1701" t="s">
        <v>5622</v>
      </c>
    </row>
    <row r="1702" spans="10:13" x14ac:dyDescent="0.2">
      <c r="J1702" t="s">
        <v>5477</v>
      </c>
      <c r="K1702" t="s">
        <v>5541</v>
      </c>
      <c r="L1702" t="s">
        <v>5620</v>
      </c>
      <c r="M1702" t="s">
        <v>5620</v>
      </c>
    </row>
    <row r="1703" spans="10:13" x14ac:dyDescent="0.2">
      <c r="J1703" t="s">
        <v>5477</v>
      </c>
      <c r="K1703" t="s">
        <v>5541</v>
      </c>
      <c r="L1703" t="s">
        <v>5620</v>
      </c>
      <c r="M1703" t="s">
        <v>5620</v>
      </c>
    </row>
    <row r="1704" spans="10:13" x14ac:dyDescent="0.2">
      <c r="J1704" t="s">
        <v>5477</v>
      </c>
      <c r="K1704" t="s">
        <v>5541</v>
      </c>
      <c r="L1704" t="s">
        <v>5659</v>
      </c>
      <c r="M1704" t="s">
        <v>5659</v>
      </c>
    </row>
    <row r="1705" spans="10:13" x14ac:dyDescent="0.2">
      <c r="J1705" t="s">
        <v>5477</v>
      </c>
      <c r="K1705" t="s">
        <v>5549</v>
      </c>
      <c r="L1705" t="s">
        <v>5618</v>
      </c>
      <c r="M1705" t="s">
        <v>5624</v>
      </c>
    </row>
    <row r="1706" spans="10:13" x14ac:dyDescent="0.2">
      <c r="J1706" t="s">
        <v>5477</v>
      </c>
      <c r="K1706" t="s">
        <v>5549</v>
      </c>
      <c r="L1706" t="s">
        <v>5618</v>
      </c>
      <c r="M1706" t="s">
        <v>5623</v>
      </c>
    </row>
    <row r="1707" spans="10:13" x14ac:dyDescent="0.2">
      <c r="J1707" t="s">
        <v>5477</v>
      </c>
      <c r="K1707" t="s">
        <v>5549</v>
      </c>
      <c r="L1707" t="s">
        <v>5618</v>
      </c>
      <c r="M1707" t="s">
        <v>5624</v>
      </c>
    </row>
    <row r="1708" spans="10:13" x14ac:dyDescent="0.2">
      <c r="J1708" t="s">
        <v>5477</v>
      </c>
      <c r="K1708" t="s">
        <v>5549</v>
      </c>
      <c r="L1708" t="s">
        <v>5618</v>
      </c>
      <c r="M1708" t="s">
        <v>5624</v>
      </c>
    </row>
    <row r="1709" spans="10:13" x14ac:dyDescent="0.2">
      <c r="J1709" t="s">
        <v>5477</v>
      </c>
      <c r="K1709" t="s">
        <v>5549</v>
      </c>
      <c r="L1709" t="s">
        <v>5618</v>
      </c>
      <c r="M1709" t="s">
        <v>5624</v>
      </c>
    </row>
    <row r="1710" spans="10:13" x14ac:dyDescent="0.2">
      <c r="J1710" t="s">
        <v>5477</v>
      </c>
      <c r="K1710" t="s">
        <v>5549</v>
      </c>
      <c r="L1710" t="s">
        <v>5618</v>
      </c>
      <c r="M1710" t="s">
        <v>5623</v>
      </c>
    </row>
    <row r="1711" spans="10:13" x14ac:dyDescent="0.2">
      <c r="J1711" t="s">
        <v>5477</v>
      </c>
      <c r="K1711" t="s">
        <v>5541</v>
      </c>
      <c r="L1711" t="s">
        <v>5620</v>
      </c>
      <c r="M1711" t="s">
        <v>5625</v>
      </c>
    </row>
    <row r="1712" spans="10:13" x14ac:dyDescent="0.2">
      <c r="J1712" t="s">
        <v>5477</v>
      </c>
      <c r="K1712" t="s">
        <v>5549</v>
      </c>
      <c r="L1712" t="s">
        <v>5618</v>
      </c>
      <c r="M1712" t="s">
        <v>5624</v>
      </c>
    </row>
    <row r="1713" spans="10:13" x14ac:dyDescent="0.2">
      <c r="J1713" t="s">
        <v>5477</v>
      </c>
      <c r="K1713" t="s">
        <v>5541</v>
      </c>
      <c r="L1713" t="s">
        <v>5620</v>
      </c>
      <c r="M1713" t="s">
        <v>5625</v>
      </c>
    </row>
    <row r="1714" spans="10:13" x14ac:dyDescent="0.2">
      <c r="J1714" t="s">
        <v>5477</v>
      </c>
      <c r="K1714" t="s">
        <v>5549</v>
      </c>
      <c r="L1714" t="s">
        <v>5618</v>
      </c>
      <c r="M1714" t="s">
        <v>5618</v>
      </c>
    </row>
    <row r="1715" spans="10:13" x14ac:dyDescent="0.2">
      <c r="J1715" t="s">
        <v>5477</v>
      </c>
      <c r="K1715" t="s">
        <v>5549</v>
      </c>
      <c r="L1715" t="s">
        <v>5618</v>
      </c>
      <c r="M1715" t="s">
        <v>5619</v>
      </c>
    </row>
    <row r="1716" spans="10:13" x14ac:dyDescent="0.2">
      <c r="J1716" t="s">
        <v>5477</v>
      </c>
      <c r="K1716" t="s">
        <v>5549</v>
      </c>
      <c r="L1716" t="s">
        <v>5620</v>
      </c>
      <c r="M1716" t="s">
        <v>5621</v>
      </c>
    </row>
    <row r="1717" spans="10:13" x14ac:dyDescent="0.2">
      <c r="J1717" t="s">
        <v>5477</v>
      </c>
      <c r="K1717" t="s">
        <v>5549</v>
      </c>
      <c r="L1717" t="s">
        <v>5618</v>
      </c>
      <c r="M1717" t="s">
        <v>5619</v>
      </c>
    </row>
    <row r="1718" spans="10:13" x14ac:dyDescent="0.2">
      <c r="J1718" t="s">
        <v>5477</v>
      </c>
      <c r="K1718" t="s">
        <v>5549</v>
      </c>
      <c r="L1718" t="s">
        <v>5618</v>
      </c>
      <c r="M1718" t="s">
        <v>5623</v>
      </c>
    </row>
    <row r="1719" spans="10:13" x14ac:dyDescent="0.2">
      <c r="J1719" t="s">
        <v>5477</v>
      </c>
      <c r="K1719" t="s">
        <v>5549</v>
      </c>
      <c r="L1719" t="s">
        <v>5618</v>
      </c>
      <c r="M1719" t="s">
        <v>5619</v>
      </c>
    </row>
    <row r="1720" spans="10:13" x14ac:dyDescent="0.2">
      <c r="J1720" t="s">
        <v>5477</v>
      </c>
      <c r="K1720" t="s">
        <v>5549</v>
      </c>
      <c r="L1720" t="s">
        <v>5618</v>
      </c>
      <c r="M1720" t="s">
        <v>5618</v>
      </c>
    </row>
    <row r="1721" spans="10:13" x14ac:dyDescent="0.2">
      <c r="J1721" t="s">
        <v>5477</v>
      </c>
      <c r="K1721" t="s">
        <v>5541</v>
      </c>
      <c r="L1721" t="s">
        <v>5620</v>
      </c>
      <c r="M1721" t="s">
        <v>5621</v>
      </c>
    </row>
    <row r="1722" spans="10:13" x14ac:dyDescent="0.2">
      <c r="J1722" t="s">
        <v>5477</v>
      </c>
      <c r="K1722" t="s">
        <v>5541</v>
      </c>
      <c r="L1722" t="s">
        <v>5659</v>
      </c>
      <c r="M1722" t="s">
        <v>5659</v>
      </c>
    </row>
    <row r="1723" spans="10:13" x14ac:dyDescent="0.2">
      <c r="J1723" t="s">
        <v>5477</v>
      </c>
      <c r="K1723" t="s">
        <v>5541</v>
      </c>
      <c r="L1723" t="s">
        <v>5620</v>
      </c>
      <c r="M1723" t="s">
        <v>5621</v>
      </c>
    </row>
    <row r="1724" spans="10:13" x14ac:dyDescent="0.2">
      <c r="J1724" t="s">
        <v>5477</v>
      </c>
      <c r="K1724" t="s">
        <v>5541</v>
      </c>
      <c r="L1724" t="s">
        <v>5618</v>
      </c>
      <c r="M1724" t="s">
        <v>5644</v>
      </c>
    </row>
    <row r="1725" spans="10:13" x14ac:dyDescent="0.2">
      <c r="J1725" t="s">
        <v>5477</v>
      </c>
      <c r="K1725" t="s">
        <v>5549</v>
      </c>
      <c r="L1725" t="s">
        <v>5618</v>
      </c>
      <c r="M1725" t="s">
        <v>5623</v>
      </c>
    </row>
    <row r="1726" spans="10:13" x14ac:dyDescent="0.2">
      <c r="J1726" t="s">
        <v>5477</v>
      </c>
      <c r="K1726" t="s">
        <v>5541</v>
      </c>
      <c r="L1726" t="s">
        <v>5618</v>
      </c>
      <c r="M1726" t="s">
        <v>5644</v>
      </c>
    </row>
    <row r="1727" spans="10:13" x14ac:dyDescent="0.2">
      <c r="J1727" t="s">
        <v>5477</v>
      </c>
      <c r="K1727" t="s">
        <v>5541</v>
      </c>
      <c r="L1727" t="s">
        <v>5659</v>
      </c>
      <c r="M1727" t="s">
        <v>5659</v>
      </c>
    </row>
    <row r="1728" spans="10:13" x14ac:dyDescent="0.2">
      <c r="J1728" t="s">
        <v>5477</v>
      </c>
      <c r="K1728" t="s">
        <v>5549</v>
      </c>
      <c r="L1728" t="s">
        <v>5646</v>
      </c>
      <c r="M1728" t="s">
        <v>5646</v>
      </c>
    </row>
    <row r="1729" spans="10:13" x14ac:dyDescent="0.2">
      <c r="J1729" t="s">
        <v>5477</v>
      </c>
      <c r="K1729" t="s">
        <v>5541</v>
      </c>
      <c r="L1729" t="s">
        <v>5620</v>
      </c>
      <c r="M1729" t="s">
        <v>5627</v>
      </c>
    </row>
    <row r="1730" spans="10:13" x14ac:dyDescent="0.2">
      <c r="J1730" t="s">
        <v>5477</v>
      </c>
      <c r="K1730" t="s">
        <v>5549</v>
      </c>
      <c r="L1730" t="s">
        <v>5646</v>
      </c>
      <c r="M1730" t="s">
        <v>5646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EE71-1B6C-0041-9FAC-0BFFDCD30C68}">
  <dimension ref="A1:H129"/>
  <sheetViews>
    <sheetView topLeftCell="A2" workbookViewId="0">
      <selection activeCell="C9" sqref="C9"/>
    </sheetView>
  </sheetViews>
  <sheetFormatPr baseColWidth="10" defaultRowHeight="16" x14ac:dyDescent="0.2"/>
  <sheetData>
    <row r="1" spans="1:8" x14ac:dyDescent="0.2">
      <c r="A1" t="s">
        <v>0</v>
      </c>
      <c r="B1" t="s">
        <v>5533</v>
      </c>
      <c r="C1" t="s">
        <v>5534</v>
      </c>
      <c r="D1" t="s">
        <v>5535</v>
      </c>
      <c r="E1" t="s">
        <v>5536</v>
      </c>
      <c r="F1" t="s">
        <v>5537</v>
      </c>
      <c r="G1" t="s">
        <v>5538</v>
      </c>
      <c r="H1" t="s">
        <v>5539</v>
      </c>
    </row>
    <row r="2" spans="1:8" x14ac:dyDescent="0.2">
      <c r="A2" t="s">
        <v>5491</v>
      </c>
      <c r="B2" t="s">
        <v>5540</v>
      </c>
      <c r="C2" t="s">
        <v>5541</v>
      </c>
      <c r="D2">
        <v>123</v>
      </c>
      <c r="E2">
        <v>121</v>
      </c>
      <c r="F2">
        <v>2</v>
      </c>
    </row>
    <row r="3" spans="1:8" x14ac:dyDescent="0.2">
      <c r="A3" t="s">
        <v>5491</v>
      </c>
      <c r="B3" t="s">
        <v>5540</v>
      </c>
      <c r="C3" t="s">
        <v>5542</v>
      </c>
      <c r="D3">
        <v>12</v>
      </c>
      <c r="E3">
        <v>8</v>
      </c>
      <c r="F3">
        <v>4</v>
      </c>
    </row>
    <row r="4" spans="1:8" x14ac:dyDescent="0.2">
      <c r="A4" t="s">
        <v>5491</v>
      </c>
      <c r="B4" t="s">
        <v>5540</v>
      </c>
      <c r="C4" t="s">
        <v>5543</v>
      </c>
      <c r="D4">
        <v>67</v>
      </c>
      <c r="E4">
        <v>43</v>
      </c>
      <c r="F4">
        <v>24</v>
      </c>
    </row>
    <row r="5" spans="1:8" x14ac:dyDescent="0.2">
      <c r="A5" t="s">
        <v>5491</v>
      </c>
      <c r="B5" t="s">
        <v>5540</v>
      </c>
      <c r="C5" t="s">
        <v>124</v>
      </c>
      <c r="D5">
        <v>12</v>
      </c>
      <c r="E5">
        <v>3</v>
      </c>
      <c r="F5">
        <v>9</v>
      </c>
    </row>
    <row r="6" spans="1:8" x14ac:dyDescent="0.2">
      <c r="A6" t="s">
        <v>5491</v>
      </c>
      <c r="B6" t="s">
        <v>5540</v>
      </c>
      <c r="C6" t="s">
        <v>5544</v>
      </c>
      <c r="D6">
        <v>1</v>
      </c>
      <c r="E6">
        <v>1</v>
      </c>
      <c r="F6">
        <v>0</v>
      </c>
    </row>
    <row r="7" spans="1:8" x14ac:dyDescent="0.2">
      <c r="A7" t="s">
        <v>5491</v>
      </c>
      <c r="B7" t="s">
        <v>5540</v>
      </c>
      <c r="C7" t="s">
        <v>5545</v>
      </c>
      <c r="D7">
        <v>4</v>
      </c>
      <c r="E7">
        <v>4</v>
      </c>
      <c r="F7">
        <v>0</v>
      </c>
    </row>
    <row r="8" spans="1:8" x14ac:dyDescent="0.2">
      <c r="A8" t="s">
        <v>5491</v>
      </c>
      <c r="B8" t="s">
        <v>5540</v>
      </c>
      <c r="C8" t="s">
        <v>5546</v>
      </c>
      <c r="D8">
        <v>2</v>
      </c>
      <c r="E8">
        <v>0</v>
      </c>
      <c r="F8">
        <v>2</v>
      </c>
    </row>
    <row r="9" spans="1:8" x14ac:dyDescent="0.2">
      <c r="A9" t="s">
        <v>5491</v>
      </c>
      <c r="B9" t="s">
        <v>5547</v>
      </c>
      <c r="C9" t="s">
        <v>5543</v>
      </c>
      <c r="D9">
        <v>168</v>
      </c>
      <c r="G9">
        <v>5</v>
      </c>
      <c r="H9">
        <v>163</v>
      </c>
    </row>
    <row r="10" spans="1:8" x14ac:dyDescent="0.2">
      <c r="A10" t="s">
        <v>5491</v>
      </c>
      <c r="B10" t="s">
        <v>5547</v>
      </c>
      <c r="C10" t="s">
        <v>5541</v>
      </c>
      <c r="D10">
        <v>84</v>
      </c>
      <c r="G10">
        <v>60</v>
      </c>
      <c r="H10">
        <v>24</v>
      </c>
    </row>
    <row r="11" spans="1:8" x14ac:dyDescent="0.2">
      <c r="A11" t="s">
        <v>5491</v>
      </c>
      <c r="B11" t="s">
        <v>5547</v>
      </c>
      <c r="C11" t="s">
        <v>5473</v>
      </c>
      <c r="D11">
        <v>4</v>
      </c>
      <c r="G11">
        <v>1</v>
      </c>
      <c r="H11">
        <v>3</v>
      </c>
    </row>
    <row r="12" spans="1:8" x14ac:dyDescent="0.2">
      <c r="A12" t="s">
        <v>5491</v>
      </c>
      <c r="B12" t="s">
        <v>5547</v>
      </c>
      <c r="C12" t="s">
        <v>5545</v>
      </c>
      <c r="D12">
        <v>1</v>
      </c>
      <c r="G12">
        <v>1</v>
      </c>
      <c r="H12">
        <v>0</v>
      </c>
    </row>
    <row r="13" spans="1:8" x14ac:dyDescent="0.2">
      <c r="A13" t="s">
        <v>5491</v>
      </c>
      <c r="B13" t="s">
        <v>5547</v>
      </c>
      <c r="C13" t="s">
        <v>124</v>
      </c>
      <c r="D13">
        <v>54</v>
      </c>
      <c r="G13">
        <v>2</v>
      </c>
      <c r="H13">
        <v>52</v>
      </c>
    </row>
    <row r="14" spans="1:8" x14ac:dyDescent="0.2">
      <c r="A14" t="s">
        <v>5491</v>
      </c>
      <c r="B14" t="s">
        <v>5547</v>
      </c>
      <c r="C14" t="s">
        <v>5542</v>
      </c>
      <c r="D14">
        <v>1</v>
      </c>
      <c r="G14">
        <v>0</v>
      </c>
      <c r="H14">
        <v>1</v>
      </c>
    </row>
    <row r="15" spans="1:8" x14ac:dyDescent="0.2">
      <c r="A15" t="s">
        <v>5491</v>
      </c>
      <c r="B15" t="s">
        <v>5547</v>
      </c>
      <c r="C15" t="s">
        <v>5548</v>
      </c>
      <c r="D15">
        <v>1</v>
      </c>
      <c r="G15">
        <v>0</v>
      </c>
      <c r="H15">
        <v>1</v>
      </c>
    </row>
    <row r="16" spans="1:8" x14ac:dyDescent="0.2">
      <c r="A16" t="s">
        <v>5491</v>
      </c>
      <c r="B16" t="s">
        <v>5547</v>
      </c>
      <c r="C16" t="s">
        <v>5546</v>
      </c>
      <c r="D16">
        <v>3</v>
      </c>
      <c r="G16">
        <v>0</v>
      </c>
      <c r="H16">
        <v>3</v>
      </c>
    </row>
    <row r="17" spans="1:8" x14ac:dyDescent="0.2">
      <c r="A17" t="s">
        <v>5491</v>
      </c>
      <c r="B17" t="s">
        <v>5547</v>
      </c>
      <c r="C17" t="s">
        <v>5549</v>
      </c>
      <c r="D17">
        <v>3</v>
      </c>
      <c r="G17">
        <v>2</v>
      </c>
      <c r="H17">
        <v>1</v>
      </c>
    </row>
    <row r="18" spans="1:8" x14ac:dyDescent="0.2">
      <c r="A18" t="s">
        <v>5553</v>
      </c>
      <c r="B18" t="s">
        <v>5540</v>
      </c>
      <c r="C18" t="s">
        <v>5543</v>
      </c>
      <c r="D18">
        <v>338</v>
      </c>
      <c r="E18">
        <v>148</v>
      </c>
      <c r="F18">
        <v>190</v>
      </c>
    </row>
    <row r="19" spans="1:8" x14ac:dyDescent="0.2">
      <c r="A19" t="s">
        <v>5553</v>
      </c>
      <c r="B19" t="s">
        <v>5540</v>
      </c>
      <c r="C19" t="s">
        <v>5541</v>
      </c>
      <c r="D19">
        <v>427</v>
      </c>
      <c r="E19">
        <v>349</v>
      </c>
      <c r="F19">
        <v>78</v>
      </c>
    </row>
    <row r="20" spans="1:8" x14ac:dyDescent="0.2">
      <c r="A20" t="s">
        <v>5553</v>
      </c>
      <c r="B20" t="s">
        <v>5540</v>
      </c>
      <c r="C20" t="s">
        <v>5548</v>
      </c>
      <c r="D20">
        <v>2</v>
      </c>
      <c r="E20">
        <v>1</v>
      </c>
      <c r="F20">
        <v>1</v>
      </c>
    </row>
    <row r="21" spans="1:8" x14ac:dyDescent="0.2">
      <c r="A21" t="s">
        <v>5553</v>
      </c>
      <c r="B21" t="s">
        <v>5540</v>
      </c>
      <c r="C21" t="s">
        <v>5542</v>
      </c>
      <c r="D21">
        <v>49</v>
      </c>
      <c r="E21">
        <v>33</v>
      </c>
      <c r="F21">
        <v>16</v>
      </c>
    </row>
    <row r="22" spans="1:8" x14ac:dyDescent="0.2">
      <c r="A22" t="s">
        <v>5553</v>
      </c>
      <c r="B22" t="s">
        <v>5540</v>
      </c>
      <c r="C22" t="s">
        <v>124</v>
      </c>
      <c r="D22">
        <v>21</v>
      </c>
      <c r="E22">
        <v>6</v>
      </c>
      <c r="F22">
        <v>15</v>
      </c>
    </row>
    <row r="23" spans="1:8" x14ac:dyDescent="0.2">
      <c r="A23" t="s">
        <v>5553</v>
      </c>
      <c r="B23" t="s">
        <v>5540</v>
      </c>
      <c r="C23" t="s">
        <v>5546</v>
      </c>
      <c r="D23">
        <v>11</v>
      </c>
      <c r="E23">
        <v>5</v>
      </c>
      <c r="F23">
        <v>6</v>
      </c>
    </row>
    <row r="24" spans="1:8" x14ac:dyDescent="0.2">
      <c r="A24" t="s">
        <v>5553</v>
      </c>
      <c r="B24" t="s">
        <v>5540</v>
      </c>
      <c r="C24" t="s">
        <v>5545</v>
      </c>
      <c r="D24">
        <v>133</v>
      </c>
      <c r="E24">
        <v>133</v>
      </c>
      <c r="F24">
        <v>0</v>
      </c>
    </row>
    <row r="25" spans="1:8" x14ac:dyDescent="0.2">
      <c r="A25" t="s">
        <v>5553</v>
      </c>
      <c r="B25" t="s">
        <v>5540</v>
      </c>
      <c r="C25" t="s">
        <v>5549</v>
      </c>
      <c r="D25">
        <v>5</v>
      </c>
      <c r="E25">
        <v>3</v>
      </c>
      <c r="F25">
        <v>2</v>
      </c>
    </row>
    <row r="26" spans="1:8" x14ac:dyDescent="0.2">
      <c r="A26" t="s">
        <v>5553</v>
      </c>
      <c r="B26" t="s">
        <v>5540</v>
      </c>
      <c r="C26" t="s">
        <v>5473</v>
      </c>
      <c r="D26">
        <v>3</v>
      </c>
      <c r="E26">
        <v>2</v>
      </c>
      <c r="F26">
        <v>1</v>
      </c>
    </row>
    <row r="27" spans="1:8" x14ac:dyDescent="0.2">
      <c r="A27" t="s">
        <v>5553</v>
      </c>
      <c r="B27" t="s">
        <v>5540</v>
      </c>
      <c r="C27" t="s">
        <v>5550</v>
      </c>
      <c r="D27">
        <v>1</v>
      </c>
      <c r="E27">
        <v>1</v>
      </c>
      <c r="F27">
        <v>0</v>
      </c>
    </row>
    <row r="28" spans="1:8" x14ac:dyDescent="0.2">
      <c r="A28" t="s">
        <v>5553</v>
      </c>
      <c r="B28" t="s">
        <v>5540</v>
      </c>
      <c r="C28" t="s">
        <v>5551</v>
      </c>
      <c r="D28">
        <v>6</v>
      </c>
      <c r="E28">
        <v>2</v>
      </c>
      <c r="F28">
        <v>4</v>
      </c>
    </row>
    <row r="29" spans="1:8" x14ac:dyDescent="0.2">
      <c r="A29" t="s">
        <v>5553</v>
      </c>
      <c r="B29" t="s">
        <v>5540</v>
      </c>
      <c r="C29" t="s">
        <v>5544</v>
      </c>
      <c r="D29">
        <v>1</v>
      </c>
      <c r="E29">
        <v>1</v>
      </c>
      <c r="F29">
        <v>0</v>
      </c>
    </row>
    <row r="30" spans="1:8" x14ac:dyDescent="0.2">
      <c r="A30" t="s">
        <v>5553</v>
      </c>
      <c r="B30" t="s">
        <v>5547</v>
      </c>
      <c r="C30" t="s">
        <v>5541</v>
      </c>
      <c r="D30">
        <v>387</v>
      </c>
      <c r="G30">
        <v>286</v>
      </c>
      <c r="H30">
        <v>101</v>
      </c>
    </row>
    <row r="31" spans="1:8" x14ac:dyDescent="0.2">
      <c r="A31" t="s">
        <v>5553</v>
      </c>
      <c r="B31" t="s">
        <v>5547</v>
      </c>
      <c r="C31" t="s">
        <v>5543</v>
      </c>
      <c r="D31">
        <v>507</v>
      </c>
      <c r="G31">
        <v>10</v>
      </c>
      <c r="H31">
        <v>497</v>
      </c>
    </row>
    <row r="32" spans="1:8" x14ac:dyDescent="0.2">
      <c r="A32" t="s">
        <v>5553</v>
      </c>
      <c r="B32" t="s">
        <v>5547</v>
      </c>
      <c r="C32" t="s">
        <v>5542</v>
      </c>
      <c r="D32">
        <v>13</v>
      </c>
      <c r="G32">
        <v>0</v>
      </c>
      <c r="H32">
        <v>13</v>
      </c>
    </row>
    <row r="33" spans="1:8" x14ac:dyDescent="0.2">
      <c r="A33" t="s">
        <v>5553</v>
      </c>
      <c r="B33" t="s">
        <v>5547</v>
      </c>
      <c r="C33" t="s">
        <v>124</v>
      </c>
      <c r="D33">
        <v>129</v>
      </c>
      <c r="G33">
        <v>3</v>
      </c>
      <c r="H33">
        <v>126</v>
      </c>
    </row>
    <row r="34" spans="1:8" x14ac:dyDescent="0.2">
      <c r="A34" t="s">
        <v>5553</v>
      </c>
      <c r="B34" t="s">
        <v>5547</v>
      </c>
      <c r="C34" t="s">
        <v>5546</v>
      </c>
      <c r="D34">
        <v>22</v>
      </c>
      <c r="G34">
        <v>0</v>
      </c>
      <c r="H34">
        <v>22</v>
      </c>
    </row>
    <row r="35" spans="1:8" x14ac:dyDescent="0.2">
      <c r="A35" t="s">
        <v>5553</v>
      </c>
      <c r="B35" t="s">
        <v>5547</v>
      </c>
      <c r="C35" t="s">
        <v>5545</v>
      </c>
      <c r="D35">
        <v>40</v>
      </c>
      <c r="G35">
        <v>38</v>
      </c>
      <c r="H35">
        <v>2</v>
      </c>
    </row>
    <row r="36" spans="1:8" x14ac:dyDescent="0.2">
      <c r="A36" t="s">
        <v>5553</v>
      </c>
      <c r="B36" t="s">
        <v>5547</v>
      </c>
      <c r="C36" t="s">
        <v>5473</v>
      </c>
      <c r="D36">
        <v>9</v>
      </c>
      <c r="G36">
        <v>2</v>
      </c>
      <c r="H36">
        <v>7</v>
      </c>
    </row>
    <row r="37" spans="1:8" x14ac:dyDescent="0.2">
      <c r="A37" t="s">
        <v>5553</v>
      </c>
      <c r="B37" t="s">
        <v>5547</v>
      </c>
      <c r="C37" t="s">
        <v>5548</v>
      </c>
      <c r="D37">
        <v>3</v>
      </c>
      <c r="G37">
        <v>1</v>
      </c>
      <c r="H37">
        <v>2</v>
      </c>
    </row>
    <row r="38" spans="1:8" x14ac:dyDescent="0.2">
      <c r="A38" t="s">
        <v>5553</v>
      </c>
      <c r="B38" t="s">
        <v>5547</v>
      </c>
      <c r="C38" t="s">
        <v>5550</v>
      </c>
      <c r="D38">
        <v>2</v>
      </c>
      <c r="G38">
        <v>1</v>
      </c>
      <c r="H38">
        <v>1</v>
      </c>
    </row>
    <row r="39" spans="1:8" x14ac:dyDescent="0.2">
      <c r="A39" t="s">
        <v>5553</v>
      </c>
      <c r="B39" t="s">
        <v>5547</v>
      </c>
      <c r="C39" t="s">
        <v>131</v>
      </c>
      <c r="D39">
        <v>7</v>
      </c>
      <c r="G39">
        <v>0</v>
      </c>
      <c r="H39">
        <v>7</v>
      </c>
    </row>
    <row r="40" spans="1:8" x14ac:dyDescent="0.2">
      <c r="A40" t="s">
        <v>5553</v>
      </c>
      <c r="B40" t="s">
        <v>5547</v>
      </c>
      <c r="C40" t="s">
        <v>5551</v>
      </c>
      <c r="D40">
        <v>20</v>
      </c>
      <c r="G40">
        <v>0</v>
      </c>
      <c r="H40">
        <v>20</v>
      </c>
    </row>
    <row r="41" spans="1:8" x14ac:dyDescent="0.2">
      <c r="A41" t="s">
        <v>5553</v>
      </c>
      <c r="B41" t="s">
        <v>5547</v>
      </c>
      <c r="C41" t="s">
        <v>5549</v>
      </c>
      <c r="D41">
        <v>12</v>
      </c>
      <c r="G41">
        <v>7</v>
      </c>
      <c r="H41">
        <v>5</v>
      </c>
    </row>
    <row r="42" spans="1:8" x14ac:dyDescent="0.2">
      <c r="A42" t="s">
        <v>5466</v>
      </c>
      <c r="B42" t="s">
        <v>5540</v>
      </c>
      <c r="C42" t="s">
        <v>5548</v>
      </c>
      <c r="D42">
        <v>28</v>
      </c>
      <c r="E42">
        <v>23</v>
      </c>
      <c r="F42">
        <v>5</v>
      </c>
    </row>
    <row r="43" spans="1:8" x14ac:dyDescent="0.2">
      <c r="A43" t="s">
        <v>5466</v>
      </c>
      <c r="B43" t="s">
        <v>5540</v>
      </c>
      <c r="C43" t="s">
        <v>5543</v>
      </c>
      <c r="D43">
        <v>1761</v>
      </c>
      <c r="E43">
        <v>1283</v>
      </c>
      <c r="F43">
        <v>478</v>
      </c>
    </row>
    <row r="44" spans="1:8" x14ac:dyDescent="0.2">
      <c r="A44" t="s">
        <v>5466</v>
      </c>
      <c r="B44" t="s">
        <v>5540</v>
      </c>
      <c r="C44" t="s">
        <v>5541</v>
      </c>
      <c r="D44">
        <v>948</v>
      </c>
      <c r="E44">
        <v>877</v>
      </c>
      <c r="F44">
        <v>71</v>
      </c>
    </row>
    <row r="45" spans="1:8" x14ac:dyDescent="0.2">
      <c r="A45" t="s">
        <v>5466</v>
      </c>
      <c r="B45" t="s">
        <v>5540</v>
      </c>
      <c r="C45" t="s">
        <v>5542</v>
      </c>
      <c r="D45">
        <v>622</v>
      </c>
      <c r="E45">
        <v>475</v>
      </c>
      <c r="F45">
        <v>147</v>
      </c>
    </row>
    <row r="46" spans="1:8" x14ac:dyDescent="0.2">
      <c r="A46" t="s">
        <v>5466</v>
      </c>
      <c r="B46" t="s">
        <v>5540</v>
      </c>
      <c r="C46" t="s">
        <v>124</v>
      </c>
      <c r="D46">
        <v>113</v>
      </c>
      <c r="E46">
        <v>20</v>
      </c>
      <c r="F46">
        <v>93</v>
      </c>
    </row>
    <row r="47" spans="1:8" x14ac:dyDescent="0.2">
      <c r="A47" t="s">
        <v>5466</v>
      </c>
      <c r="B47" t="s">
        <v>5540</v>
      </c>
      <c r="C47" t="s">
        <v>5546</v>
      </c>
      <c r="D47">
        <v>14</v>
      </c>
      <c r="E47">
        <v>7</v>
      </c>
      <c r="F47">
        <v>7</v>
      </c>
    </row>
    <row r="48" spans="1:8" x14ac:dyDescent="0.2">
      <c r="A48" t="s">
        <v>5466</v>
      </c>
      <c r="B48" t="s">
        <v>5540</v>
      </c>
      <c r="C48" t="s">
        <v>5551</v>
      </c>
      <c r="D48">
        <v>1</v>
      </c>
      <c r="E48">
        <v>1</v>
      </c>
      <c r="F48">
        <v>0</v>
      </c>
    </row>
    <row r="49" spans="1:8" x14ac:dyDescent="0.2">
      <c r="A49" t="s">
        <v>5466</v>
      </c>
      <c r="B49" t="s">
        <v>5540</v>
      </c>
      <c r="C49" t="s">
        <v>5473</v>
      </c>
      <c r="D49">
        <v>3</v>
      </c>
      <c r="E49">
        <v>2</v>
      </c>
      <c r="F49">
        <v>1</v>
      </c>
    </row>
    <row r="50" spans="1:8" x14ac:dyDescent="0.2">
      <c r="A50" t="s">
        <v>5466</v>
      </c>
      <c r="B50" t="s">
        <v>5540</v>
      </c>
      <c r="C50" t="s">
        <v>5552</v>
      </c>
      <c r="D50">
        <v>2</v>
      </c>
      <c r="E50">
        <v>2</v>
      </c>
      <c r="F50">
        <v>0</v>
      </c>
    </row>
    <row r="51" spans="1:8" x14ac:dyDescent="0.2">
      <c r="A51" t="s">
        <v>5466</v>
      </c>
      <c r="B51" t="s">
        <v>5547</v>
      </c>
      <c r="C51" t="s">
        <v>5543</v>
      </c>
      <c r="D51">
        <v>1884</v>
      </c>
      <c r="G51">
        <v>14</v>
      </c>
      <c r="H51">
        <v>1870</v>
      </c>
    </row>
    <row r="52" spans="1:8" x14ac:dyDescent="0.2">
      <c r="A52" t="s">
        <v>5466</v>
      </c>
      <c r="B52" t="s">
        <v>5547</v>
      </c>
      <c r="C52" t="s">
        <v>5546</v>
      </c>
      <c r="D52">
        <v>39</v>
      </c>
      <c r="G52">
        <v>1</v>
      </c>
      <c r="H52">
        <v>38</v>
      </c>
    </row>
    <row r="53" spans="1:8" x14ac:dyDescent="0.2">
      <c r="A53" t="s">
        <v>5466</v>
      </c>
      <c r="B53" t="s">
        <v>5547</v>
      </c>
      <c r="C53" t="s">
        <v>124</v>
      </c>
      <c r="D53">
        <v>374</v>
      </c>
      <c r="G53">
        <v>12</v>
      </c>
      <c r="H53">
        <v>362</v>
      </c>
    </row>
    <row r="54" spans="1:8" x14ac:dyDescent="0.2">
      <c r="A54" t="s">
        <v>5466</v>
      </c>
      <c r="B54" t="s">
        <v>5547</v>
      </c>
      <c r="C54" t="s">
        <v>5542</v>
      </c>
      <c r="D54">
        <v>112</v>
      </c>
      <c r="G54">
        <v>1</v>
      </c>
      <c r="H54">
        <v>111</v>
      </c>
    </row>
    <row r="55" spans="1:8" x14ac:dyDescent="0.2">
      <c r="A55" t="s">
        <v>5466</v>
      </c>
      <c r="B55" t="s">
        <v>5547</v>
      </c>
      <c r="C55" t="s">
        <v>5545</v>
      </c>
      <c r="D55">
        <v>3</v>
      </c>
      <c r="G55">
        <v>3</v>
      </c>
      <c r="H55">
        <v>0</v>
      </c>
    </row>
    <row r="56" spans="1:8" x14ac:dyDescent="0.2">
      <c r="A56" t="s">
        <v>5466</v>
      </c>
      <c r="B56" t="s">
        <v>5547</v>
      </c>
      <c r="C56" t="s">
        <v>5541</v>
      </c>
      <c r="D56">
        <v>620</v>
      </c>
      <c r="G56">
        <v>391</v>
      </c>
      <c r="H56">
        <v>229</v>
      </c>
    </row>
    <row r="57" spans="1:8" x14ac:dyDescent="0.2">
      <c r="A57" t="s">
        <v>5466</v>
      </c>
      <c r="B57" t="s">
        <v>5547</v>
      </c>
      <c r="C57" t="s">
        <v>5473</v>
      </c>
      <c r="D57">
        <v>4</v>
      </c>
      <c r="G57">
        <v>0</v>
      </c>
      <c r="H57">
        <v>4</v>
      </c>
    </row>
    <row r="58" spans="1:8" x14ac:dyDescent="0.2">
      <c r="A58" t="s">
        <v>5466</v>
      </c>
      <c r="B58" t="s">
        <v>5547</v>
      </c>
      <c r="C58" t="s">
        <v>5548</v>
      </c>
      <c r="D58">
        <v>12</v>
      </c>
      <c r="G58">
        <v>0</v>
      </c>
      <c r="H58">
        <v>12</v>
      </c>
    </row>
    <row r="59" spans="1:8" x14ac:dyDescent="0.2">
      <c r="A59" t="s">
        <v>5475</v>
      </c>
      <c r="B59" t="s">
        <v>5540</v>
      </c>
      <c r="C59" t="s">
        <v>5541</v>
      </c>
      <c r="D59">
        <v>199</v>
      </c>
      <c r="E59">
        <v>159</v>
      </c>
      <c r="F59">
        <v>40</v>
      </c>
    </row>
    <row r="60" spans="1:8" x14ac:dyDescent="0.2">
      <c r="A60" t="s">
        <v>5475</v>
      </c>
      <c r="B60" t="s">
        <v>5540</v>
      </c>
      <c r="C60" t="s">
        <v>5548</v>
      </c>
      <c r="D60">
        <v>2</v>
      </c>
      <c r="E60">
        <v>1</v>
      </c>
      <c r="F60">
        <v>1</v>
      </c>
    </row>
    <row r="61" spans="1:8" x14ac:dyDescent="0.2">
      <c r="A61" t="s">
        <v>5475</v>
      </c>
      <c r="B61" t="s">
        <v>5540</v>
      </c>
      <c r="C61" t="s">
        <v>5542</v>
      </c>
      <c r="D61">
        <v>42</v>
      </c>
      <c r="E61">
        <v>30</v>
      </c>
      <c r="F61">
        <v>12</v>
      </c>
    </row>
    <row r="62" spans="1:8" x14ac:dyDescent="0.2">
      <c r="A62" t="s">
        <v>5475</v>
      </c>
      <c r="B62" t="s">
        <v>5540</v>
      </c>
      <c r="C62" t="s">
        <v>5543</v>
      </c>
      <c r="D62">
        <v>138</v>
      </c>
      <c r="E62">
        <v>50</v>
      </c>
      <c r="F62">
        <v>88</v>
      </c>
    </row>
    <row r="63" spans="1:8" x14ac:dyDescent="0.2">
      <c r="A63" t="s">
        <v>5475</v>
      </c>
      <c r="B63" t="s">
        <v>5540</v>
      </c>
      <c r="C63" t="s">
        <v>124</v>
      </c>
      <c r="D63">
        <v>15</v>
      </c>
      <c r="E63">
        <v>6</v>
      </c>
      <c r="F63">
        <v>9</v>
      </c>
    </row>
    <row r="64" spans="1:8" x14ac:dyDescent="0.2">
      <c r="A64" t="s">
        <v>5475</v>
      </c>
      <c r="B64" t="s">
        <v>5540</v>
      </c>
      <c r="C64" t="s">
        <v>5545</v>
      </c>
      <c r="D64">
        <v>20</v>
      </c>
      <c r="E64">
        <v>20</v>
      </c>
      <c r="F64">
        <v>0</v>
      </c>
    </row>
    <row r="65" spans="1:8" x14ac:dyDescent="0.2">
      <c r="A65" t="s">
        <v>5475</v>
      </c>
      <c r="B65" t="s">
        <v>5540</v>
      </c>
      <c r="C65" t="s">
        <v>5550</v>
      </c>
      <c r="D65">
        <v>1</v>
      </c>
      <c r="E65">
        <v>1</v>
      </c>
      <c r="F65">
        <v>0</v>
      </c>
    </row>
    <row r="66" spans="1:8" x14ac:dyDescent="0.2">
      <c r="A66" t="s">
        <v>5475</v>
      </c>
      <c r="B66" t="s">
        <v>5540</v>
      </c>
      <c r="C66" t="s">
        <v>5546</v>
      </c>
      <c r="D66">
        <v>4</v>
      </c>
      <c r="E66">
        <v>1</v>
      </c>
      <c r="F66">
        <v>3</v>
      </c>
    </row>
    <row r="67" spans="1:8" x14ac:dyDescent="0.2">
      <c r="A67" t="s">
        <v>5475</v>
      </c>
      <c r="B67" t="s">
        <v>5540</v>
      </c>
      <c r="C67" t="s">
        <v>5473</v>
      </c>
      <c r="D67">
        <v>3</v>
      </c>
      <c r="E67">
        <v>2</v>
      </c>
      <c r="F67">
        <v>1</v>
      </c>
    </row>
    <row r="68" spans="1:8" x14ac:dyDescent="0.2">
      <c r="A68" t="s">
        <v>5475</v>
      </c>
      <c r="B68" t="s">
        <v>5540</v>
      </c>
      <c r="C68" t="s">
        <v>5549</v>
      </c>
      <c r="D68">
        <v>2</v>
      </c>
      <c r="E68">
        <v>2</v>
      </c>
      <c r="F68">
        <v>0</v>
      </c>
    </row>
    <row r="69" spans="1:8" x14ac:dyDescent="0.2">
      <c r="A69" t="s">
        <v>5475</v>
      </c>
      <c r="B69" t="s">
        <v>5547</v>
      </c>
      <c r="C69" t="s">
        <v>5541</v>
      </c>
      <c r="D69">
        <v>205</v>
      </c>
      <c r="G69">
        <v>154</v>
      </c>
      <c r="H69">
        <v>51</v>
      </c>
    </row>
    <row r="70" spans="1:8" x14ac:dyDescent="0.2">
      <c r="A70" t="s">
        <v>5475</v>
      </c>
      <c r="B70" t="s">
        <v>5547</v>
      </c>
      <c r="C70" t="s">
        <v>124</v>
      </c>
      <c r="D70">
        <v>84</v>
      </c>
      <c r="G70">
        <v>2</v>
      </c>
      <c r="H70">
        <v>82</v>
      </c>
    </row>
    <row r="71" spans="1:8" x14ac:dyDescent="0.2">
      <c r="A71" t="s">
        <v>5475</v>
      </c>
      <c r="B71" t="s">
        <v>5547</v>
      </c>
      <c r="C71" t="s">
        <v>5543</v>
      </c>
      <c r="D71">
        <v>235</v>
      </c>
      <c r="G71">
        <v>7</v>
      </c>
      <c r="H71">
        <v>228</v>
      </c>
    </row>
    <row r="72" spans="1:8" x14ac:dyDescent="0.2">
      <c r="A72" t="s">
        <v>5475</v>
      </c>
      <c r="B72" t="s">
        <v>5547</v>
      </c>
      <c r="C72" t="s">
        <v>5551</v>
      </c>
      <c r="D72">
        <v>7</v>
      </c>
      <c r="G72">
        <v>0</v>
      </c>
      <c r="H72">
        <v>7</v>
      </c>
    </row>
    <row r="73" spans="1:8" x14ac:dyDescent="0.2">
      <c r="A73" t="s">
        <v>5475</v>
      </c>
      <c r="B73" t="s">
        <v>5547</v>
      </c>
      <c r="C73" t="s">
        <v>5550</v>
      </c>
      <c r="D73">
        <v>2</v>
      </c>
      <c r="G73">
        <v>1</v>
      </c>
      <c r="H73">
        <v>1</v>
      </c>
    </row>
    <row r="74" spans="1:8" x14ac:dyDescent="0.2">
      <c r="A74" t="s">
        <v>5475</v>
      </c>
      <c r="B74" t="s">
        <v>5547</v>
      </c>
      <c r="C74" t="s">
        <v>5545</v>
      </c>
      <c r="D74">
        <v>10</v>
      </c>
      <c r="G74">
        <v>8</v>
      </c>
      <c r="H74">
        <v>2</v>
      </c>
    </row>
    <row r="75" spans="1:8" x14ac:dyDescent="0.2">
      <c r="A75" t="s">
        <v>5475</v>
      </c>
      <c r="B75" t="s">
        <v>5547</v>
      </c>
      <c r="C75" t="s">
        <v>5546</v>
      </c>
      <c r="D75">
        <v>10</v>
      </c>
      <c r="G75">
        <v>0</v>
      </c>
      <c r="H75">
        <v>10</v>
      </c>
    </row>
    <row r="76" spans="1:8" x14ac:dyDescent="0.2">
      <c r="A76" t="s">
        <v>5475</v>
      </c>
      <c r="B76" t="s">
        <v>5547</v>
      </c>
      <c r="C76" t="s">
        <v>131</v>
      </c>
      <c r="D76">
        <v>4</v>
      </c>
      <c r="G76">
        <v>0</v>
      </c>
      <c r="H76">
        <v>4</v>
      </c>
    </row>
    <row r="77" spans="1:8" x14ac:dyDescent="0.2">
      <c r="A77" t="s">
        <v>5475</v>
      </c>
      <c r="B77" t="s">
        <v>5547</v>
      </c>
      <c r="C77" t="s">
        <v>5542</v>
      </c>
      <c r="D77">
        <v>6</v>
      </c>
      <c r="G77">
        <v>0</v>
      </c>
      <c r="H77">
        <v>6</v>
      </c>
    </row>
    <row r="78" spans="1:8" x14ac:dyDescent="0.2">
      <c r="A78" t="s">
        <v>5475</v>
      </c>
      <c r="B78" t="s">
        <v>5547</v>
      </c>
      <c r="C78" t="s">
        <v>5548</v>
      </c>
      <c r="D78">
        <v>3</v>
      </c>
      <c r="G78">
        <v>1</v>
      </c>
      <c r="H78">
        <v>2</v>
      </c>
    </row>
    <row r="79" spans="1:8" x14ac:dyDescent="0.2">
      <c r="A79" t="s">
        <v>5475</v>
      </c>
      <c r="B79" t="s">
        <v>5547</v>
      </c>
      <c r="C79" t="s">
        <v>5549</v>
      </c>
      <c r="D79">
        <v>3</v>
      </c>
      <c r="G79">
        <v>3</v>
      </c>
      <c r="H79">
        <v>0</v>
      </c>
    </row>
    <row r="80" spans="1:8" x14ac:dyDescent="0.2">
      <c r="A80" t="s">
        <v>5475</v>
      </c>
      <c r="B80" t="s">
        <v>5547</v>
      </c>
      <c r="C80" t="s">
        <v>5473</v>
      </c>
      <c r="D80">
        <v>7</v>
      </c>
      <c r="G80">
        <v>2</v>
      </c>
      <c r="H80">
        <v>5</v>
      </c>
    </row>
    <row r="81" spans="1:8" x14ac:dyDescent="0.2">
      <c r="A81" t="s">
        <v>5478</v>
      </c>
      <c r="B81" t="s">
        <v>5540</v>
      </c>
      <c r="C81" t="s">
        <v>5551</v>
      </c>
      <c r="D81">
        <v>1</v>
      </c>
      <c r="E81">
        <v>1</v>
      </c>
      <c r="F81">
        <v>0</v>
      </c>
    </row>
    <row r="82" spans="1:8" x14ac:dyDescent="0.2">
      <c r="A82" t="s">
        <v>5478</v>
      </c>
      <c r="B82" t="s">
        <v>5540</v>
      </c>
      <c r="C82" t="s">
        <v>5543</v>
      </c>
      <c r="D82">
        <v>217</v>
      </c>
      <c r="E82">
        <v>159</v>
      </c>
      <c r="F82">
        <v>58</v>
      </c>
    </row>
    <row r="83" spans="1:8" x14ac:dyDescent="0.2">
      <c r="A83" t="s">
        <v>5478</v>
      </c>
      <c r="B83" t="s">
        <v>5540</v>
      </c>
      <c r="C83" t="s">
        <v>5542</v>
      </c>
      <c r="D83">
        <v>19</v>
      </c>
      <c r="E83">
        <v>14</v>
      </c>
      <c r="F83">
        <v>5</v>
      </c>
    </row>
    <row r="84" spans="1:8" x14ac:dyDescent="0.2">
      <c r="A84" t="s">
        <v>5478</v>
      </c>
      <c r="B84" t="s">
        <v>5540</v>
      </c>
      <c r="C84" t="s">
        <v>5541</v>
      </c>
      <c r="D84">
        <v>300</v>
      </c>
      <c r="E84">
        <v>288</v>
      </c>
      <c r="F84">
        <v>12</v>
      </c>
    </row>
    <row r="85" spans="1:8" x14ac:dyDescent="0.2">
      <c r="A85" t="s">
        <v>5478</v>
      </c>
      <c r="B85" t="s">
        <v>5540</v>
      </c>
      <c r="C85" t="s">
        <v>5546</v>
      </c>
      <c r="D85">
        <v>6</v>
      </c>
      <c r="E85">
        <v>4</v>
      </c>
      <c r="F85">
        <v>2</v>
      </c>
    </row>
    <row r="86" spans="1:8" x14ac:dyDescent="0.2">
      <c r="A86" t="s">
        <v>5478</v>
      </c>
      <c r="B86" t="s">
        <v>5540</v>
      </c>
      <c r="C86" t="s">
        <v>5545</v>
      </c>
      <c r="D86">
        <v>8</v>
      </c>
      <c r="E86">
        <v>8</v>
      </c>
      <c r="F86">
        <v>0</v>
      </c>
    </row>
    <row r="87" spans="1:8" x14ac:dyDescent="0.2">
      <c r="A87" t="s">
        <v>5478</v>
      </c>
      <c r="B87" t="s">
        <v>5540</v>
      </c>
      <c r="C87" t="s">
        <v>124</v>
      </c>
      <c r="D87">
        <v>24</v>
      </c>
      <c r="E87">
        <v>6</v>
      </c>
      <c r="F87">
        <v>18</v>
      </c>
    </row>
    <row r="88" spans="1:8" x14ac:dyDescent="0.2">
      <c r="A88" t="s">
        <v>5478</v>
      </c>
      <c r="B88" t="s">
        <v>5540</v>
      </c>
      <c r="C88" t="s">
        <v>5549</v>
      </c>
      <c r="D88">
        <v>3</v>
      </c>
      <c r="E88">
        <v>1</v>
      </c>
      <c r="F88">
        <v>2</v>
      </c>
    </row>
    <row r="89" spans="1:8" x14ac:dyDescent="0.2">
      <c r="A89" t="s">
        <v>5478</v>
      </c>
      <c r="B89" t="s">
        <v>5540</v>
      </c>
      <c r="C89" t="s">
        <v>5544</v>
      </c>
      <c r="D89">
        <v>1</v>
      </c>
      <c r="E89">
        <v>1</v>
      </c>
      <c r="F89">
        <v>0</v>
      </c>
    </row>
    <row r="90" spans="1:8" x14ac:dyDescent="0.2">
      <c r="A90" t="s">
        <v>5478</v>
      </c>
      <c r="B90" t="s">
        <v>5547</v>
      </c>
      <c r="C90" t="s">
        <v>5543</v>
      </c>
      <c r="D90">
        <v>376</v>
      </c>
      <c r="G90">
        <v>8</v>
      </c>
      <c r="H90">
        <v>368</v>
      </c>
    </row>
    <row r="91" spans="1:8" x14ac:dyDescent="0.2">
      <c r="A91" t="s">
        <v>5478</v>
      </c>
      <c r="B91" t="s">
        <v>5547</v>
      </c>
      <c r="C91" t="s">
        <v>5541</v>
      </c>
      <c r="D91">
        <v>192</v>
      </c>
      <c r="G91">
        <v>124</v>
      </c>
      <c r="H91">
        <v>68</v>
      </c>
    </row>
    <row r="92" spans="1:8" x14ac:dyDescent="0.2">
      <c r="A92" t="s">
        <v>5478</v>
      </c>
      <c r="B92" t="s">
        <v>5547</v>
      </c>
      <c r="C92" t="s">
        <v>124</v>
      </c>
      <c r="D92">
        <v>125</v>
      </c>
      <c r="G92">
        <v>2</v>
      </c>
      <c r="H92">
        <v>123</v>
      </c>
    </row>
    <row r="93" spans="1:8" x14ac:dyDescent="0.2">
      <c r="A93" t="s">
        <v>5478</v>
      </c>
      <c r="B93" t="s">
        <v>5547</v>
      </c>
      <c r="C93" t="s">
        <v>5546</v>
      </c>
      <c r="D93">
        <v>10</v>
      </c>
      <c r="G93">
        <v>0</v>
      </c>
      <c r="H93">
        <v>10</v>
      </c>
    </row>
    <row r="94" spans="1:8" x14ac:dyDescent="0.2">
      <c r="A94" t="s">
        <v>5478</v>
      </c>
      <c r="B94" t="s">
        <v>5547</v>
      </c>
      <c r="C94" t="s">
        <v>131</v>
      </c>
      <c r="D94">
        <v>1</v>
      </c>
      <c r="G94">
        <v>0</v>
      </c>
      <c r="H94">
        <v>1</v>
      </c>
    </row>
    <row r="95" spans="1:8" x14ac:dyDescent="0.2">
      <c r="A95" t="s">
        <v>5478</v>
      </c>
      <c r="B95" t="s">
        <v>5547</v>
      </c>
      <c r="C95" t="s">
        <v>5473</v>
      </c>
      <c r="D95">
        <v>6</v>
      </c>
      <c r="G95">
        <v>2</v>
      </c>
      <c r="H95">
        <v>4</v>
      </c>
    </row>
    <row r="96" spans="1:8" x14ac:dyDescent="0.2">
      <c r="A96" t="s">
        <v>5478</v>
      </c>
      <c r="B96" t="s">
        <v>5547</v>
      </c>
      <c r="C96" t="s">
        <v>5545</v>
      </c>
      <c r="D96">
        <v>1</v>
      </c>
      <c r="G96">
        <v>1</v>
      </c>
      <c r="H96">
        <v>0</v>
      </c>
    </row>
    <row r="97" spans="1:8" x14ac:dyDescent="0.2">
      <c r="A97" t="s">
        <v>5478</v>
      </c>
      <c r="B97" t="s">
        <v>5547</v>
      </c>
      <c r="C97" t="s">
        <v>5542</v>
      </c>
      <c r="D97">
        <v>5</v>
      </c>
      <c r="G97">
        <v>0</v>
      </c>
      <c r="H97">
        <v>5</v>
      </c>
    </row>
    <row r="98" spans="1:8" x14ac:dyDescent="0.2">
      <c r="A98" t="s">
        <v>5478</v>
      </c>
      <c r="B98" t="s">
        <v>5547</v>
      </c>
      <c r="C98" t="s">
        <v>5548</v>
      </c>
      <c r="D98">
        <v>2</v>
      </c>
      <c r="G98">
        <v>0</v>
      </c>
      <c r="H98">
        <v>2</v>
      </c>
    </row>
    <row r="99" spans="1:8" x14ac:dyDescent="0.2">
      <c r="A99" t="s">
        <v>5478</v>
      </c>
      <c r="B99" t="s">
        <v>5547</v>
      </c>
      <c r="C99" t="s">
        <v>5549</v>
      </c>
      <c r="D99">
        <v>4</v>
      </c>
      <c r="G99">
        <v>3</v>
      </c>
      <c r="H99">
        <v>1</v>
      </c>
    </row>
    <row r="100" spans="1:8" x14ac:dyDescent="0.2">
      <c r="A100" t="s">
        <v>5492</v>
      </c>
      <c r="B100" t="s">
        <v>5540</v>
      </c>
      <c r="C100" t="s">
        <v>5551</v>
      </c>
      <c r="D100">
        <v>1</v>
      </c>
      <c r="E100">
        <v>1</v>
      </c>
      <c r="F100">
        <v>0</v>
      </c>
    </row>
    <row r="101" spans="1:8" x14ac:dyDescent="0.2">
      <c r="A101" t="s">
        <v>5492</v>
      </c>
      <c r="B101" t="s">
        <v>5540</v>
      </c>
      <c r="C101" t="s">
        <v>5543</v>
      </c>
      <c r="D101">
        <v>150</v>
      </c>
      <c r="E101">
        <v>116</v>
      </c>
      <c r="F101">
        <v>34</v>
      </c>
    </row>
    <row r="102" spans="1:8" x14ac:dyDescent="0.2">
      <c r="A102" t="s">
        <v>5492</v>
      </c>
      <c r="B102" t="s">
        <v>5540</v>
      </c>
      <c r="C102" t="s">
        <v>5542</v>
      </c>
      <c r="D102">
        <v>7</v>
      </c>
      <c r="E102">
        <v>6</v>
      </c>
      <c r="F102">
        <v>1</v>
      </c>
    </row>
    <row r="103" spans="1:8" x14ac:dyDescent="0.2">
      <c r="A103" t="s">
        <v>5492</v>
      </c>
      <c r="B103" t="s">
        <v>5540</v>
      </c>
      <c r="C103" t="s">
        <v>5541</v>
      </c>
      <c r="D103">
        <v>177</v>
      </c>
      <c r="E103">
        <v>167</v>
      </c>
      <c r="F103">
        <v>10</v>
      </c>
    </row>
    <row r="104" spans="1:8" x14ac:dyDescent="0.2">
      <c r="A104" t="s">
        <v>5492</v>
      </c>
      <c r="B104" t="s">
        <v>5540</v>
      </c>
      <c r="C104" t="s">
        <v>5546</v>
      </c>
      <c r="D104">
        <v>4</v>
      </c>
      <c r="E104">
        <v>4</v>
      </c>
      <c r="F104">
        <v>0</v>
      </c>
    </row>
    <row r="105" spans="1:8" x14ac:dyDescent="0.2">
      <c r="A105" t="s">
        <v>5492</v>
      </c>
      <c r="B105" t="s">
        <v>5540</v>
      </c>
      <c r="C105" t="s">
        <v>5545</v>
      </c>
      <c r="D105">
        <v>4</v>
      </c>
      <c r="E105">
        <v>4</v>
      </c>
      <c r="F105">
        <v>0</v>
      </c>
    </row>
    <row r="106" spans="1:8" x14ac:dyDescent="0.2">
      <c r="A106" t="s">
        <v>5492</v>
      </c>
      <c r="B106" t="s">
        <v>5540</v>
      </c>
      <c r="C106" t="s">
        <v>124</v>
      </c>
      <c r="D106">
        <v>12</v>
      </c>
      <c r="E106">
        <v>3</v>
      </c>
      <c r="F106">
        <v>9</v>
      </c>
    </row>
    <row r="107" spans="1:8" x14ac:dyDescent="0.2">
      <c r="A107" t="s">
        <v>5492</v>
      </c>
      <c r="B107" t="s">
        <v>5540</v>
      </c>
      <c r="C107" t="s">
        <v>5549</v>
      </c>
      <c r="D107">
        <v>3</v>
      </c>
      <c r="E107">
        <v>1</v>
      </c>
      <c r="F107">
        <v>2</v>
      </c>
    </row>
    <row r="108" spans="1:8" x14ac:dyDescent="0.2">
      <c r="A108" t="s">
        <v>5492</v>
      </c>
      <c r="B108" t="s">
        <v>5547</v>
      </c>
      <c r="C108" t="s">
        <v>5543</v>
      </c>
      <c r="D108">
        <v>208</v>
      </c>
      <c r="G108">
        <v>3</v>
      </c>
      <c r="H108">
        <v>205</v>
      </c>
    </row>
    <row r="109" spans="1:8" x14ac:dyDescent="0.2">
      <c r="A109" t="s">
        <v>5492</v>
      </c>
      <c r="B109" t="s">
        <v>5547</v>
      </c>
      <c r="C109" t="s">
        <v>5541</v>
      </c>
      <c r="D109">
        <v>108</v>
      </c>
      <c r="G109">
        <v>64</v>
      </c>
      <c r="H109">
        <v>44</v>
      </c>
    </row>
    <row r="110" spans="1:8" x14ac:dyDescent="0.2">
      <c r="A110" t="s">
        <v>5492</v>
      </c>
      <c r="B110" t="s">
        <v>5547</v>
      </c>
      <c r="C110" t="s">
        <v>124</v>
      </c>
      <c r="D110">
        <v>71</v>
      </c>
      <c r="G110">
        <v>0</v>
      </c>
      <c r="H110">
        <v>71</v>
      </c>
    </row>
    <row r="111" spans="1:8" x14ac:dyDescent="0.2">
      <c r="A111" t="s">
        <v>5492</v>
      </c>
      <c r="B111" t="s">
        <v>5547</v>
      </c>
      <c r="C111" t="s">
        <v>5546</v>
      </c>
      <c r="D111">
        <v>7</v>
      </c>
      <c r="G111">
        <v>0</v>
      </c>
      <c r="H111">
        <v>7</v>
      </c>
    </row>
    <row r="112" spans="1:8" x14ac:dyDescent="0.2">
      <c r="A112" t="s">
        <v>5492</v>
      </c>
      <c r="B112" t="s">
        <v>5547</v>
      </c>
      <c r="C112" t="s">
        <v>131</v>
      </c>
      <c r="D112">
        <v>1</v>
      </c>
      <c r="G112">
        <v>0</v>
      </c>
      <c r="H112">
        <v>1</v>
      </c>
    </row>
    <row r="113" spans="1:8" x14ac:dyDescent="0.2">
      <c r="A113" t="s">
        <v>5492</v>
      </c>
      <c r="B113" t="s">
        <v>5547</v>
      </c>
      <c r="C113" t="s">
        <v>5473</v>
      </c>
      <c r="D113">
        <v>2</v>
      </c>
      <c r="G113">
        <v>1</v>
      </c>
      <c r="H113">
        <v>1</v>
      </c>
    </row>
    <row r="114" spans="1:8" x14ac:dyDescent="0.2">
      <c r="A114" t="s">
        <v>5492</v>
      </c>
      <c r="B114" t="s">
        <v>5547</v>
      </c>
      <c r="C114" t="s">
        <v>5542</v>
      </c>
      <c r="D114">
        <v>4</v>
      </c>
      <c r="G114">
        <v>0</v>
      </c>
      <c r="H114">
        <v>4</v>
      </c>
    </row>
    <row r="115" spans="1:8" x14ac:dyDescent="0.2">
      <c r="A115" t="s">
        <v>5492</v>
      </c>
      <c r="B115" t="s">
        <v>5547</v>
      </c>
      <c r="C115" t="s">
        <v>5549</v>
      </c>
      <c r="D115">
        <v>1</v>
      </c>
      <c r="G115">
        <v>1</v>
      </c>
      <c r="H115">
        <v>0</v>
      </c>
    </row>
    <row r="116" spans="1:8" x14ac:dyDescent="0.2">
      <c r="A116" t="s">
        <v>5492</v>
      </c>
      <c r="B116" t="s">
        <v>5547</v>
      </c>
      <c r="C116" t="s">
        <v>5548</v>
      </c>
      <c r="D116">
        <v>1</v>
      </c>
      <c r="G116">
        <v>0</v>
      </c>
      <c r="H116">
        <v>1</v>
      </c>
    </row>
    <row r="117" spans="1:8" x14ac:dyDescent="0.2">
      <c r="A117" t="s">
        <v>5477</v>
      </c>
      <c r="B117" t="s">
        <v>5540</v>
      </c>
      <c r="C117" t="s">
        <v>5543</v>
      </c>
      <c r="D117">
        <v>520</v>
      </c>
      <c r="E117">
        <v>346</v>
      </c>
      <c r="F117">
        <v>174</v>
      </c>
    </row>
    <row r="118" spans="1:8" x14ac:dyDescent="0.2">
      <c r="A118" t="s">
        <v>5477</v>
      </c>
      <c r="B118" t="s">
        <v>5540</v>
      </c>
      <c r="C118" t="s">
        <v>5542</v>
      </c>
      <c r="D118">
        <v>9</v>
      </c>
      <c r="E118">
        <v>8</v>
      </c>
      <c r="F118">
        <v>1</v>
      </c>
    </row>
    <row r="119" spans="1:8" x14ac:dyDescent="0.2">
      <c r="A119" t="s">
        <v>5477</v>
      </c>
      <c r="B119" t="s">
        <v>5540</v>
      </c>
      <c r="C119" t="s">
        <v>5541</v>
      </c>
      <c r="D119">
        <v>363</v>
      </c>
      <c r="E119">
        <v>355</v>
      </c>
      <c r="F119">
        <v>8</v>
      </c>
    </row>
    <row r="120" spans="1:8" x14ac:dyDescent="0.2">
      <c r="A120" t="s">
        <v>5477</v>
      </c>
      <c r="B120" t="s">
        <v>5540</v>
      </c>
      <c r="C120" t="s">
        <v>124</v>
      </c>
      <c r="D120">
        <v>46</v>
      </c>
      <c r="E120">
        <v>11</v>
      </c>
      <c r="F120">
        <v>35</v>
      </c>
    </row>
    <row r="121" spans="1:8" x14ac:dyDescent="0.2">
      <c r="A121" t="s">
        <v>5477</v>
      </c>
      <c r="B121" t="s">
        <v>5540</v>
      </c>
      <c r="C121" t="s">
        <v>5546</v>
      </c>
      <c r="D121">
        <v>7</v>
      </c>
      <c r="E121">
        <v>5</v>
      </c>
      <c r="F121">
        <v>2</v>
      </c>
    </row>
    <row r="122" spans="1:8" x14ac:dyDescent="0.2">
      <c r="A122" t="s">
        <v>5477</v>
      </c>
      <c r="B122" t="s">
        <v>5540</v>
      </c>
      <c r="C122" t="s">
        <v>5548</v>
      </c>
      <c r="D122">
        <v>1</v>
      </c>
      <c r="E122">
        <v>1</v>
      </c>
      <c r="F122">
        <v>0</v>
      </c>
    </row>
    <row r="123" spans="1:8" x14ac:dyDescent="0.2">
      <c r="A123" t="s">
        <v>5477</v>
      </c>
      <c r="B123" t="s">
        <v>5547</v>
      </c>
      <c r="C123" t="s">
        <v>5543</v>
      </c>
      <c r="D123">
        <v>711</v>
      </c>
      <c r="G123">
        <v>5</v>
      </c>
      <c r="H123">
        <v>706</v>
      </c>
    </row>
    <row r="124" spans="1:8" x14ac:dyDescent="0.2">
      <c r="A124" t="s">
        <v>5477</v>
      </c>
      <c r="B124" t="s">
        <v>5547</v>
      </c>
      <c r="C124" t="s">
        <v>124</v>
      </c>
      <c r="D124">
        <v>179</v>
      </c>
      <c r="G124">
        <v>1</v>
      </c>
      <c r="H124">
        <v>178</v>
      </c>
    </row>
    <row r="125" spans="1:8" x14ac:dyDescent="0.2">
      <c r="A125" t="s">
        <v>5477</v>
      </c>
      <c r="B125" t="s">
        <v>5547</v>
      </c>
      <c r="C125" t="s">
        <v>5541</v>
      </c>
      <c r="D125">
        <v>183</v>
      </c>
      <c r="G125">
        <v>120</v>
      </c>
      <c r="H125">
        <v>63</v>
      </c>
    </row>
    <row r="126" spans="1:8" x14ac:dyDescent="0.2">
      <c r="A126" t="s">
        <v>5477</v>
      </c>
      <c r="B126" t="s">
        <v>5547</v>
      </c>
      <c r="C126" t="s">
        <v>131</v>
      </c>
      <c r="D126">
        <v>3</v>
      </c>
      <c r="G126">
        <v>0</v>
      </c>
      <c r="H126">
        <v>3</v>
      </c>
    </row>
    <row r="127" spans="1:8" x14ac:dyDescent="0.2">
      <c r="A127" t="s">
        <v>5477</v>
      </c>
      <c r="B127" t="s">
        <v>5547</v>
      </c>
      <c r="C127" t="s">
        <v>5546</v>
      </c>
      <c r="D127">
        <v>11</v>
      </c>
      <c r="G127">
        <v>0</v>
      </c>
      <c r="H127">
        <v>11</v>
      </c>
    </row>
    <row r="128" spans="1:8" x14ac:dyDescent="0.2">
      <c r="A128" t="s">
        <v>5477</v>
      </c>
      <c r="B128" t="s">
        <v>5547</v>
      </c>
      <c r="C128" t="s">
        <v>5548</v>
      </c>
      <c r="D128">
        <v>1</v>
      </c>
      <c r="G128">
        <v>0</v>
      </c>
      <c r="H128">
        <v>1</v>
      </c>
    </row>
    <row r="129" spans="1:8" x14ac:dyDescent="0.2">
      <c r="A129" t="s">
        <v>5477</v>
      </c>
      <c r="B129" t="s">
        <v>5547</v>
      </c>
      <c r="C129" t="s">
        <v>5542</v>
      </c>
      <c r="D129">
        <v>3</v>
      </c>
      <c r="G129">
        <v>0</v>
      </c>
      <c r="H12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Foglio1</vt:lpstr>
      <vt:lpstr>Foglio2</vt:lpstr>
      <vt:lpstr>Foglio3</vt:lpstr>
      <vt:lpstr>Foglio5</vt:lpstr>
      <vt:lpstr>Foglio4</vt:lpstr>
      <vt:lpstr>Foglio7</vt:lpstr>
      <vt:lpstr>Foglio6</vt:lpstr>
      <vt:lpstr>Foglio8</vt:lpstr>
      <vt:lpstr>Foglio9</vt:lpstr>
      <vt:lpstr>Foglio11</vt:lpstr>
      <vt:lpstr>Foglio12</vt:lpstr>
      <vt:lpstr>Foglio13</vt:lpstr>
      <vt:lpstr>Foglio14</vt:lpstr>
      <vt:lpstr>Foglio15</vt:lpstr>
      <vt:lpstr>Foglio10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TRONCONE</dc:creator>
  <cp:lastModifiedBy>Luisa TRONCONE</cp:lastModifiedBy>
  <dcterms:created xsi:type="dcterms:W3CDTF">2026-06-26T07:10:05Z</dcterms:created>
  <dcterms:modified xsi:type="dcterms:W3CDTF">2026-06-26T13:08:28Z</dcterms:modified>
</cp:coreProperties>
</file>